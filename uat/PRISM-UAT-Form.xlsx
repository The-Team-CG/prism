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UAT Form" state="visible" r:id="rId5"/>
    <sheet sheetId="3" name="Test Cases" state="visible" r:id="rId6"/>
    <sheet sheetId="4" name="Responses" state="visible" r:id="rId7"/>
    <sheet sheetId="5" name="Summary" state="visible" r:id="rId8"/>
    <sheet sheetId="6" name="Lists" state="hidden" r:id="rId9"/>
  </sheets>
  <definedNames>
    <definedName name="RoleList">Lists!$A$2:$A$6</definedName>
    <definedName name="LevelList">Lists!$B$2:$B$5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G12" authorId="0">
      <text>
        <r>
          <t xml:space="preserve">IF YOU SELECT PARTIALLY PASSED OR SKIPPED Please may we know your suggestion or the part that need to improve STRICTLY
Format: Test Case ID - Comment
Example: CL-INQ-02 - No message appears when a required field is blank</t>
        </r>
      </text>
    </comment>
  </commentList>
</comments>
</file>

<file path=xl/sharedStrings.xml><?xml version="1.0" encoding="utf-8"?>
<sst xmlns="http://schemas.openxmlformats.org/spreadsheetml/2006/main" count="1906" uniqueCount="1010">
  <si>
    <t>P.R.I.S.M UAT Form - How to use</t>
  </si>
  <si>
    <t>Steps</t>
  </si>
  <si>
    <t>Open the UAT Form sheet. Choose your role in "What is your user role?".</t>
  </si>
  <si>
    <t>Choose one module in "What module would you test?". Only modules for your role are listed.</t>
  </si>
  <si>
    <t>Enter your tester name and test date.</t>
  </si>
  <si>
    <t>Do each test case and pick its Satisfaction Level.</t>
  </si>
  <si>
    <t>For Partially Passed or Skipped, write a comment in the format: Test Case ID - Comment.</t>
  </si>
  <si>
    <t>When Submission status shows READY TO SUBMIT, copy the Submission rows (J13:R18) and paste them as values into the next empty rows of Responses.</t>
  </si>
  <si>
    <t>Clear the yellow cells and choose your next module. One submission per module.</t>
  </si>
  <si>
    <t>Satisfaction Level</t>
  </si>
  <si>
    <t>Passed - Working</t>
  </si>
  <si>
    <t>The test case works as expected.</t>
  </si>
  <si>
    <t>Partially Passed - Works but needs revision (w/ comment)</t>
  </si>
  <si>
    <t>It works but needs revision. A comment is required.</t>
  </si>
  <si>
    <t>Fail - Not working</t>
  </si>
  <si>
    <t>It does not work.</t>
  </si>
  <si>
    <t>Skipped - Di tinest (w/ comment)</t>
  </si>
  <si>
    <t>Not tested. A comment is required.</t>
  </si>
  <si>
    <t>Comment question</t>
  </si>
  <si>
    <t>IF YOU SELECT PARTIALLY PASSED OR SKIPPED Please may we know your suggestion or the part that need to improve STRICTLY</t>
  </si>
  <si>
    <t>Format: Test Case ID - Comment</t>
  </si>
  <si>
    <t>Legend</t>
  </si>
  <si>
    <t>Yellow cells</t>
  </si>
  <si>
    <t>Fill these in. Everything else is calculated.</t>
  </si>
  <si>
    <t>Grey cells</t>
  </si>
  <si>
    <t>Calculated. Do not type here.</t>
  </si>
  <si>
    <t>Example (Client, CL-INQ · Public Inquiry)</t>
  </si>
  <si>
    <t>CL-INQ-01 - Open the inquiry form</t>
  </si>
  <si>
    <t/>
  </si>
  <si>
    <t>CL-INQ-02 - Required contact details</t>
  </si>
  <si>
    <t>CL-INQ-02 - No message appears when a required field is blank</t>
  </si>
  <si>
    <t>CL-INQ-05 - Submit the inquiry</t>
  </si>
  <si>
    <t>CL-INQ-05 - Did not test because the API was offline</t>
  </si>
  <si>
    <t>Sheets</t>
  </si>
  <si>
    <t>UAT Form</t>
  </si>
  <si>
    <t>Answer one module at a time.</t>
  </si>
  <si>
    <t>Test Cases</t>
  </si>
  <si>
    <t>All 197 test cases across 5 roles and 51 modules. Filter by role or module.</t>
  </si>
  <si>
    <t>Responses</t>
  </si>
  <si>
    <t>One row per test case result. Each module submission adds its rows here.</t>
  </si>
  <si>
    <t>Summary</t>
  </si>
  <si>
    <t>Results per role and module, calculated from Responses.</t>
  </si>
  <si>
    <t>P.R.I.S.M UAT Form</t>
  </si>
  <si>
    <t>Fill the yellow cells. One submission per module: after finishing, copy the Submission rows (columns J to R) into the Responses sheet, then clear the yellow cells and choose your next module.</t>
  </si>
  <si>
    <t>What is your user role?</t>
  </si>
  <si>
    <t>What module would you test?</t>
  </si>
  <si>
    <t>Tester name</t>
  </si>
  <si>
    <t>Test date</t>
  </si>
  <si>
    <t>Before you start</t>
  </si>
  <si>
    <t>Module check</t>
  </si>
  <si>
    <t>Submission status</t>
  </si>
  <si>
    <t>Submission rows: copy J13:R18, then Paste Special &gt; Values into the next empty rows of Responses</t>
  </si>
  <si>
    <t>#</t>
  </si>
  <si>
    <t>Test Case ID</t>
  </si>
  <si>
    <t>Test Case</t>
  </si>
  <si>
    <t>Expected Result</t>
  </si>
  <si>
    <t xml:space="preserve">Comment
Format: Test Case ID - Comment</t>
  </si>
  <si>
    <t>Check</t>
  </si>
  <si>
    <t>Submission ID</t>
  </si>
  <si>
    <t>Test Date</t>
  </si>
  <si>
    <t>Tester</t>
  </si>
  <si>
    <t>User Role</t>
  </si>
  <si>
    <t>Module</t>
  </si>
  <si>
    <t>Comment</t>
  </si>
  <si>
    <t>Role</t>
  </si>
  <si>
    <t>Module ID</t>
  </si>
  <si>
    <t>Before You Start</t>
  </si>
  <si>
    <t>Client</t>
  </si>
  <si>
    <t>CL-INQ</t>
  </si>
  <si>
    <t>CL-INQ · Public Inquiry</t>
  </si>
  <si>
    <t>CL-INQ-01</t>
  </si>
  <si>
    <t>Open the inquiry form</t>
  </si>
  <si>
    <t>On the home page click Start inquiry.</t>
  </si>
  <si>
    <t>The inquiry form opens on step 1 (Contact Info) and the stepper shows 4 steps.</t>
  </si>
  <si>
    <t>Stay signed out. Open the client portal home page.</t>
  </si>
  <si>
    <t>CL-INQ-02</t>
  </si>
  <si>
    <t>Required contact details</t>
  </si>
  <si>
    <t>Leave Full Name blank and click Continue. Then fill Full Name, Email, Phone, Client Type and Referral Source and click Continue.</t>
  </si>
  <si>
    <t>You cannot move on while a required field is blank. With all required fields filled you reach step 2 (Event Details).</t>
  </si>
  <si>
    <t>CL-INQ-03</t>
  </si>
  <si>
    <t>Event details and date rules</t>
  </si>
  <si>
    <t>Try to pick a preferred date before today. Then fill Event Name, Event Type, a future Preferred Date and Expected Guests, and click Continue.</t>
  </si>
  <si>
    <t>Past dates cannot be picked. With valid details you reach step 3 (Budget &amp; Notes).</t>
  </si>
  <si>
    <t>CL-INQ-04</t>
  </si>
  <si>
    <t>Budget, priority and review</t>
  </si>
  <si>
    <t>Choose a budget range and an inquiry priority, click Continue, then click Back on step 4 and return.</t>
  </si>
  <si>
    <t>Step 4 shows a summary that matches what you entered. Back keeps your answers.</t>
  </si>
  <si>
    <t>CL-INQ-05</t>
  </si>
  <si>
    <t>Submit the inquiry</t>
  </si>
  <si>
    <t>On step 4 try to submit without ticking the accuracy box, then tick it and submit.</t>
  </si>
  <si>
    <t>Submit stays disabled until the box is ticked. After submit a success screen with a reference number and Submit another inquiry appears.</t>
  </si>
  <si>
    <t>CL-ACC</t>
  </si>
  <si>
    <t>CL-ACC · Sign-in and Account Access</t>
  </si>
  <si>
    <t>CL-ACC-01</t>
  </si>
  <si>
    <t>Sign in</t>
  </si>
  <si>
    <t>Open Sign in, enter the client email and password, and use the eye icon to show the password before signing in.</t>
  </si>
  <si>
    <t>The password can be shown and hidden. A Signed in message appears and the dashboard opens.</t>
  </si>
  <si>
    <t>Use the client account issued for UAT.</t>
  </si>
  <si>
    <t>CL-ACC-02</t>
  </si>
  <si>
    <t>Wrong password</t>
  </si>
  <si>
    <t>Sign in with the right email and a wrong password.</t>
  </si>
  <si>
    <t>An error message appears and you stay on the sign-in page.</t>
  </si>
  <si>
    <t>CL-ACC-03</t>
  </si>
  <si>
    <t>Wrong portal account</t>
  </si>
  <si>
    <t>Sign in here with a supplier or PMCM account.</t>
  </si>
  <si>
    <t>You are refused with a message that names the correct portal.</t>
  </si>
  <si>
    <t>CL-ACC-04</t>
  </si>
  <si>
    <t>Protected pages</t>
  </si>
  <si>
    <t>While signed out, open the /dashboard address directly. Sign in on the page that appears.</t>
  </si>
  <si>
    <t>You are sent to sign in first, then returned to the dashboard after signing in.</t>
  </si>
  <si>
    <t>CL-ACC-05</t>
  </si>
  <si>
    <t>Password reset request</t>
  </si>
  <si>
    <t>Click Forgot password, enter your email and click Request reset.</t>
  </si>
  <si>
    <t>A status message confirms the request.</t>
  </si>
  <si>
    <t>CL-ACC-06</t>
  </si>
  <si>
    <t>Sign out</t>
  </si>
  <si>
    <t>Sign out, then press the browser Back button.</t>
  </si>
  <si>
    <t>You are signed out and the dashboard is not shown again without signing in.</t>
  </si>
  <si>
    <t>CL-CON</t>
  </si>
  <si>
    <t>CL-CON · Conforme</t>
  </si>
  <si>
    <t>CL-CON-01</t>
  </si>
  <si>
    <t>View the conforme</t>
  </si>
  <si>
    <t>From the dashboard click Review conforme.</t>
  </si>
  <si>
    <t>The conforme text, version and status are shown. If there are several versions you can switch between them.</t>
  </si>
  <si>
    <t>Needs a client account with a conforme issued by PMCM.</t>
  </si>
  <si>
    <t>CL-CON-02</t>
  </si>
  <si>
    <t>Consent before acknowledging</t>
  </si>
  <si>
    <t>Try Acknowledge conforme without ticking the consent box, then tick it.</t>
  </si>
  <si>
    <t>The button stays disabled until the box is ticked.</t>
  </si>
  <si>
    <t>CL-CON-03</t>
  </si>
  <si>
    <t>Acknowledge the conforme</t>
  </si>
  <si>
    <t>Tick the consent box and click Acknowledge conforme.</t>
  </si>
  <si>
    <t>Status changes to Awaiting PMCM countersignature.</t>
  </si>
  <si>
    <t>CL-CON-04</t>
  </si>
  <si>
    <t>Countersigned conforme</t>
  </si>
  <si>
    <t>After PMCM countersigns, reopen the conforme.</t>
  </si>
  <si>
    <t>Status shows Complete.</t>
  </si>
  <si>
    <t>CL-DSH</t>
  </si>
  <si>
    <t>CL-DSH · Dashboard and My Events</t>
  </si>
  <si>
    <t>CL-DSH-01</t>
  </si>
  <si>
    <t>Action center</t>
  </si>
  <si>
    <t>Open the dashboard home.</t>
  </si>
  <si>
    <t>Needs your action and Waiting on PMCM lists are shown, together with Recent updates from PMCM.</t>
  </si>
  <si>
    <t>Sign in with a client account that has at least one event.</t>
  </si>
  <si>
    <t>CL-DSH-02</t>
  </si>
  <si>
    <t>Event tabs</t>
  </si>
  <si>
    <t>Open My events and switch between All, Upcoming, In planning, Completed and Cancelled.</t>
  </si>
  <si>
    <t>Each tab shows only the events in that state.</t>
  </si>
  <si>
    <t>CL-DSH-03</t>
  </si>
  <si>
    <t>Search events</t>
  </si>
  <si>
    <t>Type part of an event name in the search box.</t>
  </si>
  <si>
    <t>The list narrows to matching events.</t>
  </si>
  <si>
    <t>CL-DSH-04</t>
  </si>
  <si>
    <t>Open an event</t>
  </si>
  <si>
    <t>Click an event card.</t>
  </si>
  <si>
    <t>The event workspace opens on the Overview tab for that event.</t>
  </si>
  <si>
    <t>CL-REQ</t>
  </si>
  <si>
    <t>CL-REQ · New Event Request</t>
  </si>
  <si>
    <t>CL-REQ-01</t>
  </si>
  <si>
    <t>Required fields and consent</t>
  </si>
  <si>
    <t>Click New request. Leave Event name blank, then fill Event name, Event date and Planning notes without ticking privacy consent.</t>
  </si>
  <si>
    <t>The request cannot be submitted until the required fields are filled and consent is ticked.</t>
  </si>
  <si>
    <t>Sign in as a client.</t>
  </si>
  <si>
    <t>CL-REQ-02</t>
  </si>
  <si>
    <t>Submit a request</t>
  </si>
  <si>
    <t>Fill the required fields, tick consent and submit.</t>
  </si>
  <si>
    <t>A New event request submitted message appears.</t>
  </si>
  <si>
    <t>CL-EVT</t>
  </si>
  <si>
    <t>CL-EVT · Event Workspace and Change Requests</t>
  </si>
  <si>
    <t>CL-EVT-01</t>
  </si>
  <si>
    <t>Workspace tabs load</t>
  </si>
  <si>
    <t>Open the Overview, Details, Schedule, Guests and Progress tabs.</t>
  </si>
  <si>
    <t>Each tab loads your event data without errors. Guests shows the guest count and access code.</t>
  </si>
  <si>
    <t>Open one of your events.</t>
  </si>
  <si>
    <t>CL-EVT-02</t>
  </si>
  <si>
    <t>Action shortcuts</t>
  </si>
  <si>
    <t>Open the Actions tab and click an action item.</t>
  </si>
  <si>
    <t>The matching event tab opens.</t>
  </si>
  <si>
    <t>CL-EVT-03</t>
  </si>
  <si>
    <t>Submit a change request</t>
  </si>
  <si>
    <t>On Overview, submit a change request with a title, area and details. Try once with the details blank.</t>
  </si>
  <si>
    <t>Blank details are refused. A complete request appears in the change request list.</t>
  </si>
  <si>
    <t>CL-EVT-04</t>
  </si>
  <si>
    <t>Withdraw a change request</t>
  </si>
  <si>
    <t>Withdraw the open change request you created.</t>
  </si>
  <si>
    <t>The request shows as withdrawn.</t>
  </si>
  <si>
    <t>CL-EVT-05</t>
  </si>
  <si>
    <t>Request an ocular visit</t>
  </si>
  <si>
    <t>Open the Changes tab and click Request ocular visit, with an optional note.</t>
  </si>
  <si>
    <t>The request is recorded and shown.</t>
  </si>
  <si>
    <t>CL-EVT-06</t>
  </si>
  <si>
    <t>Acknowledge an addendum</t>
  </si>
  <si>
    <t>If PMCM issued an addendum, tick the consent box and acknowledge it.</t>
  </si>
  <si>
    <t>The addendum shows as acknowledged.</t>
  </si>
  <si>
    <t>CL-BRF</t>
  </si>
  <si>
    <t>CL-BRF · Briefing and Proposal</t>
  </si>
  <si>
    <t>CL-BRF-01</t>
  </si>
  <si>
    <t>Briefing validation</t>
  </si>
  <si>
    <t>Open the Briefing tab and submit with guest count 0 or blank required fields.</t>
  </si>
  <si>
    <t>The briefing is refused until venue, guest count (at least 1), budget range, service requirements and notes are filled.</t>
  </si>
  <si>
    <t>Open an event in planning. Proposal cases need PMCM to issue a proposal first.</t>
  </si>
  <si>
    <t>CL-BRF-02</t>
  </si>
  <si>
    <t>Submit and resubmit the briefing</t>
  </si>
  <si>
    <t>Fill the briefing and submit. Change one field and submit again.</t>
  </si>
  <si>
    <t>Both submissions are saved and the latest values are shown.</t>
  </si>
  <si>
    <t>CL-BRF-03</t>
  </si>
  <si>
    <t>Approve the proposal</t>
  </si>
  <si>
    <t>Open the Proposal tab and click Approve.</t>
  </si>
  <si>
    <t>The proposal shows as approved.</t>
  </si>
  <si>
    <t>CL-BRF-04</t>
  </si>
  <si>
    <t>Request a proposal revision</t>
  </si>
  <si>
    <t>Click Request revision once without a note, then with a note.</t>
  </si>
  <si>
    <t>A note is required. The revision is recorded. After 3 revisions, Revision cap reached is shown.</t>
  </si>
  <si>
    <t>CL-BRF-05</t>
  </si>
  <si>
    <t>Venue and styling options</t>
  </si>
  <si>
    <t>Approve one venue or styling option, and request revision on another with a note.</t>
  </si>
  <si>
    <t>Approval is recorded. Revision needs a note and is recorded.</t>
  </si>
  <si>
    <t>CL-FLR</t>
  </si>
  <si>
    <t>CL-FLR · Floor Plan</t>
  </si>
  <si>
    <t>CL-FLR-01</t>
  </si>
  <si>
    <t>Submit a layout preference</t>
  </si>
  <si>
    <t>Fill Preference title, Guest count, Seating style, Stage preference and notes, then click Save layout notes.</t>
  </si>
  <si>
    <t>The preference is sent and the form locks with PMCM has your preference.</t>
  </si>
  <si>
    <t>Open an event and go to the Floor plan tab.</t>
  </si>
  <si>
    <t>CL-FLR-02</t>
  </si>
  <si>
    <t>Resubmit after PMCM reopens</t>
  </si>
  <si>
    <t>After PMCM reopens your preference, read the note and click Resubmit layout notes.</t>
  </si>
  <si>
    <t>PMCM's note is shown and the updated preference is sent.</t>
  </si>
  <si>
    <t>CL-FLR-03</t>
  </si>
  <si>
    <t>Official layout is read-only</t>
  </si>
  <si>
    <t>Click View official floorplan and try to move or edit items.</t>
  </si>
  <si>
    <t>The official layout opens but cannot be edited by the client.</t>
  </si>
  <si>
    <t>CL-FLR-04</t>
  </si>
  <si>
    <t>Review an official layout</t>
  </si>
  <si>
    <t>When a layout is in review, add an annotation to an item, then Approve or Request revision with a comment.</t>
  </si>
  <si>
    <t>Annotations are saved. Approval locks the layout. Revision needs a comment.</t>
  </si>
  <si>
    <t>CL-FLR-05</t>
  </si>
  <si>
    <t>Shared floorplans</t>
  </si>
  <si>
    <t>Open Shared floorplans from the menu and open a submitted or approved version.</t>
  </si>
  <si>
    <t>Shared layouts are listed per event and open in a read-only viewer.</t>
  </si>
  <si>
    <t>CL-FIL</t>
  </si>
  <si>
    <t>CL-FIL · Files and Documents</t>
  </si>
  <si>
    <t>CL-FIL-01</t>
  </si>
  <si>
    <t>Folder filters</t>
  </si>
  <si>
    <t>Click each folder button (Contracts, Quotations, Invoices &amp; receipts, Event layouts, Uploaded, Shared).</t>
  </si>
  <si>
    <t>The list and counts change for each folder.</t>
  </si>
  <si>
    <t>Select an event, then open Files.</t>
  </si>
  <si>
    <t>CL-FIL-02</t>
  </si>
  <si>
    <t>Upload a file</t>
  </si>
  <si>
    <t>Click Upload file and choose a small PDF.</t>
  </si>
  <si>
    <t>The file uploads and appears in the list.</t>
  </si>
  <si>
    <t>CL-FIL-03</t>
  </si>
  <si>
    <t>Download a file</t>
  </si>
  <si>
    <t>Click the download icon on a file.</t>
  </si>
  <si>
    <t>The file downloads and opens correctly.</t>
  </si>
  <si>
    <t>CL-FIL-04</t>
  </si>
  <si>
    <t>File requirements</t>
  </si>
  <si>
    <t>Look at the File requirements checklist.</t>
  </si>
  <si>
    <t>Required files are listed with their due status.</t>
  </si>
  <si>
    <t>CL-BIL</t>
  </si>
  <si>
    <t>CL-BIL · Billing</t>
  </si>
  <si>
    <t>CL-BIL-01</t>
  </si>
  <si>
    <t>Statement and milestones</t>
  </si>
  <si>
    <t>Open Billing.</t>
  </si>
  <si>
    <t>The billing statement, payment milestones and remaining balance are shown and match PMCM's records.</t>
  </si>
  <si>
    <t>Select an event with a billing statement.</t>
  </si>
  <si>
    <t>CL-BIL-02</t>
  </si>
  <si>
    <t>Billing is read-only</t>
  </si>
  <si>
    <t>Look for any way to edit a payment or amount.</t>
  </si>
  <si>
    <t>There are no controls to change payments. Disputes show status and amount only.</t>
  </si>
  <si>
    <t>CL-MSG</t>
  </si>
  <si>
    <t>CL-MSG · Messages</t>
  </si>
  <si>
    <t>CL-MSG-01</t>
  </si>
  <si>
    <t>Send a message</t>
  </si>
  <si>
    <t>Open Messages. Check Send with an empty box, then type a message and send it.</t>
  </si>
  <si>
    <t>Send is disabled while empty. The message appears in the conversation.</t>
  </si>
  <si>
    <t>Select an event where PMCM has opened a message thread.</t>
  </si>
  <si>
    <t>CL-MSG-02</t>
  </si>
  <si>
    <t>Receive and load history</t>
  </si>
  <si>
    <t>Ask PMCM to reply, then reopen Messages and click Load older messages.</t>
  </si>
  <si>
    <t>PMCM's reply is visible and older messages load.</t>
  </si>
  <si>
    <t>CL-CAL</t>
  </si>
  <si>
    <t>CL-CAL · Calendar and Approvals</t>
  </si>
  <si>
    <t>CL-CAL-01</t>
  </si>
  <si>
    <t>Calendar</t>
  </si>
  <si>
    <t>Open Calendar and switch between Event dates, Deadlines, Payment due dates and Approval deadlines.</t>
  </si>
  <si>
    <t>Today is highlighted and the schedule list changes per tab.</t>
  </si>
  <si>
    <t>Select an event.</t>
  </si>
  <si>
    <t>CL-CAL-02</t>
  </si>
  <si>
    <t>Approvals overview</t>
  </si>
  <si>
    <t>Open Approvals.</t>
  </si>
  <si>
    <t>Proposal, Contracts, Quotations, Layouts and Final Confirmation show their current status.</t>
  </si>
  <si>
    <t>CL-CLO</t>
  </si>
  <si>
    <t>CL-CLO · Event Closeout</t>
  </si>
  <si>
    <t>CL-CLO-01</t>
  </si>
  <si>
    <t>Acknowledge wrap-up and deliverables</t>
  </si>
  <si>
    <t>Open the Summary tab and acknowledge the wrap-up and each deliverable.</t>
  </si>
  <si>
    <t>Each item shows as acknowledged.</t>
  </si>
  <si>
    <t>Needs an event that PMCM has marked as wrapped up.</t>
  </si>
  <si>
    <t>CL-CLO-02</t>
  </si>
  <si>
    <t>Rating and feedback</t>
  </si>
  <si>
    <t>Give a rating and feedback.</t>
  </si>
  <si>
    <t>Your rating and feedback are saved.</t>
  </si>
  <si>
    <t>CL-CLO-03</t>
  </si>
  <si>
    <t>Testimonial consent</t>
  </si>
  <si>
    <t>Add a testimonial with consent, then withdraw the consent.</t>
  </si>
  <si>
    <t>The testimonial is saved, then shows consent withdrawn.</t>
  </si>
  <si>
    <t>CL-CLO-04</t>
  </si>
  <si>
    <t>Archived event is read-only</t>
  </si>
  <si>
    <t>Open an archived event.</t>
  </si>
  <si>
    <t>It opens on Summary and nothing can be changed.</t>
  </si>
  <si>
    <t>Supplier</t>
  </si>
  <si>
    <t>SU-APP</t>
  </si>
  <si>
    <t>SU-APP · Supplier Application</t>
  </si>
  <si>
    <t>SU-APP-01</t>
  </si>
  <si>
    <t>Company information</t>
  </si>
  <si>
    <t>Leave Company Name blank and click Continue, then fill Company Name, Contact Person and Email.</t>
  </si>
  <si>
    <t>You cannot continue with a blank required field. With them filled you reach Services &amp; Portfolio.</t>
  </si>
  <si>
    <t>Stay signed out. Open the supplier portal and go to Apply.</t>
  </si>
  <si>
    <t>SU-APP-02</t>
  </si>
  <si>
    <t>Services and portfolio</t>
  </si>
  <si>
    <t>Open the Service Category list and pick a category, then continue.</t>
  </si>
  <si>
    <t>Categories load from the system and you reach Certifications.</t>
  </si>
  <si>
    <t>SU-APP-03</t>
  </si>
  <si>
    <t>Portfolio link check</t>
  </si>
  <si>
    <t>Type an invalid Portfolio URL such as abc, then a valid https link.</t>
  </si>
  <si>
    <t>The invalid link is refused and the valid link is accepted.</t>
  </si>
  <si>
    <t>SU-APP-04</t>
  </si>
  <si>
    <t>Submit the application</t>
  </si>
  <si>
    <t>On Review &amp; Submit, try Submit without the privacy consent, then tick it and submit.</t>
  </si>
  <si>
    <t>Submit needs consent. Application submitted is shown with a reference number.</t>
  </si>
  <si>
    <t>SU-APP-05</t>
  </si>
  <si>
    <t>Check application status</t>
  </si>
  <si>
    <t>Open Status and enter the reference and email. Then try a wrong email.</t>
  </si>
  <si>
    <t>The correct pair shows the application status. A wrong pair shows a could not find error.</t>
  </si>
  <si>
    <t>SU-ACC</t>
  </si>
  <si>
    <t>SU-ACC · Sign-in and Account Access</t>
  </si>
  <si>
    <t>SU-ACC-01</t>
  </si>
  <si>
    <t>Sign in with the supplier email and password.</t>
  </si>
  <si>
    <t>The supplier dashboard opens.</t>
  </si>
  <si>
    <t>Use the approved supplier account issued for UAT.</t>
  </si>
  <si>
    <t>SU-ACC-02</t>
  </si>
  <si>
    <t>Sign in with a wrong password.</t>
  </si>
  <si>
    <t>A red error appears and you stay on sign-in.</t>
  </si>
  <si>
    <t>SU-ACC-03</t>
  </si>
  <si>
    <t>Sign in with a client or PMCM account.</t>
  </si>
  <si>
    <t>You are refused with a wrong-portal message.</t>
  </si>
  <si>
    <t>SU-ACC-04</t>
  </si>
  <si>
    <t>Request PMCM approval</t>
  </si>
  <si>
    <t>Expand Need supplier access?, try sending without consent, then tick consent and click Request PMCM approval.</t>
  </si>
  <si>
    <t>Consent is required. A confirmation notice appears.</t>
  </si>
  <si>
    <t>SU-ACC-05</t>
  </si>
  <si>
    <t>Expand Need supplier access?, click Forgot password?, enter your email and click Request reset.</t>
  </si>
  <si>
    <t>SU-ACC-06</t>
  </si>
  <si>
    <t>Click Sign out.</t>
  </si>
  <si>
    <t>You return to sign-in and the dashboard needs a new sign-in.</t>
  </si>
  <si>
    <t>SU-DSH</t>
  </si>
  <si>
    <t>SU-DSH · Dashboard Overview and Calendar</t>
  </si>
  <si>
    <t>SU-DSH-01</t>
  </si>
  <si>
    <t>Overview</t>
  </si>
  <si>
    <t>Open Dashboard.</t>
  </si>
  <si>
    <t>Greeting, stats and the readiness board grouped by event are shown.</t>
  </si>
  <si>
    <t>Sign in as a supplier with at least one quote request or booking.</t>
  </si>
  <si>
    <t>SU-DSH-02</t>
  </si>
  <si>
    <t>Sidebar counts and refresh</t>
  </si>
  <si>
    <t>Compare the sidebar badges with the Requests and Bookings pages, then click Refresh.</t>
  </si>
  <si>
    <t>Badge counts match the pages and data reloads.</t>
  </si>
  <si>
    <t>SU-DSH-03</t>
  </si>
  <si>
    <t>Open Calendar.</t>
  </si>
  <si>
    <t>Quote deadlines and event dates are listed. Past dates are struck through and today is labelled Today.</t>
  </si>
  <si>
    <t>SU-QUO</t>
  </si>
  <si>
    <t>SU-QUO · Quote Requests and Quotations</t>
  </si>
  <si>
    <t>SU-QUO-01</t>
  </si>
  <si>
    <t>Submit a quote</t>
  </si>
  <si>
    <t>Open Requests. Enter amount 0 and submit, then enter a valid amount, payment terms and inclusions and click Submit quote.</t>
  </si>
  <si>
    <t>Amount 0 is refused. The valid quote is saved and the card shows the amount and status.</t>
  </si>
  <si>
    <t>Needs an open quote request from PMCM.</t>
  </si>
  <si>
    <t>SU-QUO-02</t>
  </si>
  <si>
    <t>Revise a quote</t>
  </si>
  <si>
    <t>Change the amount and click Save revision.</t>
  </si>
  <si>
    <t>The revision number goes up and the new amount is shown.</t>
  </si>
  <si>
    <t>SU-QUO-03</t>
  </si>
  <si>
    <t>Closed or selected request</t>
  </si>
  <si>
    <t>Open a request that is closed, locked or already selected.</t>
  </si>
  <si>
    <t>The form is read-only and the reason is shown.</t>
  </si>
  <si>
    <t>SU-QUO-04</t>
  </si>
  <si>
    <t>Quotation history</t>
  </si>
  <si>
    <t>Open Quotations.</t>
  </si>
  <si>
    <t>Your quotes are listed with amount, revision, dates, payment terms and inclusions.</t>
  </si>
  <si>
    <t>SU-QUO-05</t>
  </si>
  <si>
    <t>No access to other bids</t>
  </si>
  <si>
    <t>Look through Requests and Quotations for other suppliers' quotes.</t>
  </si>
  <si>
    <t>Only your own quotes are visible.</t>
  </si>
  <si>
    <t>SU-BKG</t>
  </si>
  <si>
    <t>SU-BKG · Bookings, Contracts and Event Day</t>
  </si>
  <si>
    <t>SU-BKG-01</t>
  </si>
  <si>
    <t>Confirm assignment</t>
  </si>
  <si>
    <t>Open Bookings and click Confirm assignment.</t>
  </si>
  <si>
    <t>The button changes to Assignment confirmed.</t>
  </si>
  <si>
    <t>Needs a booking where PMCM selected your quote.</t>
  </si>
  <si>
    <t>SU-BKG-02</t>
  </si>
  <si>
    <t>Confirm readiness</t>
  </si>
  <si>
    <t>Enter readiness notes and click Confirm readiness.</t>
  </si>
  <si>
    <t>Readiness shows as confirmed on the progress tracker.</t>
  </si>
  <si>
    <t>SU-BKG-03</t>
  </si>
  <si>
    <t>Upload signed contract</t>
  </si>
  <si>
    <t>Try uploading a JPG, then upload a PDF or DOCX contract.</t>
  </si>
  <si>
    <t>Only PDF or DOCX is accepted. The upload is listed with version, file name and review status, and can be downloaded.</t>
  </si>
  <si>
    <t>SU-BKG-04</t>
  </si>
  <si>
    <t>Schedule acknowledgment</t>
  </si>
  <si>
    <t>When PMCM publishes a schedule, click Acknowledge. On another, try Request change without a reason, then with a reason.</t>
  </si>
  <si>
    <t>Acknowledgment is recorded. A change request needs a reason.</t>
  </si>
  <si>
    <t>SU-BKG-05</t>
  </si>
  <si>
    <t>Creative tasks</t>
  </si>
  <si>
    <t>On a creative task, save a progress note, then submit a deliverable with a note or file.</t>
  </si>
  <si>
    <t>Progress and the deliverable are saved. PMCM's review note appears when given.</t>
  </si>
  <si>
    <t>SU-BKG-06</t>
  </si>
  <si>
    <t>Event-day status</t>
  </si>
  <si>
    <t>Before confirming assignment and readiness, check the event-day buttons. After both, set Arrived, then Set up and ready, then Done and leaving.</t>
  </si>
  <si>
    <t>Buttons are disabled until both are confirmed. Each status is recorded. A Late arrival warning appears after the planned ingress time.</t>
  </si>
  <si>
    <t>SU-FIL</t>
  </si>
  <si>
    <t>SU-FIL · Files, Payments and Profile</t>
  </si>
  <si>
    <t>SU-FIL-01</t>
  </si>
  <si>
    <t>Files</t>
  </si>
  <si>
    <t>Open Files and download a contract file.</t>
  </si>
  <si>
    <t>The requirements matrix, contract files with review status and certifications are shown. Download works.</t>
  </si>
  <si>
    <t>Sign in as a supplier with a booking.</t>
  </si>
  <si>
    <t>SU-FIL-02</t>
  </si>
  <si>
    <t>Payments</t>
  </si>
  <si>
    <t>Open Payments.</t>
  </si>
  <si>
    <t>Milestones show scheduled, released and remaining amounts, due dates and release history. Nothing is editable.</t>
  </si>
  <si>
    <t>SU-FIL-03</t>
  </si>
  <si>
    <t>Profile</t>
  </si>
  <si>
    <t>Open Services / Profile.</t>
  </si>
  <si>
    <t>Your supplier details are shown read-only with a privacy notice.</t>
  </si>
  <si>
    <t>SU-MSG</t>
  </si>
  <si>
    <t>SU-MSG · Messages</t>
  </si>
  <si>
    <t>SU-MSG-01</t>
  </si>
  <si>
    <t>Open Messages, check Send with an empty box, then send a message.</t>
  </si>
  <si>
    <t>Send is disabled while empty. The message appears in the thread.</t>
  </si>
  <si>
    <t>Needs a booking linked to an event with a PMCM thread.</t>
  </si>
  <si>
    <t>SU-MSG-02</t>
  </si>
  <si>
    <t>Read replies and history</t>
  </si>
  <si>
    <t>Open a thread with a PMCM reply and click Load older messages.</t>
  </si>
  <si>
    <t>The reply is visible, the thread is marked read and older messages load.</t>
  </si>
  <si>
    <t>Guest</t>
  </si>
  <si>
    <t>GU-OPN</t>
  </si>
  <si>
    <t>GU-OPN · Open Event with Access Code</t>
  </si>
  <si>
    <t>GU-OPN-01</t>
  </si>
  <si>
    <t>Preview the event</t>
  </si>
  <si>
    <t>Open the guest portal, click Open with code, type the code in lowercase and click Preview event.</t>
  </si>
  <si>
    <t>The code turns uppercase and the event name, client and date are shown.</t>
  </si>
  <si>
    <t>Get the event access code from PMCM.</t>
  </si>
  <si>
    <t>GU-OPN-02</t>
  </si>
  <si>
    <t>Wrong code</t>
  </si>
  <si>
    <t>Enter a code that does not exist.</t>
  </si>
  <si>
    <t>An error message is shown and no event opens.</t>
  </si>
  <si>
    <t>GU-OPN-03</t>
  </si>
  <si>
    <t>Continue to the dashboard</t>
  </si>
  <si>
    <t>After preview, click Continue.</t>
  </si>
  <si>
    <t>The guest dashboard for that event opens.</t>
  </si>
  <si>
    <t>GU-OPN-04</t>
  </si>
  <si>
    <t>Dashboard needs a code</t>
  </si>
  <si>
    <t>In a private window, open the /dashboard address directly.</t>
  </si>
  <si>
    <t>You are sent to the access-code page.</t>
  </si>
  <si>
    <t>GU-OPN-05</t>
  </si>
  <si>
    <t>Leave event</t>
  </si>
  <si>
    <t>On the dashboard click Leave event.</t>
  </si>
  <si>
    <t>The pass is cleared and the access-code page opens.</t>
  </si>
  <si>
    <t>GU-PAS</t>
  </si>
  <si>
    <t>GU-PAS · Event Pass and Details</t>
  </si>
  <si>
    <t>GU-PAS-01</t>
  </si>
  <si>
    <t>Event pass</t>
  </si>
  <si>
    <t>Look at the event pass.</t>
  </si>
  <si>
    <t>Event name, date and access code are shown.</t>
  </si>
  <si>
    <t>Open an event with a valid code.</t>
  </si>
  <si>
    <t>GU-PAS-02</t>
  </si>
  <si>
    <t>Event details and next steps</t>
  </si>
  <si>
    <t>Look at Event details and Your next steps.</t>
  </si>
  <si>
    <t>Event, date, client, readiness and stage are shown. Next steps list check-in and feedback.</t>
  </si>
  <si>
    <t>GU-CHK</t>
  </si>
  <si>
    <t>GU-CHK · Check-in</t>
  </si>
  <si>
    <t>GU-CHK-01</t>
  </si>
  <si>
    <t>Consent required</t>
  </si>
  <si>
    <t>Choose check-in by name, enter your registered name and try Submit check-in without consent.</t>
  </si>
  <si>
    <t>Check-in cannot be submitted without consent.</t>
  </si>
  <si>
    <t>Open an event that is not archived.</t>
  </si>
  <si>
    <t>GU-CHK-02</t>
  </si>
  <si>
    <t>Check in by name</t>
  </si>
  <si>
    <t>Tick consent and submit.</t>
  </si>
  <si>
    <t>The button changes to Check-in submitted and check-in shows as done in next steps.</t>
  </si>
  <si>
    <t>GU-CHK-03</t>
  </si>
  <si>
    <t>Check in by headcount</t>
  </si>
  <si>
    <t>With another code session, choose headcount, tick consent and submit.</t>
  </si>
  <si>
    <t>The headcount check-in is accepted and locked.</t>
  </si>
  <si>
    <t>GU-FBK</t>
  </si>
  <si>
    <t>GU-FBK · Feedback</t>
  </si>
  <si>
    <t>GU-FBK-01</t>
  </si>
  <si>
    <t>Try to submit feedback without a name or without consent.</t>
  </si>
  <si>
    <t>Feedback is refused until name and consent are given.</t>
  </si>
  <si>
    <t>Open an event that has ended (feedback is open for 7 days after the event).</t>
  </si>
  <si>
    <t>GU-FBK-02</t>
  </si>
  <si>
    <t>File limits</t>
  </si>
  <si>
    <t>Attach a photo over 10 MB, or a video longer than 60 seconds.</t>
  </si>
  <si>
    <t>The file is rejected with an error message.</t>
  </si>
  <si>
    <t>GU-FBK-03</t>
  </si>
  <si>
    <t>Submit feedback</t>
  </si>
  <si>
    <t>Enter name, choose 1 to 5 stars, add a comment, tick consent and submit.</t>
  </si>
  <si>
    <t>Feedback is accepted and shown as complete in next steps.</t>
  </si>
  <si>
    <t>GU-GAM</t>
  </si>
  <si>
    <t>GU-GAM · Event Games</t>
  </si>
  <si>
    <t>GU-GAM-01</t>
  </si>
  <si>
    <t>Join with PIN</t>
  </si>
  <si>
    <t>Open Join game and enter 123 and then a wrong 6-digit PIN, then the real PIN.</t>
  </si>
  <si>
    <t>Short PINs ask for 6 digits, wrong PINs show This game is unavailable, the real PIN joins with an alias such as Guest 1234.</t>
  </si>
  <si>
    <t>Needs a game published by PMCM and its 6-digit PIN or lobby link.</t>
  </si>
  <si>
    <t>GU-GAM-02</t>
  </si>
  <si>
    <t>Event lobby</t>
  </si>
  <si>
    <t>Open the lobby link from PMCM.</t>
  </si>
  <si>
    <t>The event branding and the list of games are shown, each with a Start button.</t>
  </si>
  <si>
    <t>GU-GAM-03</t>
  </si>
  <si>
    <t>Play a round</t>
  </si>
  <si>
    <t>Answer the current prompt and submit.</t>
  </si>
  <si>
    <t>Your answer locks for the round and your score and standings update.</t>
  </si>
  <si>
    <t>GU-GAM-04</t>
  </si>
  <si>
    <t>Resume a session</t>
  </si>
  <si>
    <t>Close the tab, reopen Join game and use the resume link.</t>
  </si>
  <si>
    <t>You return to the same game session with the same alias.</t>
  </si>
  <si>
    <t>PMCM Admin</t>
  </si>
  <si>
    <t>AD-ACC</t>
  </si>
  <si>
    <t>AD-ACC · Sign-in and Account Access</t>
  </si>
  <si>
    <t>AD-ACC-01</t>
  </si>
  <si>
    <t>Sign in with the admin email and password.</t>
  </si>
  <si>
    <t>The PMCM dashboard opens with the full sidebar.</t>
  </si>
  <si>
    <t>Use the PMCM admin account issued for UAT.</t>
  </si>
  <si>
    <t>AD-ACC-02</t>
  </si>
  <si>
    <t>An error appears and you stay on sign-in.</t>
  </si>
  <si>
    <t>AD-ACC-03</t>
  </si>
  <si>
    <t>Sign in with a client or supplier account.</t>
  </si>
  <si>
    <t>You are refused with a link to the correct portal.</t>
  </si>
  <si>
    <t>AD-ACC-04</t>
  </si>
  <si>
    <t>While signed out, open /dashboard directly, then sign in.</t>
  </si>
  <si>
    <t>You are sent to sign in, then back to the dashboard.</t>
  </si>
  <si>
    <t>AD-ACC-05</t>
  </si>
  <si>
    <t>Request a password reset by email.</t>
  </si>
  <si>
    <t>AD-INB</t>
  </si>
  <si>
    <t>AD-INB · Dashboard and Command Inbox</t>
  </si>
  <si>
    <t>AD-INB-01</t>
  </si>
  <si>
    <t>Command inbox</t>
  </si>
  <si>
    <t>Open the dashboard, refresh the inbox and change pages.</t>
  </si>
  <si>
    <t>Inbox items load, the sidebar badge matches the count and paging works.</t>
  </si>
  <si>
    <t>Sign in as admin.</t>
  </si>
  <si>
    <t>AD-INB-02</t>
  </si>
  <si>
    <t>Selected event summary</t>
  </si>
  <si>
    <t>Select an event and click Open event on the summary card.</t>
  </si>
  <si>
    <t>The summary matches the event and opens its workspace.</t>
  </si>
  <si>
    <t>AD-INB-03</t>
  </si>
  <si>
    <t>Account requests</t>
  </si>
  <si>
    <t>Approve one pending account request and decline another.</t>
  </si>
  <si>
    <t>Each request leaves the pending list with the chosen result.</t>
  </si>
  <si>
    <t>AD-INQ</t>
  </si>
  <si>
    <t>AD-INQ · Inquiries and Client Onboarding</t>
  </si>
  <si>
    <t>AD-INQ-01</t>
  </si>
  <si>
    <t>Review a new inquiry</t>
  </si>
  <si>
    <t>Open Inquiries and open the test inquiry.</t>
  </si>
  <si>
    <t>The details match what the client submitted, with duplicate and previously-declined cues where they apply.</t>
  </si>
  <si>
    <t>Submit a test inquiry from the client portal first.</t>
  </si>
  <si>
    <t>AD-INQ-02</t>
  </si>
  <si>
    <t>Pend and decline</t>
  </si>
  <si>
    <t>Pend one inquiry. Decline another, first without a reason, then with a reason.</t>
  </si>
  <si>
    <t>Pend is recorded. Decline needs a reason.</t>
  </si>
  <si>
    <t>AD-INQ-03</t>
  </si>
  <si>
    <t>Merge duplicates</t>
  </si>
  <si>
    <t>Merge a duplicate inquiry into its organization with a reason.</t>
  </si>
  <si>
    <t>The merge needs a reason and shows in merge history.</t>
  </si>
  <si>
    <t>AD-INQ-04</t>
  </si>
  <si>
    <t>Log on behalf of a client</t>
  </si>
  <si>
    <t>Log an inquiry on behalf of a client, including How did you hear about us.</t>
  </si>
  <si>
    <t>The inquiry is created and marked as logged by PMCM.</t>
  </si>
  <si>
    <t>AD-INQ-05</t>
  </si>
  <si>
    <t>Accept and upload conforme</t>
  </si>
  <si>
    <t>Accept the inquiry. Upload a non-PDF as the signed conforme, then a PDF under 10 MB.</t>
  </si>
  <si>
    <t>Non-PDF files are refused. After the PDF upload the event workspace is created and the client can open their portal.</t>
  </si>
  <si>
    <t>AD-INQ-06</t>
  </si>
  <si>
    <t>Conforme reminder and follow-up</t>
  </si>
  <si>
    <t>Send a conforme reminder, then generate a follow-up draft and click Approve and queue for delivery.</t>
  </si>
  <si>
    <t>The reminder is recorded and the draft is queued, not sent instantly.</t>
  </si>
  <si>
    <t>AD-CLI</t>
  </si>
  <si>
    <t>AD-CLI · Clients</t>
  </si>
  <si>
    <t>AD-CLI-01</t>
  </si>
  <si>
    <t>Client list and details</t>
  </si>
  <si>
    <t>Open Clients and open a client.</t>
  </si>
  <si>
    <t>Contact, company, event and inquiry counts and balance are shown.</t>
  </si>
  <si>
    <t>AD-CLI-02</t>
  </si>
  <si>
    <t>Client events</t>
  </si>
  <si>
    <t>Open the client's events view and click an event.</t>
  </si>
  <si>
    <t>The event workspace opens.</t>
  </si>
  <si>
    <t>AD-CLI-03</t>
  </si>
  <si>
    <t>Archived event search</t>
  </si>
  <si>
    <t>Search archived events by venue, event type or month.</t>
  </si>
  <si>
    <t>Matching archived events are listed.</t>
  </si>
  <si>
    <t>AD-TSK</t>
  </si>
  <si>
    <t>AD-TSK · Tasks and Ocular Visits</t>
  </si>
  <si>
    <t>AD-TSK-01</t>
  </si>
  <si>
    <t>Schedule and complete an ocular</t>
  </si>
  <si>
    <t>Open Tasks, schedule an ocular visit, then mark it complete.</t>
  </si>
  <si>
    <t>Status changes to scheduled, then completed.</t>
  </si>
  <si>
    <t>Needs an event with an ocular visit request.</t>
  </si>
  <si>
    <t>AD-TSK-02</t>
  </si>
  <si>
    <t>Waive an ocular</t>
  </si>
  <si>
    <t>Waive an ocular visit without a reason, then with a reason.</t>
  </si>
  <si>
    <t>A reason is required and the waiver is recorded.</t>
  </si>
  <si>
    <t>AD-TSK-03</t>
  </si>
  <si>
    <t>Action center links</t>
  </si>
  <si>
    <t>Click each action-center count.</t>
  </si>
  <si>
    <t>Each link opens the matching list (inquiries, approvals, quotes, payments, checks).</t>
  </si>
  <si>
    <t>AD-OVR</t>
  </si>
  <si>
    <t>AD-OVR · Event Overview, Briefing and Change Control</t>
  </si>
  <si>
    <t>AD-OVR-01</t>
  </si>
  <si>
    <t>Briefing and compliance</t>
  </si>
  <si>
    <t>On Overview submit the event briefing and run planning compliance. Open the Briefing tab.</t>
  </si>
  <si>
    <t>The briefing is saved and shown on the Briefing tab. Compliance results appear.</t>
  </si>
  <si>
    <t>Open an event in planning.</t>
  </si>
  <si>
    <t>AD-OVR-02</t>
  </si>
  <si>
    <t>Scope change requests</t>
  </si>
  <si>
    <t>Start review on a client change request, then approve or reject it with a reason.</t>
  </si>
  <si>
    <t>The decision needs a reason and the client sees the new status.</t>
  </si>
  <si>
    <t>AD-OVR-03</t>
  </si>
  <si>
    <t>Freeze scope and exceptions</t>
  </si>
  <si>
    <t>Freeze scope with a reason, then create and approve a freeze exception.</t>
  </si>
  <si>
    <t>Freeze needs a reason. The exception is listed and used once.</t>
  </si>
  <si>
    <t>AD-OVR-04</t>
  </si>
  <si>
    <t>Cancellation or postponement</t>
  </si>
  <si>
    <t>Record a postponement with a new date and deposit treatment (use a test event).</t>
  </si>
  <si>
    <t>The impact review is shown and the decision is recorded.</t>
  </si>
  <si>
    <t>AD-OVR-05</t>
  </si>
  <si>
    <t>Secondary contacts and access code</t>
  </si>
  <si>
    <t>Grant floorplan access to an approved client account. Check the guest access code.</t>
  </si>
  <si>
    <t>The contact is added. The guest access code is shown, or Pending if not yet generated.</t>
  </si>
  <si>
    <t>AD-FLR</t>
  </si>
  <si>
    <t>AD-FLR · Floorplans</t>
  </si>
  <si>
    <t>AD-FLR-01</t>
  </si>
  <si>
    <t>Create from template</t>
  </si>
  <si>
    <t>Start a new draft from a saved venue template.</t>
  </si>
  <si>
    <t>The draft opens with the template layout.</t>
  </si>
  <si>
    <t>Open an event and go to Floorplans.</t>
  </si>
  <si>
    <t>AD-FLR-02</t>
  </si>
  <si>
    <t>Edit and save</t>
  </si>
  <si>
    <t>Add and move items in the editor and save.</t>
  </si>
  <si>
    <t>Changes are kept after reopening the draft.</t>
  </si>
  <si>
    <t>AD-FLR-03</t>
  </si>
  <si>
    <t>Table assignment rules</t>
  </si>
  <si>
    <t>Assign more guests to a table than it holds and save.</t>
  </si>
  <si>
    <t>The save is refused with a clear reason.</t>
  </si>
  <si>
    <t>AD-FLR-04</t>
  </si>
  <si>
    <t>Submit and approve</t>
  </si>
  <si>
    <t>Submit a draft for review, then approve it.</t>
  </si>
  <si>
    <t>Submit only shows for new or needs-revision drafts. Approve only shows for drafts in review.</t>
  </si>
  <si>
    <t>AD-FLR-05</t>
  </si>
  <si>
    <t>Client preference</t>
  </si>
  <si>
    <t>Open a client's submitted preference and reopen it with a note.</t>
  </si>
  <si>
    <t>The client's preference is shown and the client can revise it again.</t>
  </si>
  <si>
    <t>AD-SUP</t>
  </si>
  <si>
    <t>AD-SUP · Event Suppliers</t>
  </si>
  <si>
    <t>AD-SUP-01</t>
  </si>
  <si>
    <t>Request and compare quotes</t>
  </si>
  <si>
    <t>Request quotes for a category, then compare received quotes and select one.</t>
  </si>
  <si>
    <t>Suppliers receive the request. The selected quote is marked and others are closed.</t>
  </si>
  <si>
    <t>Open an event and go to Suppliers.</t>
  </si>
  <si>
    <t>AD-SUP-02</t>
  </si>
  <si>
    <t>Readiness board</t>
  </si>
  <si>
    <t>Open the readiness board.</t>
  </si>
  <si>
    <t>Each supplier's readiness is shown. A category with no selected quote shows a hard block.</t>
  </si>
  <si>
    <t>AD-SUP-03</t>
  </si>
  <si>
    <t>Ingress schedule</t>
  </si>
  <si>
    <t>Publish an ingress and egress schedule.</t>
  </si>
  <si>
    <t>The supplier sees the schedule and can acknowledge it.</t>
  </si>
  <si>
    <t>AD-SUP-04</t>
  </si>
  <si>
    <t>Contracts</t>
  </si>
  <si>
    <t>Review a supplier contract upload and request a revision with a reason.</t>
  </si>
  <si>
    <t>The supplier sees the revision request and reason.</t>
  </si>
  <si>
    <t>AD-SUP-05</t>
  </si>
  <si>
    <t>Payables</t>
  </si>
  <si>
    <t>Release a payable milestone, then reverse it.</t>
  </si>
  <si>
    <t>Release and reversal are recorded and amounts update.</t>
  </si>
  <si>
    <t>AD-SUP-06</t>
  </si>
  <si>
    <t>Emergency replacement</t>
  </si>
  <si>
    <t>Withdraw a confirmed supplier (test event only).</t>
  </si>
  <si>
    <t>A recommended replacement and draft messages are shown for PMCM to review.</t>
  </si>
  <si>
    <t>AD-DIR</t>
  </si>
  <si>
    <t>AD-DIR · Supplier Directory and Applications</t>
  </si>
  <si>
    <t>AD-DIR-01</t>
  </si>
  <si>
    <t>Applications inbox</t>
  </si>
  <si>
    <t>Open the test application and request a proposal, schedule a meeting or decline.</t>
  </si>
  <si>
    <t>The status changes and the applicant sees it on the Status page.</t>
  </si>
  <si>
    <t>Submit a test supplier application first.</t>
  </si>
  <si>
    <t>AD-DIR-02</t>
  </si>
  <si>
    <t>Approve an application</t>
  </si>
  <si>
    <t>Approve an application.</t>
  </si>
  <si>
    <t>A directory supplier is created, pending its first event.</t>
  </si>
  <si>
    <t>AD-DIR-03</t>
  </si>
  <si>
    <t>Create and edit a supplier</t>
  </si>
  <si>
    <t>Create a supplier, then edit its profile, tier and BNI membership.</t>
  </si>
  <si>
    <t>Changes are saved and shown in the directory.</t>
  </si>
  <si>
    <t>AD-DIR-04</t>
  </si>
  <si>
    <t>Filters</t>
  </si>
  <si>
    <t>Filter by category, tier and rating.</t>
  </si>
  <si>
    <t>The list shows only matching suppliers.</t>
  </si>
  <si>
    <t>AD-COR</t>
  </si>
  <si>
    <t>AD-COR · Coordinators and Team</t>
  </si>
  <si>
    <t>AD-COR-01</t>
  </si>
  <si>
    <t>Assign with suggestions</t>
  </si>
  <si>
    <t>Pick a role and assign a coordinator from the suggestions.</t>
  </si>
  <si>
    <t>Suggestions show skill match and the coordinator is assigned.</t>
  </si>
  <si>
    <t>Open an event and go to Coordinators.</t>
  </si>
  <si>
    <t>AD-COR-02</t>
  </si>
  <si>
    <t>Same-date conflict</t>
  </si>
  <si>
    <t>Assign a coordinator already booked on the same date.</t>
  </si>
  <si>
    <t>The assignment is blocked and same-role alternatives are suggested.</t>
  </si>
  <si>
    <t>AD-COR-03</t>
  </si>
  <si>
    <t>Event Day System Operator</t>
  </si>
  <si>
    <t>Designate a coordinator as Event Day System Operator.</t>
  </si>
  <si>
    <t>The designation is shown and that coordinator gets operator controls.</t>
  </si>
  <si>
    <t>AD-COR-04</t>
  </si>
  <si>
    <t>Availability and reminders</t>
  </si>
  <si>
    <t>Add an unavailable date for a coordinator and send an acknowledgment reminder.</t>
  </si>
  <si>
    <t>The date blocks assignment and the reminder is recorded.</t>
  </si>
  <si>
    <t>AD-COR-05</t>
  </si>
  <si>
    <t>Reliability history</t>
  </si>
  <si>
    <t>Open a coordinator's reliability history.</t>
  </si>
  <si>
    <t>Past assignments and withdrawals are listed.</t>
  </si>
  <si>
    <t>AD-LIV</t>
  </si>
  <si>
    <t>AD-LIV · Live Ops and Run Sheet</t>
  </si>
  <si>
    <t>AD-LIV-01</t>
  </si>
  <si>
    <t>Event-day tasks</t>
  </si>
  <si>
    <t>Create a task with title, owner role, priority and SLA, then update and escalate it.</t>
  </si>
  <si>
    <t>The task is listed and its status changes are shown.</t>
  </si>
  <si>
    <t>Open an event near or on event day.</t>
  </si>
  <si>
    <t>AD-LIV-02</t>
  </si>
  <si>
    <t>Urgent issues</t>
  </si>
  <si>
    <t>Log an issue with severity and area, then update it.</t>
  </si>
  <si>
    <t>The issue is listed and its changes are shown.</t>
  </si>
  <si>
    <t>AD-LIV-03</t>
  </si>
  <si>
    <t>Coordinator attendance</t>
  </si>
  <si>
    <t>Mark coordinators present, late and absent. Replace an absent one using suggestions.</t>
  </si>
  <si>
    <t>Attendance is recorded and the replacement is assigned.</t>
  </si>
  <si>
    <t>AD-LIV-04</t>
  </si>
  <si>
    <t>Schedule and handoffs</t>
  </si>
  <si>
    <t>Add a day and segments, record a shift handoff and reply to an end-of-day report.</t>
  </si>
  <si>
    <t>Each entry is saved and shown.</t>
  </si>
  <si>
    <t>AD-LIV-05</t>
  </si>
  <si>
    <t>Run sheet</t>
  </si>
  <si>
    <t>Open Run sheet and print it.</t>
  </si>
  <si>
    <t>Items are in time order and the print view is readable.</t>
  </si>
  <si>
    <t>AD-REG</t>
  </si>
  <si>
    <t>AD-REG · Registration and Guests</t>
  </si>
  <si>
    <t>AD-REG-01</t>
  </si>
  <si>
    <t>Registration setup</t>
  </si>
  <si>
    <t>Set the registration platform type and min, max and expected guests.</t>
  </si>
  <si>
    <t>The settings are saved.</t>
  </si>
  <si>
    <t>Open an event and go to Registration.</t>
  </si>
  <si>
    <t>AD-REG-02</t>
  </si>
  <si>
    <t>Guest roster</t>
  </si>
  <si>
    <t>Import a guest roster, then search and filter it.</t>
  </si>
  <si>
    <t>Guests are imported and search finds them.</t>
  </si>
  <si>
    <t>AD-REG-03</t>
  </si>
  <si>
    <t>Check-in and verification</t>
  </si>
  <si>
    <t>Verify and check in a guest from the roster.</t>
  </si>
  <si>
    <t>The guest shows as verified and checked in.</t>
  </si>
  <si>
    <t>AD-REG-04</t>
  </si>
  <si>
    <t>Walk-in and privacy settings</t>
  </si>
  <si>
    <t>Set the walk-in policy open or closed with a threshold, and set guest privacy classification.</t>
  </si>
  <si>
    <t>The settings are saved and apply at the registration desk.</t>
  </si>
  <si>
    <t>AD-GAM</t>
  </si>
  <si>
    <t>AD-GAM · Event Games</t>
  </si>
  <si>
    <t>AD-GAM-01</t>
  </si>
  <si>
    <t>Create and configure</t>
  </si>
  <si>
    <t>Create a game from the catalog and set its questions or options.</t>
  </si>
  <si>
    <t>The draft is saved with your configuration.</t>
  </si>
  <si>
    <t>Open an event and go to Games.</t>
  </si>
  <si>
    <t>AD-GAM-02</t>
  </si>
  <si>
    <t>Lobby and branding</t>
  </si>
  <si>
    <t>Set the lobby logo and theme, copy the lobby URL and show the PIN.</t>
  </si>
  <si>
    <t>Guests opening the URL see your branding. The PIN is shown when you choose.</t>
  </si>
  <si>
    <t>AD-GAM-03</t>
  </si>
  <si>
    <t>Run the game</t>
  </si>
  <si>
    <t>Publish, start, go to the next round and end the game while a guest plays.</t>
  </si>
  <si>
    <t>The guest screen follows each step and the leaderboard updates.</t>
  </si>
  <si>
    <t>AD-GAM-04</t>
  </si>
  <si>
    <t>Moderation and awards</t>
  </si>
  <si>
    <t>Hide a guest answer and assign an award.</t>
  </si>
  <si>
    <t>The hidden answer disappears from shared results and the award is recorded.</t>
  </si>
  <si>
    <t>AD-BIL</t>
  </si>
  <si>
    <t>AD-BIL · Billing and Finance</t>
  </si>
  <si>
    <t>AD-BIL-01</t>
  </si>
  <si>
    <t>Record a payment</t>
  </si>
  <si>
    <t>Record a payment of 0, then more than the milestone balance, then a valid amount (Bank Transfer, Cheque or GCash).</t>
  </si>
  <si>
    <t>0 and over-balance amounts are refused. The valid payment updates the balance.</t>
  </si>
  <si>
    <t>Open an event with a billing statement. Correction approval needs a second admin account.</t>
  </si>
  <si>
    <t>AD-BIL-02</t>
  </si>
  <si>
    <t>Send the statement</t>
  </si>
  <si>
    <t>Send the billing statement.</t>
  </si>
  <si>
    <t>The send is logged in notification activity and the client sees the statement.</t>
  </si>
  <si>
    <t>AD-BIL-03</t>
  </si>
  <si>
    <t>Disputes and waivers</t>
  </si>
  <si>
    <t>Record a dispute above the statement total, then a valid one, and resolve or waive it with a reason.</t>
  </si>
  <si>
    <t>The over-total dispute is refused. Resolve or waive needs a reason.</t>
  </si>
  <si>
    <t>AD-BIL-04</t>
  </si>
  <si>
    <t>Additional billing</t>
  </si>
  <si>
    <t>Issue additional billing from an approved billing source.</t>
  </si>
  <si>
    <t>The additional billing appears on the statement.</t>
  </si>
  <si>
    <t>AD-BIL-05</t>
  </si>
  <si>
    <t>Correction needs a second admin</t>
  </si>
  <si>
    <t>Request a correction, try to approve it with the same admin, then approve it with a second admin.</t>
  </si>
  <si>
    <t>Approve is disabled for the requester. The second admin can approve.</t>
  </si>
  <si>
    <t>AD-CLO</t>
  </si>
  <si>
    <t>AD-CLO · Closure and Archive</t>
  </si>
  <si>
    <t>AD-CLO-01</t>
  </si>
  <si>
    <t>Record end and logistics</t>
  </si>
  <si>
    <t>Record the actual end time. Try logistics completion before confirming asset returns, then after.</t>
  </si>
  <si>
    <t>Logistics completion needs asset returns confirmed first and is then recorded.</t>
  </si>
  <si>
    <t>Open an event that has ended (use a test event).</t>
  </si>
  <si>
    <t>AD-CLO-02</t>
  </si>
  <si>
    <t>Wrap-up and close gates</t>
  </si>
  <si>
    <t>Complete the wrap-up and review the close gates.</t>
  </si>
  <si>
    <t>Must-fix and advisory gates are shown with their status.</t>
  </si>
  <si>
    <t>AD-CLO-03</t>
  </si>
  <si>
    <t>Archive rules</t>
  </si>
  <si>
    <t>Try to archive with a failing gate and no reason, then give an override reason.</t>
  </si>
  <si>
    <t>Archive is blocked without a reason and allowed with one.</t>
  </si>
  <si>
    <t>AD-CLO-04</t>
  </si>
  <si>
    <t>Reviews, testimonials and feedback</t>
  </si>
  <si>
    <t>Add a supplier review, approve a client testimonial and approve or hide a guest feedback item.</t>
  </si>
  <si>
    <t>Each decision is saved. Hidden feedback is not shown publicly.</t>
  </si>
  <si>
    <t>AD-CLO-05</t>
  </si>
  <si>
    <t>Compare archived events</t>
  </si>
  <si>
    <t>Select 2 to 4 archived events and compare them.</t>
  </si>
  <si>
    <t>A side-by-side comparison is shown. Fewer than 2 or more than 4 cannot be compared.</t>
  </si>
  <si>
    <t>AD-MSG</t>
  </si>
  <si>
    <t>AD-MSG · Messages</t>
  </si>
  <si>
    <t>AD-MSG-01</t>
  </si>
  <si>
    <t>Create a thread</t>
  </si>
  <si>
    <t>On the event's Activity tab create a message thread and send a message.</t>
  </si>
  <si>
    <t>The thread is created and the client can see the message.</t>
  </si>
  <si>
    <t>Open an event with a client.</t>
  </si>
  <si>
    <t>AD-MSG-02</t>
  </si>
  <si>
    <t>Reply and history</t>
  </si>
  <si>
    <t>Reply to a client message and click Load older messages.</t>
  </si>
  <si>
    <t>The reply is shown and older messages load.</t>
  </si>
  <si>
    <t>AD-FIL</t>
  </si>
  <si>
    <t>AD-FIL · Files and Requirements</t>
  </si>
  <si>
    <t>AD-FIL-01</t>
  </si>
  <si>
    <t>Requirements matrix</t>
  </si>
  <si>
    <t>Add a requirement and set owner role, visibility, required flag and due date.</t>
  </si>
  <si>
    <t>The requirement is saved and only the chosen roles can see it.</t>
  </si>
  <si>
    <t>Select an event and open Files.</t>
  </si>
  <si>
    <t>AD-FIL-02</t>
  </si>
  <si>
    <t>Document hub</t>
  </si>
  <si>
    <t>Open the document hub and its links to floorplans, briefing, suppliers, billing and closure.</t>
  </si>
  <si>
    <t>Each link opens the right area.</t>
  </si>
  <si>
    <t>AD-AUD</t>
  </si>
  <si>
    <t>AD-AUD · Audit Trail and Decision Log</t>
  </si>
  <si>
    <t>AD-AUD-01</t>
  </si>
  <si>
    <t>Audit trail filters</t>
  </si>
  <si>
    <t>Open Audit and filter by event, severity and user.</t>
  </si>
  <si>
    <t>Your recent actions appear and filters narrow the list.</t>
  </si>
  <si>
    <t>Sign in as admin after doing a few actions.</t>
  </si>
  <si>
    <t>AD-AUD-02</t>
  </si>
  <si>
    <t>Decision log</t>
  </si>
  <si>
    <t>Open an event's Decision log tab.</t>
  </si>
  <si>
    <t>Overrides, approvals and scope decisions are listed with their reasons.</t>
  </si>
  <si>
    <t>AD-PRV</t>
  </si>
  <si>
    <t>AD-PRV · Privacy Console</t>
  </si>
  <si>
    <t>AD-PRV-01</t>
  </si>
  <si>
    <t>Queue and filters</t>
  </si>
  <si>
    <t>Open Privacy and filter by type, status and owner. Assign a request to yourself.</t>
  </si>
  <si>
    <t>The queue filters correctly and shows due dates. You become the owner.</t>
  </si>
  <si>
    <t>Needs a test privacy request. Use test data only.</t>
  </si>
  <si>
    <t>AD-PRV-02</t>
  </si>
  <si>
    <t>Approve, reject and execute</t>
  </si>
  <si>
    <t>Approve and execute an access/export request on test data. Reject another.</t>
  </si>
  <si>
    <t>Execution returns the subject's data bundle. Rejection is recorded.</t>
  </si>
  <si>
    <t>AD-PRV-03</t>
  </si>
  <si>
    <t>Legal hold</t>
  </si>
  <si>
    <t>Place a legal hold, then lift it.</t>
  </si>
  <si>
    <t>While on hold, related deletion is blocked. Lifting the hold is recorded.</t>
  </si>
  <si>
    <t>AD-SET</t>
  </si>
  <si>
    <t>AD-SET · Settings</t>
  </si>
  <si>
    <t>AD-SET-01</t>
  </si>
  <si>
    <t>Client event-day view switch</t>
  </si>
  <si>
    <t>Open Settings and turn the Client event-day view switch on and off.</t>
  </si>
  <si>
    <t>A saving state appears and the setting stays after reload.</t>
  </si>
  <si>
    <t>Coordinator</t>
  </si>
  <si>
    <t>CO-ACC</t>
  </si>
  <si>
    <t>CO-ACC · Sign-in and Portal Scope</t>
  </si>
  <si>
    <t>CO-ACC-01</t>
  </si>
  <si>
    <t>Sign in with the coordinator email and password.</t>
  </si>
  <si>
    <t>The Coordinator Portal opens, not the PMCM command portal.</t>
  </si>
  <si>
    <t>Use the coordinator account issued for UAT.</t>
  </si>
  <si>
    <t>CO-ACC-02</t>
  </si>
  <si>
    <t>PMCM areas are closed</t>
  </si>
  <si>
    <t>Type PMCM addresses such as /dashboard/finance or /dashboard/audit.</t>
  </si>
  <si>
    <t>Only the Coordinator Portal is shown. No finance, audit, inquiry or supplier data is visible.</t>
  </si>
  <si>
    <t>CO-ACC-03</t>
  </si>
  <si>
    <t>Role notice</t>
  </si>
  <si>
    <t>Read the boundary notice.</t>
  </si>
  <si>
    <t>It says coordinators only see data for their role.</t>
  </si>
  <si>
    <t>CO-EVT</t>
  </si>
  <si>
    <t>CO-EVT · Event Switcher and Assignment</t>
  </si>
  <si>
    <t>CO-EVT-01</t>
  </si>
  <si>
    <t>Assigned events only</t>
  </si>
  <si>
    <t>Open the event switcher.</t>
  </si>
  <si>
    <t>Only events you are assigned to are listed, including past ones.</t>
  </si>
  <si>
    <t>Needs at least one assignment from PMCM.</t>
  </si>
  <si>
    <t>CO-EVT-02</t>
  </si>
  <si>
    <t>Acknowledge or decline</t>
  </si>
  <si>
    <t>Acknowledge a new assignment. On another test assignment, decline or withdraw.</t>
  </si>
  <si>
    <t>Each action is recorded and appears in assignment history.</t>
  </si>
  <si>
    <t>CO-EVT-03</t>
  </si>
  <si>
    <t>Archived events</t>
  </si>
  <si>
    <t>Switch to an archived event.</t>
  </si>
  <si>
    <t>A read-only banner is shown and all forms are disabled.</t>
  </si>
  <si>
    <t>CO-DAY</t>
  </si>
  <si>
    <t>CO-DAY · Event Day Work</t>
  </si>
  <si>
    <t>CO-DAY-01</t>
  </si>
  <si>
    <t>Mark arrival</t>
  </si>
  <si>
    <t>Mark your arrival.</t>
  </si>
  <si>
    <t>Your attendance shows as arrived.</t>
  </si>
  <si>
    <t>Select a current event you are assigned to.</t>
  </si>
  <si>
    <t>CO-DAY-02</t>
  </si>
  <si>
    <t>Role queue</t>
  </si>
  <si>
    <t>Update the status of a task in your queue.</t>
  </si>
  <si>
    <t>The new status is saved.</t>
  </si>
  <si>
    <t>CO-DAY-03</t>
  </si>
  <si>
    <t>Request reassignment</t>
  </si>
  <si>
    <t>Request reassignment of a task with a reason and a new role or coordinator.</t>
  </si>
  <si>
    <t>The request is sent to the operator or PMCM.</t>
  </si>
  <si>
    <t>CO-DAY-04</t>
  </si>
  <si>
    <t>Log task and urgent issue</t>
  </si>
  <si>
    <t>Log an event-day task with priority and due time, and an urgent issue with severity and area.</t>
  </si>
  <si>
    <t>Both are recorded and PMCM can see them in Live ops.</t>
  </si>
  <si>
    <t>CO-DAY-05</t>
  </si>
  <si>
    <t>Timeline and briefing</t>
  </si>
  <si>
    <t>Open the timeline and briefing.</t>
  </si>
  <si>
    <t>The critical timeline and floor and stage briefing are shown, or a message if PMCM has not submitted the briefing.</t>
  </si>
  <si>
    <t>CO-OPR</t>
  </si>
  <si>
    <t>CO-OPR · Event Day System Operator</t>
  </si>
  <si>
    <t>CO-OPR-01</t>
  </si>
  <si>
    <t>Delegated attendance</t>
  </si>
  <si>
    <t>Mark another coordinator absent with Confirm absent.</t>
  </si>
  <si>
    <t>Their attendance is updated.</t>
  </si>
  <si>
    <t>Sign in as the coordinator PMCM designated as operator. Some cases need a second, non-operator coordinator.</t>
  </si>
  <si>
    <t>CO-OPR-02</t>
  </si>
  <si>
    <t>Reassignment decisions</t>
  </si>
  <si>
    <t>Approve one reassignment request and reject another.</t>
  </si>
  <si>
    <t>Both decisions are recorded and the task owner updates.</t>
  </si>
  <si>
    <t>CO-OPR-03</t>
  </si>
  <si>
    <t>Edit the schedule</t>
  </si>
  <si>
    <t>Add a day and a segment.</t>
  </si>
  <si>
    <t>The schedule is updated.</t>
  </si>
  <si>
    <t>CO-OPR-04</t>
  </si>
  <si>
    <t>Non-operator cannot edit</t>
  </si>
  <si>
    <t>Sign in as a non-operator coordinator and open the schedule.</t>
  </si>
  <si>
    <t>A message says only the designated operator can edit the schedule.</t>
  </si>
  <si>
    <t>CO-SUP</t>
  </si>
  <si>
    <t>CO-SUP · Supplier Setup Checks</t>
  </si>
  <si>
    <t>CO-SUP-01</t>
  </si>
  <si>
    <t>Verify setup</t>
  </si>
  <si>
    <t>Verify a supplier's setup.</t>
  </si>
  <si>
    <t>The setup shows as verified and PMCM sees it.</t>
  </si>
  <si>
    <t>Sign in as the operator or an Ingress and Egress coordinator.</t>
  </si>
  <si>
    <t>CO-SUP-02</t>
  </si>
  <si>
    <t>Dispute setup</t>
  </si>
  <si>
    <t>Dispute another supplier's setup with a note.</t>
  </si>
  <si>
    <t>The dispute is recorded and PMCM sees it.</t>
  </si>
  <si>
    <t>CO-REG</t>
  </si>
  <si>
    <t>CO-REG · Registration Desk</t>
  </si>
  <si>
    <t>CO-REG-01</t>
  </si>
  <si>
    <t>Search the roster</t>
  </si>
  <si>
    <t>Search the guest roster by name.</t>
  </si>
  <si>
    <t>Matching guests are listed with limited details.</t>
  </si>
  <si>
    <t>Sign in as a Registration Staff coordinator assigned to the event.</t>
  </si>
  <si>
    <t>CO-REG-02</t>
  </si>
  <si>
    <t>Check in a guest</t>
  </si>
  <si>
    <t>Verify and check in a guest.</t>
  </si>
  <si>
    <t>The guest shows as checked in.</t>
  </si>
  <si>
    <t>CO-REG-03</t>
  </si>
  <si>
    <t>Register a walk-in</t>
  </si>
  <si>
    <t>Register a walk-in without consent, then with consent, then verify and check them in.</t>
  </si>
  <si>
    <t>Consent is required. The walk-in follows the PMCM walk-in policy and can be checked in after verification.</t>
  </si>
  <si>
    <t>CO-REG-04</t>
  </si>
  <si>
    <t>Archived event</t>
  </si>
  <si>
    <t>Switch to an archived event and try to check in a guest.</t>
  </si>
  <si>
    <t>The roster can be read but check-in is refused.</t>
  </si>
  <si>
    <t>UAT Summary</t>
  </si>
  <si>
    <t>Counts come from the Responses sheet. Pass rate = Passed ÷ results recorded.</t>
  </si>
  <si>
    <t>Passed</t>
  </si>
  <si>
    <t>Partially Passed</t>
  </si>
  <si>
    <t>Fail</t>
  </si>
  <si>
    <t>Skipped</t>
  </si>
  <si>
    <t>Results Recorded</t>
  </si>
  <si>
    <t>Pass Rate</t>
  </si>
  <si>
    <t>Comments Missing</t>
  </si>
  <si>
    <t>All Client modules</t>
  </si>
  <si>
    <t>All Supplier modules</t>
  </si>
  <si>
    <t>All Guest modules</t>
  </si>
  <si>
    <t>All PMCM Admin modules</t>
  </si>
  <si>
    <t>All Coordinator modules</t>
  </si>
  <si>
    <t>Total</t>
  </si>
  <si>
    <t>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</si>
</sst>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7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1F3864"/>
      <sz val="16"/>
      <name val="Arial"/>
    </font>
    <font>
      <b/>
      <color rgb="FF1F3864"/>
      <sz val="12"/>
      <name val="Arial"/>
    </font>
    <font>
      <b/>
      <sz val="10"/>
      <name val="Arial"/>
    </font>
    <font>
      <b/>
      <color rgb="FF1F3864"/>
      <sz val="10"/>
      <name val="Arial"/>
    </font>
    <font>
      <b/>
      <color rgb="FFFFFFFF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59595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1" fillId="2" borderId="1" xfId="0" applyFont="1" applyFill="1" applyBorder="1" applyAlignment="1" applyProtection="1">
      <alignment vertical="center" wrapText="1"/>
      <protection locked="0"/>
    </xf>
    <xf numFmtId="164" fontId="1" fillId="2" borderId="1" xfId="0" applyNumberFormat="1" applyFont="1" applyFill="1" applyBorder="1" applyAlignment="1" applyProtection="1">
      <alignment vertical="center" wrapText="1"/>
      <protection locked="0"/>
    </xf>
    <xf numFmtId="0" fontId="1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0" xfId="0" applyFont="1"/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1" fillId="2" borderId="1" xfId="0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  <xf numFmtId="164" fontId="1" fillId="0" borderId="0" xfId="0" applyNumberFormat="1" applyFont="1"/>
    <xf numFmtId="0" fontId="4" fillId="6" borderId="1" xfId="0" applyFont="1" applyFill="1" applyBorder="1"/>
    <xf numFmtId="0" fontId="1" fillId="0" borderId="1" xfId="0" applyFont="1" applyBorder="1"/>
    <xf numFmtId="165" fontId="1" fillId="0" borderId="1" xfId="0" applyNumberFormat="1" applyFont="1" applyBorder="1"/>
    <xf numFmtId="165" fontId="1" fillId="0" borderId="0" xfId="0" applyNumberFormat="1" applyFont="1"/>
  </cellXfs>
  <cellStyles count="1">
    <cellStyle name="Normal" xfId="0" builtinId="0"/>
  </cellStyles>
  <dxfs count="9">
    <dxf>
      <font>
        <b/>
        <color rgb="FF9C0006"/>
      </font>
      <fill>
        <patternFill patternType="solid">
          <bgColor rgb="FFF8CBAD"/>
        </patternFill>
      </fill>
    </dxf>
    <dxf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8CBAD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ill>
        <patternFill patternType="solid">
          <bgColor rgb="FFF8CBAD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1" width="4" customWidth="1"/>
    <col min="2" max="2" width="34" customWidth="1"/>
    <col min="3" max="3" width="70" customWidth="1"/>
    <col min="4" max="4" width="40" customWidth="1"/>
  </cols>
  <sheetData>
    <row r="1" spans="1:2" x14ac:dyDescent="0.25">
      <c r="A1" s="1"/>
      <c r="B1" s="2" t="s">
        <v>0</v>
      </c>
    </row>
    <row r="3" spans="1:2" x14ac:dyDescent="0.25">
      <c r="A3" s="1"/>
      <c r="B3" s="3" t="s">
        <v>1</v>
      </c>
    </row>
    <row r="4" spans="1:4" x14ac:dyDescent="0.25">
      <c r="A4" s="1">
        <v>1</v>
      </c>
      <c r="B4" s="4" t="s">
        <v>2</v>
      </c>
      <c r="C4" s="4"/>
      <c r="D4" s="4"/>
    </row>
    <row r="5" spans="1:4" x14ac:dyDescent="0.25">
      <c r="A5" s="1">
        <v>2</v>
      </c>
      <c r="B5" s="4" t="s">
        <v>3</v>
      </c>
      <c r="C5" s="4"/>
      <c r="D5" s="4"/>
    </row>
    <row r="6" spans="1:4" x14ac:dyDescent="0.25">
      <c r="A6" s="1">
        <v>3</v>
      </c>
      <c r="B6" s="4" t="s">
        <v>4</v>
      </c>
      <c r="C6" s="4"/>
      <c r="D6" s="4"/>
    </row>
    <row r="7" spans="1:4" x14ac:dyDescent="0.25">
      <c r="A7" s="1">
        <v>4</v>
      </c>
      <c r="B7" s="4" t="s">
        <v>5</v>
      </c>
      <c r="C7" s="4"/>
      <c r="D7" s="4"/>
    </row>
    <row r="8" spans="1:4" x14ac:dyDescent="0.25">
      <c r="A8" s="1">
        <v>5</v>
      </c>
      <c r="B8" s="4" t="s">
        <v>6</v>
      </c>
      <c r="C8" s="4"/>
      <c r="D8" s="4"/>
    </row>
    <row r="9" spans="1:4" x14ac:dyDescent="0.25">
      <c r="A9" s="1">
        <v>6</v>
      </c>
      <c r="B9" s="4" t="s">
        <v>7</v>
      </c>
      <c r="C9" s="4"/>
      <c r="D9" s="4"/>
    </row>
    <row r="10" spans="1:4" x14ac:dyDescent="0.25">
      <c r="A10" s="1">
        <v>7</v>
      </c>
      <c r="B10" s="4" t="s">
        <v>8</v>
      </c>
      <c r="C10" s="4"/>
      <c r="D10" s="4"/>
    </row>
    <row r="12" spans="1:2" x14ac:dyDescent="0.25">
      <c r="A12" s="1"/>
      <c r="B12" s="3" t="s">
        <v>9</v>
      </c>
    </row>
    <row r="13" spans="1:3" x14ac:dyDescent="0.25">
      <c r="A13" s="1"/>
      <c r="B13" s="5" t="s">
        <v>10</v>
      </c>
      <c r="C13" s="4" t="s">
        <v>11</v>
      </c>
    </row>
    <row r="14" spans="1:3" x14ac:dyDescent="0.25">
      <c r="A14" s="1"/>
      <c r="B14" s="5" t="s">
        <v>12</v>
      </c>
      <c r="C14" s="4" t="s">
        <v>13</v>
      </c>
    </row>
    <row r="15" spans="1:3" x14ac:dyDescent="0.25">
      <c r="A15" s="1"/>
      <c r="B15" s="5" t="s">
        <v>14</v>
      </c>
      <c r="C15" s="4" t="s">
        <v>15</v>
      </c>
    </row>
    <row r="16" spans="1:3" x14ac:dyDescent="0.25">
      <c r="A16" s="1"/>
      <c r="B16" s="5" t="s">
        <v>16</v>
      </c>
      <c r="C16" s="4" t="s">
        <v>17</v>
      </c>
    </row>
    <row r="18" spans="1:2" x14ac:dyDescent="0.25">
      <c r="A18" s="1"/>
      <c r="B18" s="3" t="s">
        <v>18</v>
      </c>
    </row>
    <row r="19" ht="30" customHeight="1" spans="1:4" x14ac:dyDescent="0.25">
      <c r="A19" s="1"/>
      <c r="B19" s="4" t="s">
        <v>19</v>
      </c>
      <c r="C19" s="4"/>
      <c r="D19" s="4"/>
    </row>
    <row r="20" ht="30" customHeight="1" spans="1:4" x14ac:dyDescent="0.25">
      <c r="A20" s="1"/>
      <c r="B20" s="4" t="s">
        <v>20</v>
      </c>
      <c r="C20" s="4"/>
      <c r="D20" s="4"/>
    </row>
    <row r="22" spans="1:2" x14ac:dyDescent="0.25">
      <c r="A22" s="1"/>
      <c r="B22" s="3" t="s">
        <v>21</v>
      </c>
    </row>
    <row r="23" spans="1:3" x14ac:dyDescent="0.25">
      <c r="A23" s="1"/>
      <c r="B23" s="6" t="s">
        <v>22</v>
      </c>
      <c r="C23" s="4" t="s">
        <v>23</v>
      </c>
    </row>
    <row r="24" spans="1:3" x14ac:dyDescent="0.25">
      <c r="A24" s="1"/>
      <c r="B24" s="7" t="s">
        <v>24</v>
      </c>
      <c r="C24" s="4" t="s">
        <v>25</v>
      </c>
    </row>
    <row r="26" spans="1:2" x14ac:dyDescent="0.25">
      <c r="A26" s="1"/>
      <c r="B26" s="3" t="s">
        <v>26</v>
      </c>
    </row>
    <row r="27" spans="1:4" x14ac:dyDescent="0.25">
      <c r="A27" s="1"/>
      <c r="B27" s="8" t="s">
        <v>27</v>
      </c>
      <c r="C27" s="8" t="s">
        <v>10</v>
      </c>
      <c r="D27" s="8" t="s">
        <v>28</v>
      </c>
    </row>
    <row r="28" spans="1:4" x14ac:dyDescent="0.25">
      <c r="A28" s="1"/>
      <c r="B28" s="8" t="s">
        <v>29</v>
      </c>
      <c r="C28" s="8" t="s">
        <v>12</v>
      </c>
      <c r="D28" s="8" t="s">
        <v>30</v>
      </c>
    </row>
    <row r="29" spans="1:4" x14ac:dyDescent="0.25">
      <c r="A29" s="1"/>
      <c r="B29" s="8" t="s">
        <v>31</v>
      </c>
      <c r="C29" s="8" t="s">
        <v>16</v>
      </c>
      <c r="D29" s="8" t="s">
        <v>32</v>
      </c>
    </row>
    <row r="31" spans="1:2" x14ac:dyDescent="0.25">
      <c r="A31" s="1"/>
      <c r="B31" s="3" t="s">
        <v>33</v>
      </c>
    </row>
    <row r="32" spans="1:3" x14ac:dyDescent="0.25">
      <c r="A32" s="1"/>
      <c r="B32" s="5" t="s">
        <v>34</v>
      </c>
      <c r="C32" s="4" t="s">
        <v>35</v>
      </c>
    </row>
    <row r="33" spans="1:3" x14ac:dyDescent="0.25">
      <c r="A33" s="1"/>
      <c r="B33" s="5" t="s">
        <v>36</v>
      </c>
      <c r="C33" s="4" t="s">
        <v>37</v>
      </c>
    </row>
    <row r="34" spans="1:3" x14ac:dyDescent="0.25">
      <c r="A34" s="1"/>
      <c r="B34" s="5" t="s">
        <v>38</v>
      </c>
      <c r="C34" s="4" t="s">
        <v>39</v>
      </c>
    </row>
    <row r="35" spans="1:3" x14ac:dyDescent="0.25">
      <c r="A35" s="1"/>
      <c r="B35" s="5" t="s">
        <v>40</v>
      </c>
      <c r="C35" s="4" t="s">
        <v>41</v>
      </c>
    </row>
  </sheetData>
  <mergeCells count="9">
    <mergeCell ref="B4:D4"/>
    <mergeCell ref="B5:D5"/>
    <mergeCell ref="B6:D6"/>
    <mergeCell ref="B7:D7"/>
    <mergeCell ref="B8:D8"/>
    <mergeCell ref="B9:D9"/>
    <mergeCell ref="B10:D10"/>
    <mergeCell ref="B19:D19"/>
    <mergeCell ref="B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30" customWidth="1"/>
    <col min="4" max="5" width="46" customWidth="1"/>
    <col min="6" max="6" width="30" customWidth="1"/>
    <col min="7" max="7" width="46" customWidth="1"/>
    <col min="8" max="8" width="18" customWidth="1"/>
    <col min="10" max="10" width="22" customWidth="1"/>
    <col min="11" max="11" width="12" customWidth="1"/>
    <col min="12" max="12" width="18" customWidth="1"/>
    <col min="13" max="13" width="14" customWidth="1"/>
    <col min="14" max="14" width="30" customWidth="1"/>
    <col min="15" max="15" width="13" customWidth="1"/>
    <col min="16" max="17" width="30" customWidth="1"/>
    <col min="18" max="18" width="40" customWidth="1"/>
  </cols>
  <sheetData>
    <row r="1" spans="1:8" x14ac:dyDescent="0.25">
      <c r="A1" s="2" t="s">
        <v>42</v>
      </c>
      <c r="B1" s="2"/>
      <c r="C1" s="2"/>
      <c r="D1" s="2"/>
      <c r="E1" s="2"/>
      <c r="F1" s="2"/>
      <c r="G1" s="2"/>
      <c r="H1" s="2"/>
    </row>
    <row r="2" ht="28" customHeight="1" spans="1:8" x14ac:dyDescent="0.25">
      <c r="A2" s="4" t="s">
        <v>43</v>
      </c>
      <c r="B2" s="4"/>
      <c r="C2" s="4"/>
      <c r="D2" s="4"/>
      <c r="E2" s="4"/>
      <c r="F2" s="4"/>
      <c r="G2" s="4"/>
      <c r="H2" s="4"/>
    </row>
    <row r="4" spans="1:5" x14ac:dyDescent="0.25">
      <c r="A4" s="9" t="s">
        <v>44</v>
      </c>
      <c r="B4" s="9"/>
      <c r="C4" s="10"/>
      <c r="D4" s="10"/>
      <c r="E4" s="10"/>
    </row>
    <row r="5" spans="1:5" x14ac:dyDescent="0.25">
      <c r="A5" s="9" t="s">
        <v>45</v>
      </c>
      <c r="B5" s="9"/>
      <c r="C5" s="10"/>
      <c r="D5" s="10"/>
      <c r="E5" s="10"/>
    </row>
    <row r="6" spans="1:5" x14ac:dyDescent="0.25">
      <c r="A6" s="9" t="s">
        <v>46</v>
      </c>
      <c r="B6" s="9"/>
      <c r="C6" s="10"/>
      <c r="D6" s="10"/>
      <c r="E6" s="10"/>
    </row>
    <row r="7" spans="1:5" x14ac:dyDescent="0.25">
      <c r="A7" s="9" t="s">
        <v>47</v>
      </c>
      <c r="B7" s="9"/>
      <c r="C7" s="11"/>
      <c r="D7" s="11"/>
      <c r="E7" s="11"/>
    </row>
    <row r="8" ht="30" customHeight="1" spans="1:5" x14ac:dyDescent="0.25">
      <c r="A8" s="9" t="s">
        <v>48</v>
      </c>
      <c r="B8" s="9"/>
      <c r="C8" s="12">
        <f>IF($C$5="","",IFERROR(INDEX('Test Cases'!$H:$H,MATCH($C$5,'Test Cases'!$C:$C,0)),""))</f>
      </c>
      <c r="D8" s="12"/>
      <c r="E8" s="12"/>
    </row>
    <row r="9" spans="1:5" x14ac:dyDescent="0.25">
      <c r="A9" s="9" t="s">
        <v>49</v>
      </c>
      <c r="B9" s="9"/>
      <c r="C9" s="12">
        <f>IF(OR($C$4="",$C$5=""),"",IF(COUNTIFS(Lists!$D:$D,$C$4,Lists!$E:$E,$C$5)=0,"Module is not for the selected role","OK"))</f>
      </c>
      <c r="D9" s="12"/>
      <c r="E9" s="12"/>
    </row>
    <row r="10" spans="1:5" x14ac:dyDescent="0.25">
      <c r="A10" s="9" t="s">
        <v>50</v>
      </c>
      <c r="B10" s="9"/>
      <c r="C10" s="13">
        <f>IF(OR($C$4="",$C$5=""),"Choose your role and module",IF($C$9&lt;&gt;"OK","Module does not match role",IF(OR($C$6="",$C$7=""),"Enter tester name and test date",IF(COUNTIF($H$13:$H$18,"Not rated")+COUNTIF($H$13:$H$18,"Comment required")=0,"READY TO SUBMIT",COUNTIF($H$13:$H$18,"Not rated")&amp;" not rated, "&amp;COUNTIF($H$13:$H$18,"Comment required")&amp;" comment(s) required"))))</f>
      </c>
      <c r="D10" s="13"/>
      <c r="E10" s="13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4" t="s">
        <v>51</v>
      </c>
      <c r="K11" s="14"/>
      <c r="L11" s="14"/>
      <c r="M11" s="14"/>
      <c r="N11" s="14"/>
      <c r="O11" s="14"/>
      <c r="P11" s="14"/>
      <c r="Q11" s="14"/>
      <c r="R11" s="14"/>
    </row>
    <row r="12" ht="42" customHeight="1" spans="1:18" x14ac:dyDescent="0.25">
      <c r="A12" s="15" t="s">
        <v>52</v>
      </c>
      <c r="B12" s="15" t="s">
        <v>53</v>
      </c>
      <c r="C12" s="15" t="s">
        <v>54</v>
      </c>
      <c r="D12" s="15" t="s">
        <v>1</v>
      </c>
      <c r="E12" s="15" t="s">
        <v>55</v>
      </c>
      <c r="F12" s="15" t="s">
        <v>9</v>
      </c>
      <c r="G12" s="15" t="s">
        <v>56</v>
      </c>
      <c r="H12" s="15" t="s">
        <v>57</v>
      </c>
      <c r="I12" s="1"/>
      <c r="J12" s="16" t="s">
        <v>58</v>
      </c>
      <c r="K12" s="16" t="s">
        <v>59</v>
      </c>
      <c r="L12" s="16" t="s">
        <v>60</v>
      </c>
      <c r="M12" s="16" t="s">
        <v>61</v>
      </c>
      <c r="N12" s="16" t="s">
        <v>62</v>
      </c>
      <c r="O12" s="16" t="s">
        <v>53</v>
      </c>
      <c r="P12" s="16" t="s">
        <v>54</v>
      </c>
      <c r="Q12" s="16" t="s">
        <v>9</v>
      </c>
      <c r="R12" s="16" t="s">
        <v>63</v>
      </c>
    </row>
    <row r="13" ht="75" customHeight="1" spans="1:18" x14ac:dyDescent="0.25">
      <c r="A13" s="8">
        <v>1</v>
      </c>
      <c r="B13" s="8">
        <f>IF($C$9&lt;&gt;"OK","",IF(COUNTIF('Test Cases'!$C:$C,$C$5)&gt;=$A13,INDEX('Test Cases'!$D:$D,MATCH($C$5,'Test Cases'!$C:$C,0)+$A13-1),""))</f>
      </c>
      <c r="C13" s="8">
        <f>IF($B13="","",INDEX('Test Cases'!$E:$E,MATCH($B13,'Test Cases'!$D:$D,0)))</f>
      </c>
      <c r="D13" s="8">
        <f>IF($B13="","",INDEX('Test Cases'!$F:$F,MATCH($B13,'Test Cases'!$D:$D,0)))</f>
      </c>
      <c r="E13" s="8">
        <f>IF($B13="","",INDEX('Test Cases'!$G:$G,MATCH($B13,'Test Cases'!$D:$D,0)))</f>
      </c>
      <c r="F13" s="17"/>
      <c r="G13" s="17"/>
      <c r="H13" s="8">
        <f>IF($B13="","",IF($F13="","Not rated",IF(OR($F13=Lists!$B$3,$F13=Lists!$B$5),IF(AND(LEFT(SUBSTITUTE($G13," ",""),LEN($B13)+1)=$B13&amp;"-",LEN(SUBSTITUTE($G13," ",""))&gt;LEN($B13)+1),"OK","Comment required"),"OK")))</f>
      </c>
      <c r="I13" s="1"/>
      <c r="J13" s="18">
        <f>IF($B13="","",LEFT($C$5,FIND(" ",$C$5)-1)&amp;"-"&amp;TEXT($C$7,"yyyymmdd")&amp;"-"&amp;$C$6)</f>
      </c>
      <c r="K13" s="19">
        <f>IF($B13="","",$C$7)</f>
      </c>
      <c r="L13" s="18">
        <f>IF($B13="","",$C$6)</f>
      </c>
      <c r="M13" s="18">
        <f>IF($B13="","",$C$4)</f>
      </c>
      <c r="N13" s="18">
        <f>IF($B13="","",$C$5)</f>
      </c>
      <c r="O13" s="18">
        <f>IF($B13="","",$B13)</f>
      </c>
      <c r="P13" s="18">
        <f>IF($B13="","",$C13)</f>
      </c>
      <c r="Q13" s="18">
        <f>IF($B13="","",IF($F13="","",$F13))</f>
      </c>
      <c r="R13" s="18">
        <f>IF($B13="","",IF($G13="","",$G13))</f>
      </c>
    </row>
    <row r="14" ht="75" customHeight="1" spans="1:18" x14ac:dyDescent="0.25">
      <c r="A14" s="8">
        <v>2</v>
      </c>
      <c r="B14" s="8">
        <f>IF($C$9&lt;&gt;"OK","",IF(COUNTIF('Test Cases'!$C:$C,$C$5)&gt;=$A14,INDEX('Test Cases'!$D:$D,MATCH($C$5,'Test Cases'!$C:$C,0)+$A14-1),""))</f>
      </c>
      <c r="C14" s="8">
        <f>IF($B14="","",INDEX('Test Cases'!$E:$E,MATCH($B14,'Test Cases'!$D:$D,0)))</f>
      </c>
      <c r="D14" s="8">
        <f>IF($B14="","",INDEX('Test Cases'!$F:$F,MATCH($B14,'Test Cases'!$D:$D,0)))</f>
      </c>
      <c r="E14" s="8">
        <f>IF($B14="","",INDEX('Test Cases'!$G:$G,MATCH($B14,'Test Cases'!$D:$D,0)))</f>
      </c>
      <c r="F14" s="17"/>
      <c r="G14" s="17"/>
      <c r="H14" s="8">
        <f>IF($B14="","",IF($F14="","Not rated",IF(OR($F14=Lists!$B$3,$F14=Lists!$B$5),IF(AND(LEFT(SUBSTITUTE($G14," ",""),LEN($B14)+1)=$B14&amp;"-",LEN(SUBSTITUTE($G14," ",""))&gt;LEN($B14)+1),"OK","Comment required"),"OK")))</f>
      </c>
      <c r="I14" s="1"/>
      <c r="J14" s="18">
        <f>IF($B14="","",LEFT($C$5,FIND(" ",$C$5)-1)&amp;"-"&amp;TEXT($C$7,"yyyymmdd")&amp;"-"&amp;$C$6)</f>
      </c>
      <c r="K14" s="19">
        <f>IF($B14="","",$C$7)</f>
      </c>
      <c r="L14" s="18">
        <f>IF($B14="","",$C$6)</f>
      </c>
      <c r="M14" s="18">
        <f>IF($B14="","",$C$4)</f>
      </c>
      <c r="N14" s="18">
        <f>IF($B14="","",$C$5)</f>
      </c>
      <c r="O14" s="18">
        <f>IF($B14="","",$B14)</f>
      </c>
      <c r="P14" s="18">
        <f>IF($B14="","",$C14)</f>
      </c>
      <c r="Q14" s="18">
        <f>IF($B14="","",IF($F14="","",$F14))</f>
      </c>
      <c r="R14" s="18">
        <f>IF($B14="","",IF($G14="","",$G14))</f>
      </c>
    </row>
    <row r="15" ht="75" customHeight="1" spans="1:18" x14ac:dyDescent="0.25">
      <c r="A15" s="8">
        <v>3</v>
      </c>
      <c r="B15" s="8">
        <f>IF($C$9&lt;&gt;"OK","",IF(COUNTIF('Test Cases'!$C:$C,$C$5)&gt;=$A15,INDEX('Test Cases'!$D:$D,MATCH($C$5,'Test Cases'!$C:$C,0)+$A15-1),""))</f>
      </c>
      <c r="C15" s="8">
        <f>IF($B15="","",INDEX('Test Cases'!$E:$E,MATCH($B15,'Test Cases'!$D:$D,0)))</f>
      </c>
      <c r="D15" s="8">
        <f>IF($B15="","",INDEX('Test Cases'!$F:$F,MATCH($B15,'Test Cases'!$D:$D,0)))</f>
      </c>
      <c r="E15" s="8">
        <f>IF($B15="","",INDEX('Test Cases'!$G:$G,MATCH($B15,'Test Cases'!$D:$D,0)))</f>
      </c>
      <c r="F15" s="17"/>
      <c r="G15" s="17"/>
      <c r="H15" s="8">
        <f>IF($B15="","",IF($F15="","Not rated",IF(OR($F15=Lists!$B$3,$F15=Lists!$B$5),IF(AND(LEFT(SUBSTITUTE($G15," ",""),LEN($B15)+1)=$B15&amp;"-",LEN(SUBSTITUTE($G15," ",""))&gt;LEN($B15)+1),"OK","Comment required"),"OK")))</f>
      </c>
      <c r="I15" s="1"/>
      <c r="J15" s="18">
        <f>IF($B15="","",LEFT($C$5,FIND(" ",$C$5)-1)&amp;"-"&amp;TEXT($C$7,"yyyymmdd")&amp;"-"&amp;$C$6)</f>
      </c>
      <c r="K15" s="19">
        <f>IF($B15="","",$C$7)</f>
      </c>
      <c r="L15" s="18">
        <f>IF($B15="","",$C$6)</f>
      </c>
      <c r="M15" s="18">
        <f>IF($B15="","",$C$4)</f>
      </c>
      <c r="N15" s="18">
        <f>IF($B15="","",$C$5)</f>
      </c>
      <c r="O15" s="18">
        <f>IF($B15="","",$B15)</f>
      </c>
      <c r="P15" s="18">
        <f>IF($B15="","",$C15)</f>
      </c>
      <c r="Q15" s="18">
        <f>IF($B15="","",IF($F15="","",$F15))</f>
      </c>
      <c r="R15" s="18">
        <f>IF($B15="","",IF($G15="","",$G15))</f>
      </c>
    </row>
    <row r="16" ht="75" customHeight="1" spans="1:18" x14ac:dyDescent="0.25">
      <c r="A16" s="8">
        <v>4</v>
      </c>
      <c r="B16" s="8">
        <f>IF($C$9&lt;&gt;"OK","",IF(COUNTIF('Test Cases'!$C:$C,$C$5)&gt;=$A16,INDEX('Test Cases'!$D:$D,MATCH($C$5,'Test Cases'!$C:$C,0)+$A16-1),""))</f>
      </c>
      <c r="C16" s="8">
        <f>IF($B16="","",INDEX('Test Cases'!$E:$E,MATCH($B16,'Test Cases'!$D:$D,0)))</f>
      </c>
      <c r="D16" s="8">
        <f>IF($B16="","",INDEX('Test Cases'!$F:$F,MATCH($B16,'Test Cases'!$D:$D,0)))</f>
      </c>
      <c r="E16" s="8">
        <f>IF($B16="","",INDEX('Test Cases'!$G:$G,MATCH($B16,'Test Cases'!$D:$D,0)))</f>
      </c>
      <c r="F16" s="17"/>
      <c r="G16" s="17"/>
      <c r="H16" s="8">
        <f>IF($B16="","",IF($F16="","Not rated",IF(OR($F16=Lists!$B$3,$F16=Lists!$B$5),IF(AND(LEFT(SUBSTITUTE($G16," ",""),LEN($B16)+1)=$B16&amp;"-",LEN(SUBSTITUTE($G16," ",""))&gt;LEN($B16)+1),"OK","Comment required"),"OK")))</f>
      </c>
      <c r="I16" s="1"/>
      <c r="J16" s="18">
        <f>IF($B16="","",LEFT($C$5,FIND(" ",$C$5)-1)&amp;"-"&amp;TEXT($C$7,"yyyymmdd")&amp;"-"&amp;$C$6)</f>
      </c>
      <c r="K16" s="19">
        <f>IF($B16="","",$C$7)</f>
      </c>
      <c r="L16" s="18">
        <f>IF($B16="","",$C$6)</f>
      </c>
      <c r="M16" s="18">
        <f>IF($B16="","",$C$4)</f>
      </c>
      <c r="N16" s="18">
        <f>IF($B16="","",$C$5)</f>
      </c>
      <c r="O16" s="18">
        <f>IF($B16="","",$B16)</f>
      </c>
      <c r="P16" s="18">
        <f>IF($B16="","",$C16)</f>
      </c>
      <c r="Q16" s="18">
        <f>IF($B16="","",IF($F16="","",$F16))</f>
      </c>
      <c r="R16" s="18">
        <f>IF($B16="","",IF($G16="","",$G16))</f>
      </c>
    </row>
    <row r="17" ht="75" customHeight="1" spans="1:18" x14ac:dyDescent="0.25">
      <c r="A17" s="8">
        <v>5</v>
      </c>
      <c r="B17" s="8">
        <f>IF($C$9&lt;&gt;"OK","",IF(COUNTIF('Test Cases'!$C:$C,$C$5)&gt;=$A17,INDEX('Test Cases'!$D:$D,MATCH($C$5,'Test Cases'!$C:$C,0)+$A17-1),""))</f>
      </c>
      <c r="C17" s="8">
        <f>IF($B17="","",INDEX('Test Cases'!$E:$E,MATCH($B17,'Test Cases'!$D:$D,0)))</f>
      </c>
      <c r="D17" s="8">
        <f>IF($B17="","",INDEX('Test Cases'!$F:$F,MATCH($B17,'Test Cases'!$D:$D,0)))</f>
      </c>
      <c r="E17" s="8">
        <f>IF($B17="","",INDEX('Test Cases'!$G:$G,MATCH($B17,'Test Cases'!$D:$D,0)))</f>
      </c>
      <c r="F17" s="17"/>
      <c r="G17" s="17"/>
      <c r="H17" s="8">
        <f>IF($B17="","",IF($F17="","Not rated",IF(OR($F17=Lists!$B$3,$F17=Lists!$B$5),IF(AND(LEFT(SUBSTITUTE($G17," ",""),LEN($B17)+1)=$B17&amp;"-",LEN(SUBSTITUTE($G17," ",""))&gt;LEN($B17)+1),"OK","Comment required"),"OK")))</f>
      </c>
      <c r="I17" s="1"/>
      <c r="J17" s="18">
        <f>IF($B17="","",LEFT($C$5,FIND(" ",$C$5)-1)&amp;"-"&amp;TEXT($C$7,"yyyymmdd")&amp;"-"&amp;$C$6)</f>
      </c>
      <c r="K17" s="19">
        <f>IF($B17="","",$C$7)</f>
      </c>
      <c r="L17" s="18">
        <f>IF($B17="","",$C$6)</f>
      </c>
      <c r="M17" s="18">
        <f>IF($B17="","",$C$4)</f>
      </c>
      <c r="N17" s="18">
        <f>IF($B17="","",$C$5)</f>
      </c>
      <c r="O17" s="18">
        <f>IF($B17="","",$B17)</f>
      </c>
      <c r="P17" s="18">
        <f>IF($B17="","",$C17)</f>
      </c>
      <c r="Q17" s="18">
        <f>IF($B17="","",IF($F17="","",$F17))</f>
      </c>
      <c r="R17" s="18">
        <f>IF($B17="","",IF($G17="","",$G17))</f>
      </c>
    </row>
    <row r="18" ht="75" customHeight="1" spans="1:18" x14ac:dyDescent="0.25">
      <c r="A18" s="8">
        <v>6</v>
      </c>
      <c r="B18" s="8">
        <f>IF($C$9&lt;&gt;"OK","",IF(COUNTIF('Test Cases'!$C:$C,$C$5)&gt;=$A18,INDEX('Test Cases'!$D:$D,MATCH($C$5,'Test Cases'!$C:$C,0)+$A18-1),""))</f>
      </c>
      <c r="C18" s="8">
        <f>IF($B18="","",INDEX('Test Cases'!$E:$E,MATCH($B18,'Test Cases'!$D:$D,0)))</f>
      </c>
      <c r="D18" s="8">
        <f>IF($B18="","",INDEX('Test Cases'!$F:$F,MATCH($B18,'Test Cases'!$D:$D,0)))</f>
      </c>
      <c r="E18" s="8">
        <f>IF($B18="","",INDEX('Test Cases'!$G:$G,MATCH($B18,'Test Cases'!$D:$D,0)))</f>
      </c>
      <c r="F18" s="17"/>
      <c r="G18" s="17"/>
      <c r="H18" s="8">
        <f>IF($B18="","",IF($F18="","Not rated",IF(OR($F18=Lists!$B$3,$F18=Lists!$B$5),IF(AND(LEFT(SUBSTITUTE($G18," ",""),LEN($B18)+1)=$B18&amp;"-",LEN(SUBSTITUTE($G18," ",""))&gt;LEN($B18)+1),"OK","Comment required"),"OK")))</f>
      </c>
      <c r="I18" s="1"/>
      <c r="J18" s="18">
        <f>IF($B18="","",LEFT($C$5,FIND(" ",$C$5)-1)&amp;"-"&amp;TEXT($C$7,"yyyymmdd")&amp;"-"&amp;$C$6)</f>
      </c>
      <c r="K18" s="19">
        <f>IF($B18="","",$C$7)</f>
      </c>
      <c r="L18" s="18">
        <f>IF($B18="","",$C$6)</f>
      </c>
      <c r="M18" s="18">
        <f>IF($B18="","",$C$4)</f>
      </c>
      <c r="N18" s="18">
        <f>IF($B18="","",$C$5)</f>
      </c>
      <c r="O18" s="18">
        <f>IF($B18="","",$B18)</f>
      </c>
      <c r="P18" s="18">
        <f>IF($B18="","",$C18)</f>
      </c>
      <c r="Q18" s="18">
        <f>IF($B18="","",IF($F18="","",$F18))</f>
      </c>
      <c r="R18" s="18">
        <f>IF($B18="","",IF($G18="","",$G18))</f>
      </c>
    </row>
  </sheetData>
  <sheetProtection sheet="1" formatColumns="0" formatRows="0"/>
  <mergeCells count="17">
    <mergeCell ref="A1:H1"/>
    <mergeCell ref="A2:H2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J11:R11"/>
  </mergeCells>
  <conditionalFormatting sqref="H13:H18">
    <cfRule type="cellIs" dxfId="0" priority="1" operator="equal">
      <formula>"Comment required"</formula>
    </cfRule>
    <cfRule type="cellIs" dxfId="1" priority="2" operator="equal">
      <formula>"Not rated"</formula>
    </cfRule>
    <cfRule type="cellIs" dxfId="2" priority="3" operator="equal">
      <formula>"OK"</formula>
    </cfRule>
  </conditionalFormatting>
  <conditionalFormatting sqref="G13:G18">
    <cfRule type="expression" dxfId="3" priority="4">
      <formula>$H13="Comment required"</formula>
    </cfRule>
  </conditionalFormatting>
  <conditionalFormatting sqref="C10">
    <cfRule type="cellIs" dxfId="4" priority="5" operator="equal">
      <formula>"READY TO SUBMIT"</formula>
    </cfRule>
    <cfRule type="cellIs" dxfId="5" priority="6" operator="notEqual">
      <formula>"READY TO SUBMIT"</formula>
    </cfRule>
  </conditionalFormatting>
  <conditionalFormatting sqref="C9">
    <cfRule type="cellIs" dxfId="6" priority="7" operator="equal">
      <formula>"Module is not for the selected role"</formula>
    </cfRule>
  </conditionalFormatting>
  <dataValidations count="10">
    <dataValidation type="list" allowBlank="1" showErrorMessage="1" errorTitle="User role" error="Choose a role from the list." sqref="C4">
      <formula1>RoleList</formula1>
    </dataValidation>
    <dataValidation type="list" allowBlank="1" showErrorMessage="1" errorTitle="Module" error="Choose your user role first, then a module from the list." sqref="C5">
      <formula1>OFFSET(Lists!$E$1,MATCH($C$4,Lists!$D:$D,0)-1,0,COUNTIF(Lists!$D:$D,$C$4),1)</formula1>
    </dataValidation>
    <dataValidation type="date" operator="greaterThan" allowBlank="1" showErrorMessage="1" error="Enter a date." sqref="C7">
      <formula1>43830.66666666667</formula1>
    </dataValidation>
    <dataValidation type="list" allowBlank="1" showErrorMessage="1" errorTitle="Satisfaction Level" error="Choose a level from the list." sqref="F13:F18">
      <formula1>LevelList</formula1>
    </dataValidation>
    <dataValidation type="custom" allowBlank="1" showInputMessage="1" promptTitle="Comment" prompt="Required for Partially Passed or Skipped. Format: Test Case ID - Comment" showErrorMessage="1" errorTitle="Comment format" error="Start with the Test Case ID, then &quot; - &quot;, then your comment. Example: CL-INQ-02 - your comment" sqref="G13">
      <formula1>AND(LEFT(SUBSTITUTE($G13," ",""),LEN($B13)+1)=$B13&amp;"-",LEN(SUBSTITUTE($G13," ",""))&gt;LEN($B13)+1)</formula1>
    </dataValidation>
    <dataValidation type="custom" allowBlank="1" showInputMessage="1" promptTitle="Comment" prompt="Required for Partially Passed or Skipped. Format: Test Case ID - Comment" showErrorMessage="1" errorTitle="Comment format" error="Start with the Test Case ID, then &quot; - &quot;, then your comment. Example: CL-INQ-02 - your comment" sqref="G14">
      <formula1>AND(LEFT(SUBSTITUTE($G14," ",""),LEN($B14)+1)=$B14&amp;"-",LEN(SUBSTITUTE($G14," ",""))&gt;LEN($B14)+1)</formula1>
    </dataValidation>
    <dataValidation type="custom" allowBlank="1" showInputMessage="1" promptTitle="Comment" prompt="Required for Partially Passed or Skipped. Format: Test Case ID - Comment" showErrorMessage="1" errorTitle="Comment format" error="Start with the Test Case ID, then &quot; - &quot;, then your comment. Example: CL-INQ-02 - your comment" sqref="G15">
      <formula1>AND(LEFT(SUBSTITUTE($G15," ",""),LEN($B15)+1)=$B15&amp;"-",LEN(SUBSTITUTE($G15," ",""))&gt;LEN($B15)+1)</formula1>
    </dataValidation>
    <dataValidation type="custom" allowBlank="1" showInputMessage="1" promptTitle="Comment" prompt="Required for Partially Passed or Skipped. Format: Test Case ID - Comment" showErrorMessage="1" errorTitle="Comment format" error="Start with the Test Case ID, then &quot; - &quot;, then your comment. Example: CL-INQ-02 - your comment" sqref="G16">
      <formula1>AND(LEFT(SUBSTITUTE($G16," ",""),LEN($B16)+1)=$B16&amp;"-",LEN(SUBSTITUTE($G16," ",""))&gt;LEN($B16)+1)</formula1>
    </dataValidation>
    <dataValidation type="custom" allowBlank="1" showInputMessage="1" promptTitle="Comment" prompt="Required for Partially Passed or Skipped. Format: Test Case ID - Comment" showErrorMessage="1" errorTitle="Comment format" error="Start with the Test Case ID, then &quot; - &quot;, then your comment. Example: CL-INQ-02 - your comment" sqref="G17">
      <formula1>AND(LEFT(SUBSTITUTE($G17," ",""),LEN($B17)+1)=$B17&amp;"-",LEN(SUBSTITUTE($G17," ",""))&gt;LEN($B17)+1)</formula1>
    </dataValidation>
    <dataValidation type="custom" allowBlank="1" showInputMessage="1" promptTitle="Comment" prompt="Required for Partially Passed or Skipped. Format: Test Case ID - Comment" showErrorMessage="1" errorTitle="Comment format" error="Start with the Test Case ID, then &quot; - &quot;, then your comment. Example: CL-INQ-02 - your comment" sqref="G18">
      <formula1>AND(LEFT(SUBSTITUTE($G18," ",""),LEN($B18)+1)=$B18&amp;"-",LEN(SUBSTITUTE($G18," ",""))&gt;LEN($B18)+1)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34" customWidth="1"/>
    <col min="4" max="4" width="13" customWidth="1"/>
    <col min="5" max="5" width="32" customWidth="1"/>
    <col min="6" max="7" width="60" customWidth="1"/>
    <col min="8" max="8" width="40" customWidth="1"/>
  </cols>
  <sheetData>
    <row r="1" ht="30" customHeight="1" spans="1:8" x14ac:dyDescent="0.25">
      <c r="A1" s="15" t="s">
        <v>64</v>
      </c>
      <c r="B1" s="15" t="s">
        <v>65</v>
      </c>
      <c r="C1" s="15" t="s">
        <v>62</v>
      </c>
      <c r="D1" s="15" t="s">
        <v>53</v>
      </c>
      <c r="E1" s="15" t="s">
        <v>54</v>
      </c>
      <c r="F1" s="15" t="s">
        <v>1</v>
      </c>
      <c r="G1" s="15" t="s">
        <v>55</v>
      </c>
      <c r="H1" s="15" t="s">
        <v>66</v>
      </c>
    </row>
    <row r="2" spans="1:8" x14ac:dyDescent="0.25">
      <c r="A2" s="8" t="s">
        <v>67</v>
      </c>
      <c r="B2" s="8" t="s">
        <v>68</v>
      </c>
      <c r="C2" s="8" t="s">
        <v>69</v>
      </c>
      <c r="D2" s="8" t="s">
        <v>70</v>
      </c>
      <c r="E2" s="8" t="s">
        <v>71</v>
      </c>
      <c r="F2" s="8" t="s">
        <v>72</v>
      </c>
      <c r="G2" s="8" t="s">
        <v>73</v>
      </c>
      <c r="H2" s="8" t="s">
        <v>74</v>
      </c>
    </row>
    <row r="3" spans="1:8" x14ac:dyDescent="0.25">
      <c r="A3" s="8" t="s">
        <v>67</v>
      </c>
      <c r="B3" s="8" t="s">
        <v>68</v>
      </c>
      <c r="C3" s="8" t="s">
        <v>69</v>
      </c>
      <c r="D3" s="8" t="s">
        <v>75</v>
      </c>
      <c r="E3" s="8" t="s">
        <v>76</v>
      </c>
      <c r="F3" s="8" t="s">
        <v>77</v>
      </c>
      <c r="G3" s="8" t="s">
        <v>78</v>
      </c>
      <c r="H3" s="8" t="s">
        <v>74</v>
      </c>
    </row>
    <row r="4" spans="1:8" x14ac:dyDescent="0.25">
      <c r="A4" s="8" t="s">
        <v>67</v>
      </c>
      <c r="B4" s="8" t="s">
        <v>68</v>
      </c>
      <c r="C4" s="8" t="s">
        <v>69</v>
      </c>
      <c r="D4" s="8" t="s">
        <v>79</v>
      </c>
      <c r="E4" s="8" t="s">
        <v>80</v>
      </c>
      <c r="F4" s="8" t="s">
        <v>81</v>
      </c>
      <c r="G4" s="8" t="s">
        <v>82</v>
      </c>
      <c r="H4" s="8" t="s">
        <v>74</v>
      </c>
    </row>
    <row r="5" spans="1:8" x14ac:dyDescent="0.25">
      <c r="A5" s="8" t="s">
        <v>67</v>
      </c>
      <c r="B5" s="8" t="s">
        <v>68</v>
      </c>
      <c r="C5" s="8" t="s">
        <v>69</v>
      </c>
      <c r="D5" s="8" t="s">
        <v>83</v>
      </c>
      <c r="E5" s="8" t="s">
        <v>84</v>
      </c>
      <c r="F5" s="8" t="s">
        <v>85</v>
      </c>
      <c r="G5" s="8" t="s">
        <v>86</v>
      </c>
      <c r="H5" s="8" t="s">
        <v>74</v>
      </c>
    </row>
    <row r="6" spans="1:8" x14ac:dyDescent="0.25">
      <c r="A6" s="8" t="s">
        <v>67</v>
      </c>
      <c r="B6" s="8" t="s">
        <v>68</v>
      </c>
      <c r="C6" s="8" t="s">
        <v>69</v>
      </c>
      <c r="D6" s="8" t="s">
        <v>87</v>
      </c>
      <c r="E6" s="8" t="s">
        <v>88</v>
      </c>
      <c r="F6" s="8" t="s">
        <v>89</v>
      </c>
      <c r="G6" s="8" t="s">
        <v>90</v>
      </c>
      <c r="H6" s="8" t="s">
        <v>74</v>
      </c>
    </row>
    <row r="7" spans="1:8" x14ac:dyDescent="0.25">
      <c r="A7" s="8" t="s">
        <v>67</v>
      </c>
      <c r="B7" s="8" t="s">
        <v>91</v>
      </c>
      <c r="C7" s="8" t="s">
        <v>92</v>
      </c>
      <c r="D7" s="8" t="s">
        <v>93</v>
      </c>
      <c r="E7" s="8" t="s">
        <v>94</v>
      </c>
      <c r="F7" s="8" t="s">
        <v>95</v>
      </c>
      <c r="G7" s="8" t="s">
        <v>96</v>
      </c>
      <c r="H7" s="8" t="s">
        <v>97</v>
      </c>
    </row>
    <row r="8" spans="1:8" x14ac:dyDescent="0.25">
      <c r="A8" s="8" t="s">
        <v>67</v>
      </c>
      <c r="B8" s="8" t="s">
        <v>91</v>
      </c>
      <c r="C8" s="8" t="s">
        <v>92</v>
      </c>
      <c r="D8" s="8" t="s">
        <v>98</v>
      </c>
      <c r="E8" s="8" t="s">
        <v>99</v>
      </c>
      <c r="F8" s="8" t="s">
        <v>100</v>
      </c>
      <c r="G8" s="8" t="s">
        <v>101</v>
      </c>
      <c r="H8" s="8" t="s">
        <v>97</v>
      </c>
    </row>
    <row r="9" spans="1:8" x14ac:dyDescent="0.25">
      <c r="A9" s="8" t="s">
        <v>67</v>
      </c>
      <c r="B9" s="8" t="s">
        <v>91</v>
      </c>
      <c r="C9" s="8" t="s">
        <v>92</v>
      </c>
      <c r="D9" s="8" t="s">
        <v>102</v>
      </c>
      <c r="E9" s="8" t="s">
        <v>103</v>
      </c>
      <c r="F9" s="8" t="s">
        <v>104</v>
      </c>
      <c r="G9" s="8" t="s">
        <v>105</v>
      </c>
      <c r="H9" s="8" t="s">
        <v>97</v>
      </c>
    </row>
    <row r="10" spans="1:8" x14ac:dyDescent="0.25">
      <c r="A10" s="8" t="s">
        <v>67</v>
      </c>
      <c r="B10" s="8" t="s">
        <v>91</v>
      </c>
      <c r="C10" s="8" t="s">
        <v>92</v>
      </c>
      <c r="D10" s="8" t="s">
        <v>106</v>
      </c>
      <c r="E10" s="8" t="s">
        <v>107</v>
      </c>
      <c r="F10" s="8" t="s">
        <v>108</v>
      </c>
      <c r="G10" s="8" t="s">
        <v>109</v>
      </c>
      <c r="H10" s="8" t="s">
        <v>97</v>
      </c>
    </row>
    <row r="11" spans="1:8" x14ac:dyDescent="0.25">
      <c r="A11" s="8" t="s">
        <v>67</v>
      </c>
      <c r="B11" s="8" t="s">
        <v>91</v>
      </c>
      <c r="C11" s="8" t="s">
        <v>92</v>
      </c>
      <c r="D11" s="8" t="s">
        <v>110</v>
      </c>
      <c r="E11" s="8" t="s">
        <v>111</v>
      </c>
      <c r="F11" s="8" t="s">
        <v>112</v>
      </c>
      <c r="G11" s="8" t="s">
        <v>113</v>
      </c>
      <c r="H11" s="8" t="s">
        <v>97</v>
      </c>
    </row>
    <row r="12" spans="1:8" x14ac:dyDescent="0.25">
      <c r="A12" s="8" t="s">
        <v>67</v>
      </c>
      <c r="B12" s="8" t="s">
        <v>91</v>
      </c>
      <c r="C12" s="8" t="s">
        <v>92</v>
      </c>
      <c r="D12" s="8" t="s">
        <v>114</v>
      </c>
      <c r="E12" s="8" t="s">
        <v>115</v>
      </c>
      <c r="F12" s="8" t="s">
        <v>116</v>
      </c>
      <c r="G12" s="8" t="s">
        <v>117</v>
      </c>
      <c r="H12" s="8" t="s">
        <v>97</v>
      </c>
    </row>
    <row r="13" spans="1:8" x14ac:dyDescent="0.25">
      <c r="A13" s="8" t="s">
        <v>67</v>
      </c>
      <c r="B13" s="8" t="s">
        <v>118</v>
      </c>
      <c r="C13" s="8" t="s">
        <v>119</v>
      </c>
      <c r="D13" s="8" t="s">
        <v>120</v>
      </c>
      <c r="E13" s="8" t="s">
        <v>121</v>
      </c>
      <c r="F13" s="8" t="s">
        <v>122</v>
      </c>
      <c r="G13" s="8" t="s">
        <v>123</v>
      </c>
      <c r="H13" s="8" t="s">
        <v>124</v>
      </c>
    </row>
    <row r="14" spans="1:8" x14ac:dyDescent="0.25">
      <c r="A14" s="8" t="s">
        <v>67</v>
      </c>
      <c r="B14" s="8" t="s">
        <v>118</v>
      </c>
      <c r="C14" s="8" t="s">
        <v>119</v>
      </c>
      <c r="D14" s="8" t="s">
        <v>125</v>
      </c>
      <c r="E14" s="8" t="s">
        <v>126</v>
      </c>
      <c r="F14" s="8" t="s">
        <v>127</v>
      </c>
      <c r="G14" s="8" t="s">
        <v>128</v>
      </c>
      <c r="H14" s="8" t="s">
        <v>124</v>
      </c>
    </row>
    <row r="15" spans="1:8" x14ac:dyDescent="0.25">
      <c r="A15" s="8" t="s">
        <v>67</v>
      </c>
      <c r="B15" s="8" t="s">
        <v>118</v>
      </c>
      <c r="C15" s="8" t="s">
        <v>119</v>
      </c>
      <c r="D15" s="8" t="s">
        <v>129</v>
      </c>
      <c r="E15" s="8" t="s">
        <v>130</v>
      </c>
      <c r="F15" s="8" t="s">
        <v>131</v>
      </c>
      <c r="G15" s="8" t="s">
        <v>132</v>
      </c>
      <c r="H15" s="8" t="s">
        <v>124</v>
      </c>
    </row>
    <row r="16" spans="1:8" x14ac:dyDescent="0.25">
      <c r="A16" s="8" t="s">
        <v>67</v>
      </c>
      <c r="B16" s="8" t="s">
        <v>118</v>
      </c>
      <c r="C16" s="8" t="s">
        <v>119</v>
      </c>
      <c r="D16" s="8" t="s">
        <v>133</v>
      </c>
      <c r="E16" s="8" t="s">
        <v>134</v>
      </c>
      <c r="F16" s="8" t="s">
        <v>135</v>
      </c>
      <c r="G16" s="8" t="s">
        <v>136</v>
      </c>
      <c r="H16" s="8" t="s">
        <v>124</v>
      </c>
    </row>
    <row r="17" spans="1:8" x14ac:dyDescent="0.25">
      <c r="A17" s="8" t="s">
        <v>67</v>
      </c>
      <c r="B17" s="8" t="s">
        <v>137</v>
      </c>
      <c r="C17" s="8" t="s">
        <v>138</v>
      </c>
      <c r="D17" s="8" t="s">
        <v>139</v>
      </c>
      <c r="E17" s="8" t="s">
        <v>140</v>
      </c>
      <c r="F17" s="8" t="s">
        <v>141</v>
      </c>
      <c r="G17" s="8" t="s">
        <v>142</v>
      </c>
      <c r="H17" s="8" t="s">
        <v>143</v>
      </c>
    </row>
    <row r="18" spans="1:8" x14ac:dyDescent="0.25">
      <c r="A18" s="8" t="s">
        <v>67</v>
      </c>
      <c r="B18" s="8" t="s">
        <v>137</v>
      </c>
      <c r="C18" s="8" t="s">
        <v>138</v>
      </c>
      <c r="D18" s="8" t="s">
        <v>144</v>
      </c>
      <c r="E18" s="8" t="s">
        <v>145</v>
      </c>
      <c r="F18" s="8" t="s">
        <v>146</v>
      </c>
      <c r="G18" s="8" t="s">
        <v>147</v>
      </c>
      <c r="H18" s="8" t="s">
        <v>143</v>
      </c>
    </row>
    <row r="19" spans="1:8" x14ac:dyDescent="0.25">
      <c r="A19" s="8" t="s">
        <v>67</v>
      </c>
      <c r="B19" s="8" t="s">
        <v>137</v>
      </c>
      <c r="C19" s="8" t="s">
        <v>138</v>
      </c>
      <c r="D19" s="8" t="s">
        <v>148</v>
      </c>
      <c r="E19" s="8" t="s">
        <v>149</v>
      </c>
      <c r="F19" s="8" t="s">
        <v>150</v>
      </c>
      <c r="G19" s="8" t="s">
        <v>151</v>
      </c>
      <c r="H19" s="8" t="s">
        <v>143</v>
      </c>
    </row>
    <row r="20" spans="1:8" x14ac:dyDescent="0.25">
      <c r="A20" s="8" t="s">
        <v>67</v>
      </c>
      <c r="B20" s="8" t="s">
        <v>137</v>
      </c>
      <c r="C20" s="8" t="s">
        <v>138</v>
      </c>
      <c r="D20" s="8" t="s">
        <v>152</v>
      </c>
      <c r="E20" s="8" t="s">
        <v>153</v>
      </c>
      <c r="F20" s="8" t="s">
        <v>154</v>
      </c>
      <c r="G20" s="8" t="s">
        <v>155</v>
      </c>
      <c r="H20" s="8" t="s">
        <v>143</v>
      </c>
    </row>
    <row r="21" spans="1:8" x14ac:dyDescent="0.25">
      <c r="A21" s="8" t="s">
        <v>67</v>
      </c>
      <c r="B21" s="8" t="s">
        <v>156</v>
      </c>
      <c r="C21" s="8" t="s">
        <v>157</v>
      </c>
      <c r="D21" s="8" t="s">
        <v>158</v>
      </c>
      <c r="E21" s="8" t="s">
        <v>159</v>
      </c>
      <c r="F21" s="8" t="s">
        <v>160</v>
      </c>
      <c r="G21" s="8" t="s">
        <v>161</v>
      </c>
      <c r="H21" s="8" t="s">
        <v>162</v>
      </c>
    </row>
    <row r="22" spans="1:8" x14ac:dyDescent="0.25">
      <c r="A22" s="8" t="s">
        <v>67</v>
      </c>
      <c r="B22" s="8" t="s">
        <v>156</v>
      </c>
      <c r="C22" s="8" t="s">
        <v>157</v>
      </c>
      <c r="D22" s="8" t="s">
        <v>163</v>
      </c>
      <c r="E22" s="8" t="s">
        <v>164</v>
      </c>
      <c r="F22" s="8" t="s">
        <v>165</v>
      </c>
      <c r="G22" s="8" t="s">
        <v>166</v>
      </c>
      <c r="H22" s="8" t="s">
        <v>162</v>
      </c>
    </row>
    <row r="23" spans="1:8" x14ac:dyDescent="0.25">
      <c r="A23" s="8" t="s">
        <v>67</v>
      </c>
      <c r="B23" s="8" t="s">
        <v>167</v>
      </c>
      <c r="C23" s="8" t="s">
        <v>168</v>
      </c>
      <c r="D23" s="8" t="s">
        <v>169</v>
      </c>
      <c r="E23" s="8" t="s">
        <v>170</v>
      </c>
      <c r="F23" s="8" t="s">
        <v>171</v>
      </c>
      <c r="G23" s="8" t="s">
        <v>172</v>
      </c>
      <c r="H23" s="8" t="s">
        <v>173</v>
      </c>
    </row>
    <row r="24" spans="1:8" x14ac:dyDescent="0.25">
      <c r="A24" s="8" t="s">
        <v>67</v>
      </c>
      <c r="B24" s="8" t="s">
        <v>167</v>
      </c>
      <c r="C24" s="8" t="s">
        <v>168</v>
      </c>
      <c r="D24" s="8" t="s">
        <v>174</v>
      </c>
      <c r="E24" s="8" t="s">
        <v>175</v>
      </c>
      <c r="F24" s="8" t="s">
        <v>176</v>
      </c>
      <c r="G24" s="8" t="s">
        <v>177</v>
      </c>
      <c r="H24" s="8" t="s">
        <v>173</v>
      </c>
    </row>
    <row r="25" spans="1:8" x14ac:dyDescent="0.25">
      <c r="A25" s="8" t="s">
        <v>67</v>
      </c>
      <c r="B25" s="8" t="s">
        <v>167</v>
      </c>
      <c r="C25" s="8" t="s">
        <v>168</v>
      </c>
      <c r="D25" s="8" t="s">
        <v>178</v>
      </c>
      <c r="E25" s="8" t="s">
        <v>179</v>
      </c>
      <c r="F25" s="8" t="s">
        <v>180</v>
      </c>
      <c r="G25" s="8" t="s">
        <v>181</v>
      </c>
      <c r="H25" s="8" t="s">
        <v>173</v>
      </c>
    </row>
    <row r="26" spans="1:8" x14ac:dyDescent="0.25">
      <c r="A26" s="8" t="s">
        <v>67</v>
      </c>
      <c r="B26" s="8" t="s">
        <v>167</v>
      </c>
      <c r="C26" s="8" t="s">
        <v>168</v>
      </c>
      <c r="D26" s="8" t="s">
        <v>182</v>
      </c>
      <c r="E26" s="8" t="s">
        <v>183</v>
      </c>
      <c r="F26" s="8" t="s">
        <v>184</v>
      </c>
      <c r="G26" s="8" t="s">
        <v>185</v>
      </c>
      <c r="H26" s="8" t="s">
        <v>173</v>
      </c>
    </row>
    <row r="27" spans="1:8" x14ac:dyDescent="0.25">
      <c r="A27" s="8" t="s">
        <v>67</v>
      </c>
      <c r="B27" s="8" t="s">
        <v>167</v>
      </c>
      <c r="C27" s="8" t="s">
        <v>168</v>
      </c>
      <c r="D27" s="8" t="s">
        <v>186</v>
      </c>
      <c r="E27" s="8" t="s">
        <v>187</v>
      </c>
      <c r="F27" s="8" t="s">
        <v>188</v>
      </c>
      <c r="G27" s="8" t="s">
        <v>189</v>
      </c>
      <c r="H27" s="8" t="s">
        <v>173</v>
      </c>
    </row>
    <row r="28" spans="1:8" x14ac:dyDescent="0.25">
      <c r="A28" s="8" t="s">
        <v>67</v>
      </c>
      <c r="B28" s="8" t="s">
        <v>167</v>
      </c>
      <c r="C28" s="8" t="s">
        <v>168</v>
      </c>
      <c r="D28" s="8" t="s">
        <v>190</v>
      </c>
      <c r="E28" s="8" t="s">
        <v>191</v>
      </c>
      <c r="F28" s="8" t="s">
        <v>192</v>
      </c>
      <c r="G28" s="8" t="s">
        <v>193</v>
      </c>
      <c r="H28" s="8" t="s">
        <v>173</v>
      </c>
    </row>
    <row r="29" spans="1:8" x14ac:dyDescent="0.25">
      <c r="A29" s="8" t="s">
        <v>67</v>
      </c>
      <c r="B29" s="8" t="s">
        <v>194</v>
      </c>
      <c r="C29" s="8" t="s">
        <v>195</v>
      </c>
      <c r="D29" s="8" t="s">
        <v>196</v>
      </c>
      <c r="E29" s="8" t="s">
        <v>197</v>
      </c>
      <c r="F29" s="8" t="s">
        <v>198</v>
      </c>
      <c r="G29" s="8" t="s">
        <v>199</v>
      </c>
      <c r="H29" s="8" t="s">
        <v>200</v>
      </c>
    </row>
    <row r="30" spans="1:8" x14ac:dyDescent="0.25">
      <c r="A30" s="8" t="s">
        <v>67</v>
      </c>
      <c r="B30" s="8" t="s">
        <v>194</v>
      </c>
      <c r="C30" s="8" t="s">
        <v>195</v>
      </c>
      <c r="D30" s="8" t="s">
        <v>201</v>
      </c>
      <c r="E30" s="8" t="s">
        <v>202</v>
      </c>
      <c r="F30" s="8" t="s">
        <v>203</v>
      </c>
      <c r="G30" s="8" t="s">
        <v>204</v>
      </c>
      <c r="H30" s="8" t="s">
        <v>200</v>
      </c>
    </row>
    <row r="31" spans="1:8" x14ac:dyDescent="0.25">
      <c r="A31" s="8" t="s">
        <v>67</v>
      </c>
      <c r="B31" s="8" t="s">
        <v>194</v>
      </c>
      <c r="C31" s="8" t="s">
        <v>195</v>
      </c>
      <c r="D31" s="8" t="s">
        <v>205</v>
      </c>
      <c r="E31" s="8" t="s">
        <v>206</v>
      </c>
      <c r="F31" s="8" t="s">
        <v>207</v>
      </c>
      <c r="G31" s="8" t="s">
        <v>208</v>
      </c>
      <c r="H31" s="8" t="s">
        <v>200</v>
      </c>
    </row>
    <row r="32" spans="1:8" x14ac:dyDescent="0.25">
      <c r="A32" s="8" t="s">
        <v>67</v>
      </c>
      <c r="B32" s="8" t="s">
        <v>194</v>
      </c>
      <c r="C32" s="8" t="s">
        <v>195</v>
      </c>
      <c r="D32" s="8" t="s">
        <v>209</v>
      </c>
      <c r="E32" s="8" t="s">
        <v>210</v>
      </c>
      <c r="F32" s="8" t="s">
        <v>211</v>
      </c>
      <c r="G32" s="8" t="s">
        <v>212</v>
      </c>
      <c r="H32" s="8" t="s">
        <v>200</v>
      </c>
    </row>
    <row r="33" spans="1:8" x14ac:dyDescent="0.25">
      <c r="A33" s="8" t="s">
        <v>67</v>
      </c>
      <c r="B33" s="8" t="s">
        <v>194</v>
      </c>
      <c r="C33" s="8" t="s">
        <v>195</v>
      </c>
      <c r="D33" s="8" t="s">
        <v>213</v>
      </c>
      <c r="E33" s="8" t="s">
        <v>214</v>
      </c>
      <c r="F33" s="8" t="s">
        <v>215</v>
      </c>
      <c r="G33" s="8" t="s">
        <v>216</v>
      </c>
      <c r="H33" s="8" t="s">
        <v>200</v>
      </c>
    </row>
    <row r="34" spans="1:8" x14ac:dyDescent="0.25">
      <c r="A34" s="8" t="s">
        <v>67</v>
      </c>
      <c r="B34" s="8" t="s">
        <v>217</v>
      </c>
      <c r="C34" s="8" t="s">
        <v>218</v>
      </c>
      <c r="D34" s="8" t="s">
        <v>219</v>
      </c>
      <c r="E34" s="8" t="s">
        <v>220</v>
      </c>
      <c r="F34" s="8" t="s">
        <v>221</v>
      </c>
      <c r="G34" s="8" t="s">
        <v>222</v>
      </c>
      <c r="H34" s="8" t="s">
        <v>223</v>
      </c>
    </row>
    <row r="35" spans="1:8" x14ac:dyDescent="0.25">
      <c r="A35" s="8" t="s">
        <v>67</v>
      </c>
      <c r="B35" s="8" t="s">
        <v>217</v>
      </c>
      <c r="C35" s="8" t="s">
        <v>218</v>
      </c>
      <c r="D35" s="8" t="s">
        <v>224</v>
      </c>
      <c r="E35" s="8" t="s">
        <v>225</v>
      </c>
      <c r="F35" s="8" t="s">
        <v>226</v>
      </c>
      <c r="G35" s="8" t="s">
        <v>227</v>
      </c>
      <c r="H35" s="8" t="s">
        <v>223</v>
      </c>
    </row>
    <row r="36" spans="1:8" x14ac:dyDescent="0.25">
      <c r="A36" s="8" t="s">
        <v>67</v>
      </c>
      <c r="B36" s="8" t="s">
        <v>217</v>
      </c>
      <c r="C36" s="8" t="s">
        <v>218</v>
      </c>
      <c r="D36" s="8" t="s">
        <v>228</v>
      </c>
      <c r="E36" s="8" t="s">
        <v>229</v>
      </c>
      <c r="F36" s="8" t="s">
        <v>230</v>
      </c>
      <c r="G36" s="8" t="s">
        <v>231</v>
      </c>
      <c r="H36" s="8" t="s">
        <v>223</v>
      </c>
    </row>
    <row r="37" spans="1:8" x14ac:dyDescent="0.25">
      <c r="A37" s="8" t="s">
        <v>67</v>
      </c>
      <c r="B37" s="8" t="s">
        <v>217</v>
      </c>
      <c r="C37" s="8" t="s">
        <v>218</v>
      </c>
      <c r="D37" s="8" t="s">
        <v>232</v>
      </c>
      <c r="E37" s="8" t="s">
        <v>233</v>
      </c>
      <c r="F37" s="8" t="s">
        <v>234</v>
      </c>
      <c r="G37" s="8" t="s">
        <v>235</v>
      </c>
      <c r="H37" s="8" t="s">
        <v>223</v>
      </c>
    </row>
    <row r="38" spans="1:8" x14ac:dyDescent="0.25">
      <c r="A38" s="8" t="s">
        <v>67</v>
      </c>
      <c r="B38" s="8" t="s">
        <v>217</v>
      </c>
      <c r="C38" s="8" t="s">
        <v>218</v>
      </c>
      <c r="D38" s="8" t="s">
        <v>236</v>
      </c>
      <c r="E38" s="8" t="s">
        <v>237</v>
      </c>
      <c r="F38" s="8" t="s">
        <v>238</v>
      </c>
      <c r="G38" s="8" t="s">
        <v>239</v>
      </c>
      <c r="H38" s="8" t="s">
        <v>223</v>
      </c>
    </row>
    <row r="39" spans="1:8" x14ac:dyDescent="0.25">
      <c r="A39" s="8" t="s">
        <v>67</v>
      </c>
      <c r="B39" s="8" t="s">
        <v>240</v>
      </c>
      <c r="C39" s="8" t="s">
        <v>241</v>
      </c>
      <c r="D39" s="8" t="s">
        <v>242</v>
      </c>
      <c r="E39" s="8" t="s">
        <v>243</v>
      </c>
      <c r="F39" s="8" t="s">
        <v>244</v>
      </c>
      <c r="G39" s="8" t="s">
        <v>245</v>
      </c>
      <c r="H39" s="8" t="s">
        <v>246</v>
      </c>
    </row>
    <row r="40" spans="1:8" x14ac:dyDescent="0.25">
      <c r="A40" s="8" t="s">
        <v>67</v>
      </c>
      <c r="B40" s="8" t="s">
        <v>240</v>
      </c>
      <c r="C40" s="8" t="s">
        <v>241</v>
      </c>
      <c r="D40" s="8" t="s">
        <v>247</v>
      </c>
      <c r="E40" s="8" t="s">
        <v>248</v>
      </c>
      <c r="F40" s="8" t="s">
        <v>249</v>
      </c>
      <c r="G40" s="8" t="s">
        <v>250</v>
      </c>
      <c r="H40" s="8" t="s">
        <v>246</v>
      </c>
    </row>
    <row r="41" spans="1:8" x14ac:dyDescent="0.25">
      <c r="A41" s="8" t="s">
        <v>67</v>
      </c>
      <c r="B41" s="8" t="s">
        <v>240</v>
      </c>
      <c r="C41" s="8" t="s">
        <v>241</v>
      </c>
      <c r="D41" s="8" t="s">
        <v>251</v>
      </c>
      <c r="E41" s="8" t="s">
        <v>252</v>
      </c>
      <c r="F41" s="8" t="s">
        <v>253</v>
      </c>
      <c r="G41" s="8" t="s">
        <v>254</v>
      </c>
      <c r="H41" s="8" t="s">
        <v>246</v>
      </c>
    </row>
    <row r="42" spans="1:8" x14ac:dyDescent="0.25">
      <c r="A42" s="8" t="s">
        <v>67</v>
      </c>
      <c r="B42" s="8" t="s">
        <v>240</v>
      </c>
      <c r="C42" s="8" t="s">
        <v>241</v>
      </c>
      <c r="D42" s="8" t="s">
        <v>255</v>
      </c>
      <c r="E42" s="8" t="s">
        <v>256</v>
      </c>
      <c r="F42" s="8" t="s">
        <v>257</v>
      </c>
      <c r="G42" s="8" t="s">
        <v>258</v>
      </c>
      <c r="H42" s="8" t="s">
        <v>246</v>
      </c>
    </row>
    <row r="43" spans="1:8" x14ac:dyDescent="0.25">
      <c r="A43" s="8" t="s">
        <v>67</v>
      </c>
      <c r="B43" s="8" t="s">
        <v>259</v>
      </c>
      <c r="C43" s="8" t="s">
        <v>260</v>
      </c>
      <c r="D43" s="8" t="s">
        <v>261</v>
      </c>
      <c r="E43" s="8" t="s">
        <v>262</v>
      </c>
      <c r="F43" s="8" t="s">
        <v>263</v>
      </c>
      <c r="G43" s="8" t="s">
        <v>264</v>
      </c>
      <c r="H43" s="8" t="s">
        <v>265</v>
      </c>
    </row>
    <row r="44" spans="1:8" x14ac:dyDescent="0.25">
      <c r="A44" s="8" t="s">
        <v>67</v>
      </c>
      <c r="B44" s="8" t="s">
        <v>259</v>
      </c>
      <c r="C44" s="8" t="s">
        <v>260</v>
      </c>
      <c r="D44" s="8" t="s">
        <v>266</v>
      </c>
      <c r="E44" s="8" t="s">
        <v>267</v>
      </c>
      <c r="F44" s="8" t="s">
        <v>268</v>
      </c>
      <c r="G44" s="8" t="s">
        <v>269</v>
      </c>
      <c r="H44" s="8" t="s">
        <v>265</v>
      </c>
    </row>
    <row r="45" spans="1:8" x14ac:dyDescent="0.25">
      <c r="A45" s="8" t="s">
        <v>67</v>
      </c>
      <c r="B45" s="8" t="s">
        <v>270</v>
      </c>
      <c r="C45" s="8" t="s">
        <v>271</v>
      </c>
      <c r="D45" s="8" t="s">
        <v>272</v>
      </c>
      <c r="E45" s="8" t="s">
        <v>273</v>
      </c>
      <c r="F45" s="8" t="s">
        <v>274</v>
      </c>
      <c r="G45" s="8" t="s">
        <v>275</v>
      </c>
      <c r="H45" s="8" t="s">
        <v>276</v>
      </c>
    </row>
    <row r="46" spans="1:8" x14ac:dyDescent="0.25">
      <c r="A46" s="8" t="s">
        <v>67</v>
      </c>
      <c r="B46" s="8" t="s">
        <v>270</v>
      </c>
      <c r="C46" s="8" t="s">
        <v>271</v>
      </c>
      <c r="D46" s="8" t="s">
        <v>277</v>
      </c>
      <c r="E46" s="8" t="s">
        <v>278</v>
      </c>
      <c r="F46" s="8" t="s">
        <v>279</v>
      </c>
      <c r="G46" s="8" t="s">
        <v>280</v>
      </c>
      <c r="H46" s="8" t="s">
        <v>276</v>
      </c>
    </row>
    <row r="47" spans="1:8" x14ac:dyDescent="0.25">
      <c r="A47" s="8" t="s">
        <v>67</v>
      </c>
      <c r="B47" s="8" t="s">
        <v>281</v>
      </c>
      <c r="C47" s="8" t="s">
        <v>282</v>
      </c>
      <c r="D47" s="8" t="s">
        <v>283</v>
      </c>
      <c r="E47" s="8" t="s">
        <v>284</v>
      </c>
      <c r="F47" s="8" t="s">
        <v>285</v>
      </c>
      <c r="G47" s="8" t="s">
        <v>286</v>
      </c>
      <c r="H47" s="8" t="s">
        <v>287</v>
      </c>
    </row>
    <row r="48" spans="1:8" x14ac:dyDescent="0.25">
      <c r="A48" s="8" t="s">
        <v>67</v>
      </c>
      <c r="B48" s="8" t="s">
        <v>281</v>
      </c>
      <c r="C48" s="8" t="s">
        <v>282</v>
      </c>
      <c r="D48" s="8" t="s">
        <v>288</v>
      </c>
      <c r="E48" s="8" t="s">
        <v>289</v>
      </c>
      <c r="F48" s="8" t="s">
        <v>290</v>
      </c>
      <c r="G48" s="8" t="s">
        <v>291</v>
      </c>
      <c r="H48" s="8" t="s">
        <v>287</v>
      </c>
    </row>
    <row r="49" spans="1:8" x14ac:dyDescent="0.25">
      <c r="A49" s="8" t="s">
        <v>67</v>
      </c>
      <c r="B49" s="8" t="s">
        <v>292</v>
      </c>
      <c r="C49" s="8" t="s">
        <v>293</v>
      </c>
      <c r="D49" s="8" t="s">
        <v>294</v>
      </c>
      <c r="E49" s="8" t="s">
        <v>295</v>
      </c>
      <c r="F49" s="8" t="s">
        <v>296</v>
      </c>
      <c r="G49" s="8" t="s">
        <v>297</v>
      </c>
      <c r="H49" s="8" t="s">
        <v>298</v>
      </c>
    </row>
    <row r="50" spans="1:8" x14ac:dyDescent="0.25">
      <c r="A50" s="8" t="s">
        <v>67</v>
      </c>
      <c r="B50" s="8" t="s">
        <v>292</v>
      </c>
      <c r="C50" s="8" t="s">
        <v>293</v>
      </c>
      <c r="D50" s="8" t="s">
        <v>299</v>
      </c>
      <c r="E50" s="8" t="s">
        <v>300</v>
      </c>
      <c r="F50" s="8" t="s">
        <v>301</v>
      </c>
      <c r="G50" s="8" t="s">
        <v>302</v>
      </c>
      <c r="H50" s="8" t="s">
        <v>298</v>
      </c>
    </row>
    <row r="51" spans="1:8" x14ac:dyDescent="0.25">
      <c r="A51" s="8" t="s">
        <v>67</v>
      </c>
      <c r="B51" s="8" t="s">
        <v>292</v>
      </c>
      <c r="C51" s="8" t="s">
        <v>293</v>
      </c>
      <c r="D51" s="8" t="s">
        <v>303</v>
      </c>
      <c r="E51" s="8" t="s">
        <v>304</v>
      </c>
      <c r="F51" s="8" t="s">
        <v>305</v>
      </c>
      <c r="G51" s="8" t="s">
        <v>306</v>
      </c>
      <c r="H51" s="8" t="s">
        <v>298</v>
      </c>
    </row>
    <row r="52" spans="1:8" x14ac:dyDescent="0.25">
      <c r="A52" s="8" t="s">
        <v>67</v>
      </c>
      <c r="B52" s="8" t="s">
        <v>292</v>
      </c>
      <c r="C52" s="8" t="s">
        <v>293</v>
      </c>
      <c r="D52" s="8" t="s">
        <v>307</v>
      </c>
      <c r="E52" s="8" t="s">
        <v>308</v>
      </c>
      <c r="F52" s="8" t="s">
        <v>309</v>
      </c>
      <c r="G52" s="8" t="s">
        <v>310</v>
      </c>
      <c r="H52" s="8" t="s">
        <v>298</v>
      </c>
    </row>
    <row r="53" spans="1:8" x14ac:dyDescent="0.25">
      <c r="A53" s="8" t="s">
        <v>311</v>
      </c>
      <c r="B53" s="8" t="s">
        <v>312</v>
      </c>
      <c r="C53" s="8" t="s">
        <v>313</v>
      </c>
      <c r="D53" s="8" t="s">
        <v>314</v>
      </c>
      <c r="E53" s="8" t="s">
        <v>315</v>
      </c>
      <c r="F53" s="8" t="s">
        <v>316</v>
      </c>
      <c r="G53" s="8" t="s">
        <v>317</v>
      </c>
      <c r="H53" s="8" t="s">
        <v>318</v>
      </c>
    </row>
    <row r="54" spans="1:8" x14ac:dyDescent="0.25">
      <c r="A54" s="8" t="s">
        <v>311</v>
      </c>
      <c r="B54" s="8" t="s">
        <v>312</v>
      </c>
      <c r="C54" s="8" t="s">
        <v>313</v>
      </c>
      <c r="D54" s="8" t="s">
        <v>319</v>
      </c>
      <c r="E54" s="8" t="s">
        <v>320</v>
      </c>
      <c r="F54" s="8" t="s">
        <v>321</v>
      </c>
      <c r="G54" s="8" t="s">
        <v>322</v>
      </c>
      <c r="H54" s="8" t="s">
        <v>318</v>
      </c>
    </row>
    <row r="55" spans="1:8" x14ac:dyDescent="0.25">
      <c r="A55" s="8" t="s">
        <v>311</v>
      </c>
      <c r="B55" s="8" t="s">
        <v>312</v>
      </c>
      <c r="C55" s="8" t="s">
        <v>313</v>
      </c>
      <c r="D55" s="8" t="s">
        <v>323</v>
      </c>
      <c r="E55" s="8" t="s">
        <v>324</v>
      </c>
      <c r="F55" s="8" t="s">
        <v>325</v>
      </c>
      <c r="G55" s="8" t="s">
        <v>326</v>
      </c>
      <c r="H55" s="8" t="s">
        <v>318</v>
      </c>
    </row>
    <row r="56" spans="1:8" x14ac:dyDescent="0.25">
      <c r="A56" s="8" t="s">
        <v>311</v>
      </c>
      <c r="B56" s="8" t="s">
        <v>312</v>
      </c>
      <c r="C56" s="8" t="s">
        <v>313</v>
      </c>
      <c r="D56" s="8" t="s">
        <v>327</v>
      </c>
      <c r="E56" s="8" t="s">
        <v>328</v>
      </c>
      <c r="F56" s="8" t="s">
        <v>329</v>
      </c>
      <c r="G56" s="8" t="s">
        <v>330</v>
      </c>
      <c r="H56" s="8" t="s">
        <v>318</v>
      </c>
    </row>
    <row r="57" spans="1:8" x14ac:dyDescent="0.25">
      <c r="A57" s="8" t="s">
        <v>311</v>
      </c>
      <c r="B57" s="8" t="s">
        <v>312</v>
      </c>
      <c r="C57" s="8" t="s">
        <v>313</v>
      </c>
      <c r="D57" s="8" t="s">
        <v>331</v>
      </c>
      <c r="E57" s="8" t="s">
        <v>332</v>
      </c>
      <c r="F57" s="8" t="s">
        <v>333</v>
      </c>
      <c r="G57" s="8" t="s">
        <v>334</v>
      </c>
      <c r="H57" s="8" t="s">
        <v>318</v>
      </c>
    </row>
    <row r="58" spans="1:8" x14ac:dyDescent="0.25">
      <c r="A58" s="8" t="s">
        <v>311</v>
      </c>
      <c r="B58" s="8" t="s">
        <v>335</v>
      </c>
      <c r="C58" s="8" t="s">
        <v>336</v>
      </c>
      <c r="D58" s="8" t="s">
        <v>337</v>
      </c>
      <c r="E58" s="8" t="s">
        <v>94</v>
      </c>
      <c r="F58" s="8" t="s">
        <v>338</v>
      </c>
      <c r="G58" s="8" t="s">
        <v>339</v>
      </c>
      <c r="H58" s="8" t="s">
        <v>340</v>
      </c>
    </row>
    <row r="59" spans="1:8" x14ac:dyDescent="0.25">
      <c r="A59" s="8" t="s">
        <v>311</v>
      </c>
      <c r="B59" s="8" t="s">
        <v>335</v>
      </c>
      <c r="C59" s="8" t="s">
        <v>336</v>
      </c>
      <c r="D59" s="8" t="s">
        <v>341</v>
      </c>
      <c r="E59" s="8" t="s">
        <v>99</v>
      </c>
      <c r="F59" s="8" t="s">
        <v>342</v>
      </c>
      <c r="G59" s="8" t="s">
        <v>343</v>
      </c>
      <c r="H59" s="8" t="s">
        <v>340</v>
      </c>
    </row>
    <row r="60" spans="1:8" x14ac:dyDescent="0.25">
      <c r="A60" s="8" t="s">
        <v>311</v>
      </c>
      <c r="B60" s="8" t="s">
        <v>335</v>
      </c>
      <c r="C60" s="8" t="s">
        <v>336</v>
      </c>
      <c r="D60" s="8" t="s">
        <v>344</v>
      </c>
      <c r="E60" s="8" t="s">
        <v>103</v>
      </c>
      <c r="F60" s="8" t="s">
        <v>345</v>
      </c>
      <c r="G60" s="8" t="s">
        <v>346</v>
      </c>
      <c r="H60" s="8" t="s">
        <v>340</v>
      </c>
    </row>
    <row r="61" spans="1:8" x14ac:dyDescent="0.25">
      <c r="A61" s="8" t="s">
        <v>311</v>
      </c>
      <c r="B61" s="8" t="s">
        <v>335</v>
      </c>
      <c r="C61" s="8" t="s">
        <v>336</v>
      </c>
      <c r="D61" s="8" t="s">
        <v>347</v>
      </c>
      <c r="E61" s="8" t="s">
        <v>348</v>
      </c>
      <c r="F61" s="8" t="s">
        <v>349</v>
      </c>
      <c r="G61" s="8" t="s">
        <v>350</v>
      </c>
      <c r="H61" s="8" t="s">
        <v>340</v>
      </c>
    </row>
    <row r="62" spans="1:8" x14ac:dyDescent="0.25">
      <c r="A62" s="8" t="s">
        <v>311</v>
      </c>
      <c r="B62" s="8" t="s">
        <v>335</v>
      </c>
      <c r="C62" s="8" t="s">
        <v>336</v>
      </c>
      <c r="D62" s="8" t="s">
        <v>351</v>
      </c>
      <c r="E62" s="8" t="s">
        <v>111</v>
      </c>
      <c r="F62" s="8" t="s">
        <v>352</v>
      </c>
      <c r="G62" s="8" t="s">
        <v>113</v>
      </c>
      <c r="H62" s="8" t="s">
        <v>340</v>
      </c>
    </row>
    <row r="63" spans="1:8" x14ac:dyDescent="0.25">
      <c r="A63" s="8" t="s">
        <v>311</v>
      </c>
      <c r="B63" s="8" t="s">
        <v>335</v>
      </c>
      <c r="C63" s="8" t="s">
        <v>336</v>
      </c>
      <c r="D63" s="8" t="s">
        <v>353</v>
      </c>
      <c r="E63" s="8" t="s">
        <v>115</v>
      </c>
      <c r="F63" s="8" t="s">
        <v>354</v>
      </c>
      <c r="G63" s="8" t="s">
        <v>355</v>
      </c>
      <c r="H63" s="8" t="s">
        <v>340</v>
      </c>
    </row>
    <row r="64" spans="1:8" x14ac:dyDescent="0.25">
      <c r="A64" s="8" t="s">
        <v>311</v>
      </c>
      <c r="B64" s="8" t="s">
        <v>356</v>
      </c>
      <c r="C64" s="8" t="s">
        <v>357</v>
      </c>
      <c r="D64" s="8" t="s">
        <v>358</v>
      </c>
      <c r="E64" s="8" t="s">
        <v>359</v>
      </c>
      <c r="F64" s="8" t="s">
        <v>360</v>
      </c>
      <c r="G64" s="8" t="s">
        <v>361</v>
      </c>
      <c r="H64" s="8" t="s">
        <v>362</v>
      </c>
    </row>
    <row r="65" spans="1:8" x14ac:dyDescent="0.25">
      <c r="A65" s="8" t="s">
        <v>311</v>
      </c>
      <c r="B65" s="8" t="s">
        <v>356</v>
      </c>
      <c r="C65" s="8" t="s">
        <v>357</v>
      </c>
      <c r="D65" s="8" t="s">
        <v>363</v>
      </c>
      <c r="E65" s="8" t="s">
        <v>364</v>
      </c>
      <c r="F65" s="8" t="s">
        <v>365</v>
      </c>
      <c r="G65" s="8" t="s">
        <v>366</v>
      </c>
      <c r="H65" s="8" t="s">
        <v>362</v>
      </c>
    </row>
    <row r="66" spans="1:8" x14ac:dyDescent="0.25">
      <c r="A66" s="8" t="s">
        <v>311</v>
      </c>
      <c r="B66" s="8" t="s">
        <v>356</v>
      </c>
      <c r="C66" s="8" t="s">
        <v>357</v>
      </c>
      <c r="D66" s="8" t="s">
        <v>367</v>
      </c>
      <c r="E66" s="8" t="s">
        <v>284</v>
      </c>
      <c r="F66" s="8" t="s">
        <v>368</v>
      </c>
      <c r="G66" s="8" t="s">
        <v>369</v>
      </c>
      <c r="H66" s="8" t="s">
        <v>362</v>
      </c>
    </row>
    <row r="67" spans="1:8" x14ac:dyDescent="0.25">
      <c r="A67" s="8" t="s">
        <v>311</v>
      </c>
      <c r="B67" s="8" t="s">
        <v>370</v>
      </c>
      <c r="C67" s="8" t="s">
        <v>371</v>
      </c>
      <c r="D67" s="8" t="s">
        <v>372</v>
      </c>
      <c r="E67" s="8" t="s">
        <v>373</v>
      </c>
      <c r="F67" s="8" t="s">
        <v>374</v>
      </c>
      <c r="G67" s="8" t="s">
        <v>375</v>
      </c>
      <c r="H67" s="8" t="s">
        <v>376</v>
      </c>
    </row>
    <row r="68" spans="1:8" x14ac:dyDescent="0.25">
      <c r="A68" s="8" t="s">
        <v>311</v>
      </c>
      <c r="B68" s="8" t="s">
        <v>370</v>
      </c>
      <c r="C68" s="8" t="s">
        <v>371</v>
      </c>
      <c r="D68" s="8" t="s">
        <v>377</v>
      </c>
      <c r="E68" s="8" t="s">
        <v>378</v>
      </c>
      <c r="F68" s="8" t="s">
        <v>379</v>
      </c>
      <c r="G68" s="8" t="s">
        <v>380</v>
      </c>
      <c r="H68" s="8" t="s">
        <v>376</v>
      </c>
    </row>
    <row r="69" spans="1:8" x14ac:dyDescent="0.25">
      <c r="A69" s="8" t="s">
        <v>311</v>
      </c>
      <c r="B69" s="8" t="s">
        <v>370</v>
      </c>
      <c r="C69" s="8" t="s">
        <v>371</v>
      </c>
      <c r="D69" s="8" t="s">
        <v>381</v>
      </c>
      <c r="E69" s="8" t="s">
        <v>382</v>
      </c>
      <c r="F69" s="8" t="s">
        <v>383</v>
      </c>
      <c r="G69" s="8" t="s">
        <v>384</v>
      </c>
      <c r="H69" s="8" t="s">
        <v>376</v>
      </c>
    </row>
    <row r="70" spans="1:8" x14ac:dyDescent="0.25">
      <c r="A70" s="8" t="s">
        <v>311</v>
      </c>
      <c r="B70" s="8" t="s">
        <v>370</v>
      </c>
      <c r="C70" s="8" t="s">
        <v>371</v>
      </c>
      <c r="D70" s="8" t="s">
        <v>385</v>
      </c>
      <c r="E70" s="8" t="s">
        <v>386</v>
      </c>
      <c r="F70" s="8" t="s">
        <v>387</v>
      </c>
      <c r="G70" s="8" t="s">
        <v>388</v>
      </c>
      <c r="H70" s="8" t="s">
        <v>376</v>
      </c>
    </row>
    <row r="71" spans="1:8" x14ac:dyDescent="0.25">
      <c r="A71" s="8" t="s">
        <v>311</v>
      </c>
      <c r="B71" s="8" t="s">
        <v>370</v>
      </c>
      <c r="C71" s="8" t="s">
        <v>371</v>
      </c>
      <c r="D71" s="8" t="s">
        <v>389</v>
      </c>
      <c r="E71" s="8" t="s">
        <v>390</v>
      </c>
      <c r="F71" s="8" t="s">
        <v>391</v>
      </c>
      <c r="G71" s="8" t="s">
        <v>392</v>
      </c>
      <c r="H71" s="8" t="s">
        <v>376</v>
      </c>
    </row>
    <row r="72" spans="1:8" x14ac:dyDescent="0.25">
      <c r="A72" s="8" t="s">
        <v>311</v>
      </c>
      <c r="B72" s="8" t="s">
        <v>393</v>
      </c>
      <c r="C72" s="8" t="s">
        <v>394</v>
      </c>
      <c r="D72" s="8" t="s">
        <v>395</v>
      </c>
      <c r="E72" s="8" t="s">
        <v>396</v>
      </c>
      <c r="F72" s="8" t="s">
        <v>397</v>
      </c>
      <c r="G72" s="8" t="s">
        <v>398</v>
      </c>
      <c r="H72" s="8" t="s">
        <v>399</v>
      </c>
    </row>
    <row r="73" spans="1:8" x14ac:dyDescent="0.25">
      <c r="A73" s="8" t="s">
        <v>311</v>
      </c>
      <c r="B73" s="8" t="s">
        <v>393</v>
      </c>
      <c r="C73" s="8" t="s">
        <v>394</v>
      </c>
      <c r="D73" s="8" t="s">
        <v>400</v>
      </c>
      <c r="E73" s="8" t="s">
        <v>401</v>
      </c>
      <c r="F73" s="8" t="s">
        <v>402</v>
      </c>
      <c r="G73" s="8" t="s">
        <v>403</v>
      </c>
      <c r="H73" s="8" t="s">
        <v>399</v>
      </c>
    </row>
    <row r="74" spans="1:8" x14ac:dyDescent="0.25">
      <c r="A74" s="8" t="s">
        <v>311</v>
      </c>
      <c r="B74" s="8" t="s">
        <v>393</v>
      </c>
      <c r="C74" s="8" t="s">
        <v>394</v>
      </c>
      <c r="D74" s="8" t="s">
        <v>404</v>
      </c>
      <c r="E74" s="8" t="s">
        <v>405</v>
      </c>
      <c r="F74" s="8" t="s">
        <v>406</v>
      </c>
      <c r="G74" s="8" t="s">
        <v>407</v>
      </c>
      <c r="H74" s="8" t="s">
        <v>399</v>
      </c>
    </row>
    <row r="75" spans="1:8" x14ac:dyDescent="0.25">
      <c r="A75" s="8" t="s">
        <v>311</v>
      </c>
      <c r="B75" s="8" t="s">
        <v>393</v>
      </c>
      <c r="C75" s="8" t="s">
        <v>394</v>
      </c>
      <c r="D75" s="8" t="s">
        <v>408</v>
      </c>
      <c r="E75" s="8" t="s">
        <v>409</v>
      </c>
      <c r="F75" s="8" t="s">
        <v>410</v>
      </c>
      <c r="G75" s="8" t="s">
        <v>411</v>
      </c>
      <c r="H75" s="8" t="s">
        <v>399</v>
      </c>
    </row>
    <row r="76" spans="1:8" x14ac:dyDescent="0.25">
      <c r="A76" s="8" t="s">
        <v>311</v>
      </c>
      <c r="B76" s="8" t="s">
        <v>393</v>
      </c>
      <c r="C76" s="8" t="s">
        <v>394</v>
      </c>
      <c r="D76" s="8" t="s">
        <v>412</v>
      </c>
      <c r="E76" s="8" t="s">
        <v>413</v>
      </c>
      <c r="F76" s="8" t="s">
        <v>414</v>
      </c>
      <c r="G76" s="8" t="s">
        <v>415</v>
      </c>
      <c r="H76" s="8" t="s">
        <v>399</v>
      </c>
    </row>
    <row r="77" spans="1:8" x14ac:dyDescent="0.25">
      <c r="A77" s="8" t="s">
        <v>311</v>
      </c>
      <c r="B77" s="8" t="s">
        <v>393</v>
      </c>
      <c r="C77" s="8" t="s">
        <v>394</v>
      </c>
      <c r="D77" s="8" t="s">
        <v>416</v>
      </c>
      <c r="E77" s="8" t="s">
        <v>417</v>
      </c>
      <c r="F77" s="8" t="s">
        <v>418</v>
      </c>
      <c r="G77" s="8" t="s">
        <v>419</v>
      </c>
      <c r="H77" s="8" t="s">
        <v>399</v>
      </c>
    </row>
    <row r="78" spans="1:8" x14ac:dyDescent="0.25">
      <c r="A78" s="8" t="s">
        <v>311</v>
      </c>
      <c r="B78" s="8" t="s">
        <v>420</v>
      </c>
      <c r="C78" s="8" t="s">
        <v>421</v>
      </c>
      <c r="D78" s="8" t="s">
        <v>422</v>
      </c>
      <c r="E78" s="8" t="s">
        <v>423</v>
      </c>
      <c r="F78" s="8" t="s">
        <v>424</v>
      </c>
      <c r="G78" s="8" t="s">
        <v>425</v>
      </c>
      <c r="H78" s="8" t="s">
        <v>426</v>
      </c>
    </row>
    <row r="79" spans="1:8" x14ac:dyDescent="0.25">
      <c r="A79" s="8" t="s">
        <v>311</v>
      </c>
      <c r="B79" s="8" t="s">
        <v>420</v>
      </c>
      <c r="C79" s="8" t="s">
        <v>421</v>
      </c>
      <c r="D79" s="8" t="s">
        <v>427</v>
      </c>
      <c r="E79" s="8" t="s">
        <v>428</v>
      </c>
      <c r="F79" s="8" t="s">
        <v>429</v>
      </c>
      <c r="G79" s="8" t="s">
        <v>430</v>
      </c>
      <c r="H79" s="8" t="s">
        <v>426</v>
      </c>
    </row>
    <row r="80" spans="1:8" x14ac:dyDescent="0.25">
      <c r="A80" s="8" t="s">
        <v>311</v>
      </c>
      <c r="B80" s="8" t="s">
        <v>420</v>
      </c>
      <c r="C80" s="8" t="s">
        <v>421</v>
      </c>
      <c r="D80" s="8" t="s">
        <v>431</v>
      </c>
      <c r="E80" s="8" t="s">
        <v>432</v>
      </c>
      <c r="F80" s="8" t="s">
        <v>433</v>
      </c>
      <c r="G80" s="8" t="s">
        <v>434</v>
      </c>
      <c r="H80" s="8" t="s">
        <v>426</v>
      </c>
    </row>
    <row r="81" spans="1:8" x14ac:dyDescent="0.25">
      <c r="A81" s="8" t="s">
        <v>311</v>
      </c>
      <c r="B81" s="8" t="s">
        <v>435</v>
      </c>
      <c r="C81" s="8" t="s">
        <v>436</v>
      </c>
      <c r="D81" s="8" t="s">
        <v>437</v>
      </c>
      <c r="E81" s="8" t="s">
        <v>273</v>
      </c>
      <c r="F81" s="8" t="s">
        <v>438</v>
      </c>
      <c r="G81" s="8" t="s">
        <v>439</v>
      </c>
      <c r="H81" s="8" t="s">
        <v>440</v>
      </c>
    </row>
    <row r="82" spans="1:8" x14ac:dyDescent="0.25">
      <c r="A82" s="8" t="s">
        <v>311</v>
      </c>
      <c r="B82" s="8" t="s">
        <v>435</v>
      </c>
      <c r="C82" s="8" t="s">
        <v>436</v>
      </c>
      <c r="D82" s="8" t="s">
        <v>441</v>
      </c>
      <c r="E82" s="8" t="s">
        <v>442</v>
      </c>
      <c r="F82" s="8" t="s">
        <v>443</v>
      </c>
      <c r="G82" s="8" t="s">
        <v>444</v>
      </c>
      <c r="H82" s="8" t="s">
        <v>440</v>
      </c>
    </row>
    <row r="83" spans="1:8" x14ac:dyDescent="0.25">
      <c r="A83" s="8" t="s">
        <v>445</v>
      </c>
      <c r="B83" s="8" t="s">
        <v>446</v>
      </c>
      <c r="C83" s="8" t="s">
        <v>447</v>
      </c>
      <c r="D83" s="8" t="s">
        <v>448</v>
      </c>
      <c r="E83" s="8" t="s">
        <v>449</v>
      </c>
      <c r="F83" s="8" t="s">
        <v>450</v>
      </c>
      <c r="G83" s="8" t="s">
        <v>451</v>
      </c>
      <c r="H83" s="8" t="s">
        <v>452</v>
      </c>
    </row>
    <row r="84" spans="1:8" x14ac:dyDescent="0.25">
      <c r="A84" s="8" t="s">
        <v>445</v>
      </c>
      <c r="B84" s="8" t="s">
        <v>446</v>
      </c>
      <c r="C84" s="8" t="s">
        <v>447</v>
      </c>
      <c r="D84" s="8" t="s">
        <v>453</v>
      </c>
      <c r="E84" s="8" t="s">
        <v>454</v>
      </c>
      <c r="F84" s="8" t="s">
        <v>455</v>
      </c>
      <c r="G84" s="8" t="s">
        <v>456</v>
      </c>
      <c r="H84" s="8" t="s">
        <v>452</v>
      </c>
    </row>
    <row r="85" spans="1:8" x14ac:dyDescent="0.25">
      <c r="A85" s="8" t="s">
        <v>445</v>
      </c>
      <c r="B85" s="8" t="s">
        <v>446</v>
      </c>
      <c r="C85" s="8" t="s">
        <v>447</v>
      </c>
      <c r="D85" s="8" t="s">
        <v>457</v>
      </c>
      <c r="E85" s="8" t="s">
        <v>458</v>
      </c>
      <c r="F85" s="8" t="s">
        <v>459</v>
      </c>
      <c r="G85" s="8" t="s">
        <v>460</v>
      </c>
      <c r="H85" s="8" t="s">
        <v>452</v>
      </c>
    </row>
    <row r="86" spans="1:8" x14ac:dyDescent="0.25">
      <c r="A86" s="8" t="s">
        <v>445</v>
      </c>
      <c r="B86" s="8" t="s">
        <v>446</v>
      </c>
      <c r="C86" s="8" t="s">
        <v>447</v>
      </c>
      <c r="D86" s="8" t="s">
        <v>461</v>
      </c>
      <c r="E86" s="8" t="s">
        <v>462</v>
      </c>
      <c r="F86" s="8" t="s">
        <v>463</v>
      </c>
      <c r="G86" s="8" t="s">
        <v>464</v>
      </c>
      <c r="H86" s="8" t="s">
        <v>452</v>
      </c>
    </row>
    <row r="87" spans="1:8" x14ac:dyDescent="0.25">
      <c r="A87" s="8" t="s">
        <v>445</v>
      </c>
      <c r="B87" s="8" t="s">
        <v>446</v>
      </c>
      <c r="C87" s="8" t="s">
        <v>447</v>
      </c>
      <c r="D87" s="8" t="s">
        <v>465</v>
      </c>
      <c r="E87" s="8" t="s">
        <v>466</v>
      </c>
      <c r="F87" s="8" t="s">
        <v>467</v>
      </c>
      <c r="G87" s="8" t="s">
        <v>468</v>
      </c>
      <c r="H87" s="8" t="s">
        <v>452</v>
      </c>
    </row>
    <row r="88" spans="1:8" x14ac:dyDescent="0.25">
      <c r="A88" s="8" t="s">
        <v>445</v>
      </c>
      <c r="B88" s="8" t="s">
        <v>469</v>
      </c>
      <c r="C88" s="8" t="s">
        <v>470</v>
      </c>
      <c r="D88" s="8" t="s">
        <v>471</v>
      </c>
      <c r="E88" s="8" t="s">
        <v>472</v>
      </c>
      <c r="F88" s="8" t="s">
        <v>473</v>
      </c>
      <c r="G88" s="8" t="s">
        <v>474</v>
      </c>
      <c r="H88" s="8" t="s">
        <v>475</v>
      </c>
    </row>
    <row r="89" spans="1:8" x14ac:dyDescent="0.25">
      <c r="A89" s="8" t="s">
        <v>445</v>
      </c>
      <c r="B89" s="8" t="s">
        <v>469</v>
      </c>
      <c r="C89" s="8" t="s">
        <v>470</v>
      </c>
      <c r="D89" s="8" t="s">
        <v>476</v>
      </c>
      <c r="E89" s="8" t="s">
        <v>477</v>
      </c>
      <c r="F89" s="8" t="s">
        <v>478</v>
      </c>
      <c r="G89" s="8" t="s">
        <v>479</v>
      </c>
      <c r="H89" s="8" t="s">
        <v>475</v>
      </c>
    </row>
    <row r="90" spans="1:8" x14ac:dyDescent="0.25">
      <c r="A90" s="8" t="s">
        <v>445</v>
      </c>
      <c r="B90" s="8" t="s">
        <v>480</v>
      </c>
      <c r="C90" s="8" t="s">
        <v>481</v>
      </c>
      <c r="D90" s="8" t="s">
        <v>482</v>
      </c>
      <c r="E90" s="8" t="s">
        <v>483</v>
      </c>
      <c r="F90" s="8" t="s">
        <v>484</v>
      </c>
      <c r="G90" s="8" t="s">
        <v>485</v>
      </c>
      <c r="H90" s="8" t="s">
        <v>486</v>
      </c>
    </row>
    <row r="91" spans="1:8" x14ac:dyDescent="0.25">
      <c r="A91" s="8" t="s">
        <v>445</v>
      </c>
      <c r="B91" s="8" t="s">
        <v>480</v>
      </c>
      <c r="C91" s="8" t="s">
        <v>481</v>
      </c>
      <c r="D91" s="8" t="s">
        <v>487</v>
      </c>
      <c r="E91" s="8" t="s">
        <v>488</v>
      </c>
      <c r="F91" s="8" t="s">
        <v>489</v>
      </c>
      <c r="G91" s="8" t="s">
        <v>490</v>
      </c>
      <c r="H91" s="8" t="s">
        <v>486</v>
      </c>
    </row>
    <row r="92" spans="1:8" x14ac:dyDescent="0.25">
      <c r="A92" s="8" t="s">
        <v>445</v>
      </c>
      <c r="B92" s="8" t="s">
        <v>480</v>
      </c>
      <c r="C92" s="8" t="s">
        <v>481</v>
      </c>
      <c r="D92" s="8" t="s">
        <v>491</v>
      </c>
      <c r="E92" s="8" t="s">
        <v>492</v>
      </c>
      <c r="F92" s="8" t="s">
        <v>493</v>
      </c>
      <c r="G92" s="8" t="s">
        <v>494</v>
      </c>
      <c r="H92" s="8" t="s">
        <v>486</v>
      </c>
    </row>
    <row r="93" spans="1:8" x14ac:dyDescent="0.25">
      <c r="A93" s="8" t="s">
        <v>445</v>
      </c>
      <c r="B93" s="8" t="s">
        <v>495</v>
      </c>
      <c r="C93" s="8" t="s">
        <v>496</v>
      </c>
      <c r="D93" s="8" t="s">
        <v>497</v>
      </c>
      <c r="E93" s="8" t="s">
        <v>159</v>
      </c>
      <c r="F93" s="8" t="s">
        <v>498</v>
      </c>
      <c r="G93" s="8" t="s">
        <v>499</v>
      </c>
      <c r="H93" s="8" t="s">
        <v>500</v>
      </c>
    </row>
    <row r="94" spans="1:8" x14ac:dyDescent="0.25">
      <c r="A94" s="8" t="s">
        <v>445</v>
      </c>
      <c r="B94" s="8" t="s">
        <v>495</v>
      </c>
      <c r="C94" s="8" t="s">
        <v>496</v>
      </c>
      <c r="D94" s="8" t="s">
        <v>501</v>
      </c>
      <c r="E94" s="8" t="s">
        <v>502</v>
      </c>
      <c r="F94" s="8" t="s">
        <v>503</v>
      </c>
      <c r="G94" s="8" t="s">
        <v>504</v>
      </c>
      <c r="H94" s="8" t="s">
        <v>500</v>
      </c>
    </row>
    <row r="95" spans="1:8" x14ac:dyDescent="0.25">
      <c r="A95" s="8" t="s">
        <v>445</v>
      </c>
      <c r="B95" s="8" t="s">
        <v>495</v>
      </c>
      <c r="C95" s="8" t="s">
        <v>496</v>
      </c>
      <c r="D95" s="8" t="s">
        <v>505</v>
      </c>
      <c r="E95" s="8" t="s">
        <v>506</v>
      </c>
      <c r="F95" s="8" t="s">
        <v>507</v>
      </c>
      <c r="G95" s="8" t="s">
        <v>508</v>
      </c>
      <c r="H95" s="8" t="s">
        <v>500</v>
      </c>
    </row>
    <row r="96" spans="1:8" x14ac:dyDescent="0.25">
      <c r="A96" s="8" t="s">
        <v>445</v>
      </c>
      <c r="B96" s="8" t="s">
        <v>509</v>
      </c>
      <c r="C96" s="8" t="s">
        <v>510</v>
      </c>
      <c r="D96" s="8" t="s">
        <v>511</v>
      </c>
      <c r="E96" s="8" t="s">
        <v>512</v>
      </c>
      <c r="F96" s="8" t="s">
        <v>513</v>
      </c>
      <c r="G96" s="8" t="s">
        <v>514</v>
      </c>
      <c r="H96" s="8" t="s">
        <v>515</v>
      </c>
    </row>
    <row r="97" spans="1:8" x14ac:dyDescent="0.25">
      <c r="A97" s="8" t="s">
        <v>445</v>
      </c>
      <c r="B97" s="8" t="s">
        <v>509</v>
      </c>
      <c r="C97" s="8" t="s">
        <v>510</v>
      </c>
      <c r="D97" s="8" t="s">
        <v>516</v>
      </c>
      <c r="E97" s="8" t="s">
        <v>517</v>
      </c>
      <c r="F97" s="8" t="s">
        <v>518</v>
      </c>
      <c r="G97" s="8" t="s">
        <v>519</v>
      </c>
      <c r="H97" s="8" t="s">
        <v>515</v>
      </c>
    </row>
    <row r="98" spans="1:8" x14ac:dyDescent="0.25">
      <c r="A98" s="8" t="s">
        <v>445</v>
      </c>
      <c r="B98" s="8" t="s">
        <v>509</v>
      </c>
      <c r="C98" s="8" t="s">
        <v>510</v>
      </c>
      <c r="D98" s="8" t="s">
        <v>520</v>
      </c>
      <c r="E98" s="8" t="s">
        <v>521</v>
      </c>
      <c r="F98" s="8" t="s">
        <v>522</v>
      </c>
      <c r="G98" s="8" t="s">
        <v>523</v>
      </c>
      <c r="H98" s="8" t="s">
        <v>515</v>
      </c>
    </row>
    <row r="99" spans="1:8" x14ac:dyDescent="0.25">
      <c r="A99" s="8" t="s">
        <v>445</v>
      </c>
      <c r="B99" s="8" t="s">
        <v>509</v>
      </c>
      <c r="C99" s="8" t="s">
        <v>510</v>
      </c>
      <c r="D99" s="8" t="s">
        <v>524</v>
      </c>
      <c r="E99" s="8" t="s">
        <v>525</v>
      </c>
      <c r="F99" s="8" t="s">
        <v>526</v>
      </c>
      <c r="G99" s="8" t="s">
        <v>527</v>
      </c>
      <c r="H99" s="8" t="s">
        <v>515</v>
      </c>
    </row>
    <row r="100" spans="1:8" x14ac:dyDescent="0.25">
      <c r="A100" s="8" t="s">
        <v>528</v>
      </c>
      <c r="B100" s="8" t="s">
        <v>529</v>
      </c>
      <c r="C100" s="8" t="s">
        <v>530</v>
      </c>
      <c r="D100" s="8" t="s">
        <v>531</v>
      </c>
      <c r="E100" s="8" t="s">
        <v>94</v>
      </c>
      <c r="F100" s="8" t="s">
        <v>532</v>
      </c>
      <c r="G100" s="8" t="s">
        <v>533</v>
      </c>
      <c r="H100" s="8" t="s">
        <v>534</v>
      </c>
    </row>
    <row r="101" spans="1:8" x14ac:dyDescent="0.25">
      <c r="A101" s="8" t="s">
        <v>528</v>
      </c>
      <c r="B101" s="8" t="s">
        <v>529</v>
      </c>
      <c r="C101" s="8" t="s">
        <v>530</v>
      </c>
      <c r="D101" s="8" t="s">
        <v>535</v>
      </c>
      <c r="E101" s="8" t="s">
        <v>99</v>
      </c>
      <c r="F101" s="8" t="s">
        <v>342</v>
      </c>
      <c r="G101" s="8" t="s">
        <v>536</v>
      </c>
      <c r="H101" s="8" t="s">
        <v>534</v>
      </c>
    </row>
    <row r="102" spans="1:8" x14ac:dyDescent="0.25">
      <c r="A102" s="8" t="s">
        <v>528</v>
      </c>
      <c r="B102" s="8" t="s">
        <v>529</v>
      </c>
      <c r="C102" s="8" t="s">
        <v>530</v>
      </c>
      <c r="D102" s="8" t="s">
        <v>537</v>
      </c>
      <c r="E102" s="8" t="s">
        <v>103</v>
      </c>
      <c r="F102" s="8" t="s">
        <v>538</v>
      </c>
      <c r="G102" s="8" t="s">
        <v>539</v>
      </c>
      <c r="H102" s="8" t="s">
        <v>534</v>
      </c>
    </row>
    <row r="103" spans="1:8" x14ac:dyDescent="0.25">
      <c r="A103" s="8" t="s">
        <v>528</v>
      </c>
      <c r="B103" s="8" t="s">
        <v>529</v>
      </c>
      <c r="C103" s="8" t="s">
        <v>530</v>
      </c>
      <c r="D103" s="8" t="s">
        <v>540</v>
      </c>
      <c r="E103" s="8" t="s">
        <v>107</v>
      </c>
      <c r="F103" s="8" t="s">
        <v>541</v>
      </c>
      <c r="G103" s="8" t="s">
        <v>542</v>
      </c>
      <c r="H103" s="8" t="s">
        <v>534</v>
      </c>
    </row>
    <row r="104" spans="1:8" x14ac:dyDescent="0.25">
      <c r="A104" s="8" t="s">
        <v>528</v>
      </c>
      <c r="B104" s="8" t="s">
        <v>529</v>
      </c>
      <c r="C104" s="8" t="s">
        <v>530</v>
      </c>
      <c r="D104" s="8" t="s">
        <v>543</v>
      </c>
      <c r="E104" s="8" t="s">
        <v>111</v>
      </c>
      <c r="F104" s="8" t="s">
        <v>544</v>
      </c>
      <c r="G104" s="8" t="s">
        <v>113</v>
      </c>
      <c r="H104" s="8" t="s">
        <v>534</v>
      </c>
    </row>
    <row r="105" spans="1:8" x14ac:dyDescent="0.25">
      <c r="A105" s="8" t="s">
        <v>528</v>
      </c>
      <c r="B105" s="8" t="s">
        <v>545</v>
      </c>
      <c r="C105" s="8" t="s">
        <v>546</v>
      </c>
      <c r="D105" s="8" t="s">
        <v>547</v>
      </c>
      <c r="E105" s="8" t="s">
        <v>548</v>
      </c>
      <c r="F105" s="8" t="s">
        <v>549</v>
      </c>
      <c r="G105" s="8" t="s">
        <v>550</v>
      </c>
      <c r="H105" s="8" t="s">
        <v>551</v>
      </c>
    </row>
    <row r="106" spans="1:8" x14ac:dyDescent="0.25">
      <c r="A106" s="8" t="s">
        <v>528</v>
      </c>
      <c r="B106" s="8" t="s">
        <v>545</v>
      </c>
      <c r="C106" s="8" t="s">
        <v>546</v>
      </c>
      <c r="D106" s="8" t="s">
        <v>552</v>
      </c>
      <c r="E106" s="8" t="s">
        <v>553</v>
      </c>
      <c r="F106" s="8" t="s">
        <v>554</v>
      </c>
      <c r="G106" s="8" t="s">
        <v>555</v>
      </c>
      <c r="H106" s="8" t="s">
        <v>551</v>
      </c>
    </row>
    <row r="107" spans="1:8" x14ac:dyDescent="0.25">
      <c r="A107" s="8" t="s">
        <v>528</v>
      </c>
      <c r="B107" s="8" t="s">
        <v>545</v>
      </c>
      <c r="C107" s="8" t="s">
        <v>546</v>
      </c>
      <c r="D107" s="8" t="s">
        <v>556</v>
      </c>
      <c r="E107" s="8" t="s">
        <v>557</v>
      </c>
      <c r="F107" s="8" t="s">
        <v>558</v>
      </c>
      <c r="G107" s="8" t="s">
        <v>559</v>
      </c>
      <c r="H107" s="8" t="s">
        <v>551</v>
      </c>
    </row>
    <row r="108" spans="1:8" x14ac:dyDescent="0.25">
      <c r="A108" s="8" t="s">
        <v>528</v>
      </c>
      <c r="B108" s="8" t="s">
        <v>560</v>
      </c>
      <c r="C108" s="8" t="s">
        <v>561</v>
      </c>
      <c r="D108" s="8" t="s">
        <v>562</v>
      </c>
      <c r="E108" s="8" t="s">
        <v>563</v>
      </c>
      <c r="F108" s="8" t="s">
        <v>564</v>
      </c>
      <c r="G108" s="8" t="s">
        <v>565</v>
      </c>
      <c r="H108" s="8" t="s">
        <v>566</v>
      </c>
    </row>
    <row r="109" spans="1:8" x14ac:dyDescent="0.25">
      <c r="A109" s="8" t="s">
        <v>528</v>
      </c>
      <c r="B109" s="8" t="s">
        <v>560</v>
      </c>
      <c r="C109" s="8" t="s">
        <v>561</v>
      </c>
      <c r="D109" s="8" t="s">
        <v>567</v>
      </c>
      <c r="E109" s="8" t="s">
        <v>568</v>
      </c>
      <c r="F109" s="8" t="s">
        <v>569</v>
      </c>
      <c r="G109" s="8" t="s">
        <v>570</v>
      </c>
      <c r="H109" s="8" t="s">
        <v>566</v>
      </c>
    </row>
    <row r="110" spans="1:8" x14ac:dyDescent="0.25">
      <c r="A110" s="8" t="s">
        <v>528</v>
      </c>
      <c r="B110" s="8" t="s">
        <v>560</v>
      </c>
      <c r="C110" s="8" t="s">
        <v>561</v>
      </c>
      <c r="D110" s="8" t="s">
        <v>571</v>
      </c>
      <c r="E110" s="8" t="s">
        <v>572</v>
      </c>
      <c r="F110" s="8" t="s">
        <v>573</v>
      </c>
      <c r="G110" s="8" t="s">
        <v>574</v>
      </c>
      <c r="H110" s="8" t="s">
        <v>566</v>
      </c>
    </row>
    <row r="111" spans="1:8" x14ac:dyDescent="0.25">
      <c r="A111" s="8" t="s">
        <v>528</v>
      </c>
      <c r="B111" s="8" t="s">
        <v>560</v>
      </c>
      <c r="C111" s="8" t="s">
        <v>561</v>
      </c>
      <c r="D111" s="8" t="s">
        <v>575</v>
      </c>
      <c r="E111" s="8" t="s">
        <v>576</v>
      </c>
      <c r="F111" s="8" t="s">
        <v>577</v>
      </c>
      <c r="G111" s="8" t="s">
        <v>578</v>
      </c>
      <c r="H111" s="8" t="s">
        <v>566</v>
      </c>
    </row>
    <row r="112" spans="1:8" x14ac:dyDescent="0.25">
      <c r="A112" s="8" t="s">
        <v>528</v>
      </c>
      <c r="B112" s="8" t="s">
        <v>560</v>
      </c>
      <c r="C112" s="8" t="s">
        <v>561</v>
      </c>
      <c r="D112" s="8" t="s">
        <v>579</v>
      </c>
      <c r="E112" s="8" t="s">
        <v>580</v>
      </c>
      <c r="F112" s="8" t="s">
        <v>581</v>
      </c>
      <c r="G112" s="8" t="s">
        <v>582</v>
      </c>
      <c r="H112" s="8" t="s">
        <v>566</v>
      </c>
    </row>
    <row r="113" spans="1:8" x14ac:dyDescent="0.25">
      <c r="A113" s="8" t="s">
        <v>528</v>
      </c>
      <c r="B113" s="8" t="s">
        <v>560</v>
      </c>
      <c r="C113" s="8" t="s">
        <v>561</v>
      </c>
      <c r="D113" s="8" t="s">
        <v>583</v>
      </c>
      <c r="E113" s="8" t="s">
        <v>584</v>
      </c>
      <c r="F113" s="8" t="s">
        <v>585</v>
      </c>
      <c r="G113" s="8" t="s">
        <v>586</v>
      </c>
      <c r="H113" s="8" t="s">
        <v>566</v>
      </c>
    </row>
    <row r="114" spans="1:8" x14ac:dyDescent="0.25">
      <c r="A114" s="8" t="s">
        <v>528</v>
      </c>
      <c r="B114" s="8" t="s">
        <v>587</v>
      </c>
      <c r="C114" s="8" t="s">
        <v>588</v>
      </c>
      <c r="D114" s="8" t="s">
        <v>589</v>
      </c>
      <c r="E114" s="8" t="s">
        <v>590</v>
      </c>
      <c r="F114" s="8" t="s">
        <v>591</v>
      </c>
      <c r="G114" s="8" t="s">
        <v>592</v>
      </c>
      <c r="H114" s="8" t="s">
        <v>551</v>
      </c>
    </row>
    <row r="115" spans="1:8" x14ac:dyDescent="0.25">
      <c r="A115" s="8" t="s">
        <v>528</v>
      </c>
      <c r="B115" s="8" t="s">
        <v>587</v>
      </c>
      <c r="C115" s="8" t="s">
        <v>588</v>
      </c>
      <c r="D115" s="8" t="s">
        <v>593</v>
      </c>
      <c r="E115" s="8" t="s">
        <v>594</v>
      </c>
      <c r="F115" s="8" t="s">
        <v>595</v>
      </c>
      <c r="G115" s="8" t="s">
        <v>596</v>
      </c>
      <c r="H115" s="8" t="s">
        <v>551</v>
      </c>
    </row>
    <row r="116" spans="1:8" x14ac:dyDescent="0.25">
      <c r="A116" s="8" t="s">
        <v>528</v>
      </c>
      <c r="B116" s="8" t="s">
        <v>587</v>
      </c>
      <c r="C116" s="8" t="s">
        <v>588</v>
      </c>
      <c r="D116" s="8" t="s">
        <v>597</v>
      </c>
      <c r="E116" s="8" t="s">
        <v>598</v>
      </c>
      <c r="F116" s="8" t="s">
        <v>599</v>
      </c>
      <c r="G116" s="8" t="s">
        <v>600</v>
      </c>
      <c r="H116" s="8" t="s">
        <v>551</v>
      </c>
    </row>
    <row r="117" spans="1:8" x14ac:dyDescent="0.25">
      <c r="A117" s="8" t="s">
        <v>528</v>
      </c>
      <c r="B117" s="8" t="s">
        <v>601</v>
      </c>
      <c r="C117" s="8" t="s">
        <v>602</v>
      </c>
      <c r="D117" s="8" t="s">
        <v>603</v>
      </c>
      <c r="E117" s="8" t="s">
        <v>604</v>
      </c>
      <c r="F117" s="8" t="s">
        <v>605</v>
      </c>
      <c r="G117" s="8" t="s">
        <v>606</v>
      </c>
      <c r="H117" s="8" t="s">
        <v>607</v>
      </c>
    </row>
    <row r="118" spans="1:8" x14ac:dyDescent="0.25">
      <c r="A118" s="8" t="s">
        <v>528</v>
      </c>
      <c r="B118" s="8" t="s">
        <v>601</v>
      </c>
      <c r="C118" s="8" t="s">
        <v>602</v>
      </c>
      <c r="D118" s="8" t="s">
        <v>608</v>
      </c>
      <c r="E118" s="8" t="s">
        <v>609</v>
      </c>
      <c r="F118" s="8" t="s">
        <v>610</v>
      </c>
      <c r="G118" s="8" t="s">
        <v>611</v>
      </c>
      <c r="H118" s="8" t="s">
        <v>607</v>
      </c>
    </row>
    <row r="119" spans="1:8" x14ac:dyDescent="0.25">
      <c r="A119" s="8" t="s">
        <v>528</v>
      </c>
      <c r="B119" s="8" t="s">
        <v>601</v>
      </c>
      <c r="C119" s="8" t="s">
        <v>602</v>
      </c>
      <c r="D119" s="8" t="s">
        <v>612</v>
      </c>
      <c r="E119" s="8" t="s">
        <v>613</v>
      </c>
      <c r="F119" s="8" t="s">
        <v>614</v>
      </c>
      <c r="G119" s="8" t="s">
        <v>615</v>
      </c>
      <c r="H119" s="8" t="s">
        <v>607</v>
      </c>
    </row>
    <row r="120" spans="1:8" x14ac:dyDescent="0.25">
      <c r="A120" s="8" t="s">
        <v>528</v>
      </c>
      <c r="B120" s="8" t="s">
        <v>616</v>
      </c>
      <c r="C120" s="8" t="s">
        <v>617</v>
      </c>
      <c r="D120" s="8" t="s">
        <v>618</v>
      </c>
      <c r="E120" s="8" t="s">
        <v>619</v>
      </c>
      <c r="F120" s="8" t="s">
        <v>620</v>
      </c>
      <c r="G120" s="8" t="s">
        <v>621</v>
      </c>
      <c r="H120" s="8" t="s">
        <v>622</v>
      </c>
    </row>
    <row r="121" spans="1:8" x14ac:dyDescent="0.25">
      <c r="A121" s="8" t="s">
        <v>528</v>
      </c>
      <c r="B121" s="8" t="s">
        <v>616</v>
      </c>
      <c r="C121" s="8" t="s">
        <v>617</v>
      </c>
      <c r="D121" s="8" t="s">
        <v>623</v>
      </c>
      <c r="E121" s="8" t="s">
        <v>624</v>
      </c>
      <c r="F121" s="8" t="s">
        <v>625</v>
      </c>
      <c r="G121" s="8" t="s">
        <v>626</v>
      </c>
      <c r="H121" s="8" t="s">
        <v>622</v>
      </c>
    </row>
    <row r="122" spans="1:8" x14ac:dyDescent="0.25">
      <c r="A122" s="8" t="s">
        <v>528</v>
      </c>
      <c r="B122" s="8" t="s">
        <v>616</v>
      </c>
      <c r="C122" s="8" t="s">
        <v>617</v>
      </c>
      <c r="D122" s="8" t="s">
        <v>627</v>
      </c>
      <c r="E122" s="8" t="s">
        <v>628</v>
      </c>
      <c r="F122" s="8" t="s">
        <v>629</v>
      </c>
      <c r="G122" s="8" t="s">
        <v>630</v>
      </c>
      <c r="H122" s="8" t="s">
        <v>622</v>
      </c>
    </row>
    <row r="123" spans="1:8" x14ac:dyDescent="0.25">
      <c r="A123" s="8" t="s">
        <v>528</v>
      </c>
      <c r="B123" s="8" t="s">
        <v>616</v>
      </c>
      <c r="C123" s="8" t="s">
        <v>617</v>
      </c>
      <c r="D123" s="8" t="s">
        <v>631</v>
      </c>
      <c r="E123" s="8" t="s">
        <v>632</v>
      </c>
      <c r="F123" s="8" t="s">
        <v>633</v>
      </c>
      <c r="G123" s="8" t="s">
        <v>634</v>
      </c>
      <c r="H123" s="8" t="s">
        <v>622</v>
      </c>
    </row>
    <row r="124" spans="1:8" x14ac:dyDescent="0.25">
      <c r="A124" s="8" t="s">
        <v>528</v>
      </c>
      <c r="B124" s="8" t="s">
        <v>616</v>
      </c>
      <c r="C124" s="8" t="s">
        <v>617</v>
      </c>
      <c r="D124" s="8" t="s">
        <v>635</v>
      </c>
      <c r="E124" s="8" t="s">
        <v>636</v>
      </c>
      <c r="F124" s="8" t="s">
        <v>637</v>
      </c>
      <c r="G124" s="8" t="s">
        <v>638</v>
      </c>
      <c r="H124" s="8" t="s">
        <v>622</v>
      </c>
    </row>
    <row r="125" spans="1:8" x14ac:dyDescent="0.25">
      <c r="A125" s="8" t="s">
        <v>528</v>
      </c>
      <c r="B125" s="8" t="s">
        <v>639</v>
      </c>
      <c r="C125" s="8" t="s">
        <v>640</v>
      </c>
      <c r="D125" s="8" t="s">
        <v>641</v>
      </c>
      <c r="E125" s="8" t="s">
        <v>642</v>
      </c>
      <c r="F125" s="8" t="s">
        <v>643</v>
      </c>
      <c r="G125" s="8" t="s">
        <v>644</v>
      </c>
      <c r="H125" s="8" t="s">
        <v>645</v>
      </c>
    </row>
    <row r="126" spans="1:8" x14ac:dyDescent="0.25">
      <c r="A126" s="8" t="s">
        <v>528</v>
      </c>
      <c r="B126" s="8" t="s">
        <v>639</v>
      </c>
      <c r="C126" s="8" t="s">
        <v>640</v>
      </c>
      <c r="D126" s="8" t="s">
        <v>646</v>
      </c>
      <c r="E126" s="8" t="s">
        <v>647</v>
      </c>
      <c r="F126" s="8" t="s">
        <v>648</v>
      </c>
      <c r="G126" s="8" t="s">
        <v>649</v>
      </c>
      <c r="H126" s="8" t="s">
        <v>645</v>
      </c>
    </row>
    <row r="127" spans="1:8" x14ac:dyDescent="0.25">
      <c r="A127" s="8" t="s">
        <v>528</v>
      </c>
      <c r="B127" s="8" t="s">
        <v>639</v>
      </c>
      <c r="C127" s="8" t="s">
        <v>640</v>
      </c>
      <c r="D127" s="8" t="s">
        <v>650</v>
      </c>
      <c r="E127" s="8" t="s">
        <v>651</v>
      </c>
      <c r="F127" s="8" t="s">
        <v>652</v>
      </c>
      <c r="G127" s="8" t="s">
        <v>653</v>
      </c>
      <c r="H127" s="8" t="s">
        <v>645</v>
      </c>
    </row>
    <row r="128" spans="1:8" x14ac:dyDescent="0.25">
      <c r="A128" s="8" t="s">
        <v>528</v>
      </c>
      <c r="B128" s="8" t="s">
        <v>639</v>
      </c>
      <c r="C128" s="8" t="s">
        <v>640</v>
      </c>
      <c r="D128" s="8" t="s">
        <v>654</v>
      </c>
      <c r="E128" s="8" t="s">
        <v>655</v>
      </c>
      <c r="F128" s="8" t="s">
        <v>656</v>
      </c>
      <c r="G128" s="8" t="s">
        <v>657</v>
      </c>
      <c r="H128" s="8" t="s">
        <v>645</v>
      </c>
    </row>
    <row r="129" spans="1:8" x14ac:dyDescent="0.25">
      <c r="A129" s="8" t="s">
        <v>528</v>
      </c>
      <c r="B129" s="8" t="s">
        <v>639</v>
      </c>
      <c r="C129" s="8" t="s">
        <v>640</v>
      </c>
      <c r="D129" s="8" t="s">
        <v>658</v>
      </c>
      <c r="E129" s="8" t="s">
        <v>659</v>
      </c>
      <c r="F129" s="8" t="s">
        <v>660</v>
      </c>
      <c r="G129" s="8" t="s">
        <v>661</v>
      </c>
      <c r="H129" s="8" t="s">
        <v>645</v>
      </c>
    </row>
    <row r="130" spans="1:8" x14ac:dyDescent="0.25">
      <c r="A130" s="8" t="s">
        <v>528</v>
      </c>
      <c r="B130" s="8" t="s">
        <v>662</v>
      </c>
      <c r="C130" s="8" t="s">
        <v>663</v>
      </c>
      <c r="D130" s="8" t="s">
        <v>664</v>
      </c>
      <c r="E130" s="8" t="s">
        <v>665</v>
      </c>
      <c r="F130" s="8" t="s">
        <v>666</v>
      </c>
      <c r="G130" s="8" t="s">
        <v>667</v>
      </c>
      <c r="H130" s="8" t="s">
        <v>668</v>
      </c>
    </row>
    <row r="131" spans="1:8" x14ac:dyDescent="0.25">
      <c r="A131" s="8" t="s">
        <v>528</v>
      </c>
      <c r="B131" s="8" t="s">
        <v>662</v>
      </c>
      <c r="C131" s="8" t="s">
        <v>663</v>
      </c>
      <c r="D131" s="8" t="s">
        <v>669</v>
      </c>
      <c r="E131" s="8" t="s">
        <v>670</v>
      </c>
      <c r="F131" s="8" t="s">
        <v>671</v>
      </c>
      <c r="G131" s="8" t="s">
        <v>672</v>
      </c>
      <c r="H131" s="8" t="s">
        <v>668</v>
      </c>
    </row>
    <row r="132" spans="1:8" x14ac:dyDescent="0.25">
      <c r="A132" s="8" t="s">
        <v>528</v>
      </c>
      <c r="B132" s="8" t="s">
        <v>662</v>
      </c>
      <c r="C132" s="8" t="s">
        <v>663</v>
      </c>
      <c r="D132" s="8" t="s">
        <v>673</v>
      </c>
      <c r="E132" s="8" t="s">
        <v>674</v>
      </c>
      <c r="F132" s="8" t="s">
        <v>675</v>
      </c>
      <c r="G132" s="8" t="s">
        <v>676</v>
      </c>
      <c r="H132" s="8" t="s">
        <v>668</v>
      </c>
    </row>
    <row r="133" spans="1:8" x14ac:dyDescent="0.25">
      <c r="A133" s="8" t="s">
        <v>528</v>
      </c>
      <c r="B133" s="8" t="s">
        <v>662</v>
      </c>
      <c r="C133" s="8" t="s">
        <v>663</v>
      </c>
      <c r="D133" s="8" t="s">
        <v>677</v>
      </c>
      <c r="E133" s="8" t="s">
        <v>678</v>
      </c>
      <c r="F133" s="8" t="s">
        <v>679</v>
      </c>
      <c r="G133" s="8" t="s">
        <v>680</v>
      </c>
      <c r="H133" s="8" t="s">
        <v>668</v>
      </c>
    </row>
    <row r="134" spans="1:8" x14ac:dyDescent="0.25">
      <c r="A134" s="8" t="s">
        <v>528</v>
      </c>
      <c r="B134" s="8" t="s">
        <v>662</v>
      </c>
      <c r="C134" s="8" t="s">
        <v>663</v>
      </c>
      <c r="D134" s="8" t="s">
        <v>681</v>
      </c>
      <c r="E134" s="8" t="s">
        <v>682</v>
      </c>
      <c r="F134" s="8" t="s">
        <v>683</v>
      </c>
      <c r="G134" s="8" t="s">
        <v>684</v>
      </c>
      <c r="H134" s="8" t="s">
        <v>668</v>
      </c>
    </row>
    <row r="135" spans="1:8" x14ac:dyDescent="0.25">
      <c r="A135" s="8" t="s">
        <v>528</v>
      </c>
      <c r="B135" s="8" t="s">
        <v>662</v>
      </c>
      <c r="C135" s="8" t="s">
        <v>663</v>
      </c>
      <c r="D135" s="8" t="s">
        <v>685</v>
      </c>
      <c r="E135" s="8" t="s">
        <v>686</v>
      </c>
      <c r="F135" s="8" t="s">
        <v>687</v>
      </c>
      <c r="G135" s="8" t="s">
        <v>688</v>
      </c>
      <c r="H135" s="8" t="s">
        <v>668</v>
      </c>
    </row>
    <row r="136" spans="1:8" x14ac:dyDescent="0.25">
      <c r="A136" s="8" t="s">
        <v>528</v>
      </c>
      <c r="B136" s="8" t="s">
        <v>689</v>
      </c>
      <c r="C136" s="8" t="s">
        <v>690</v>
      </c>
      <c r="D136" s="8" t="s">
        <v>691</v>
      </c>
      <c r="E136" s="8" t="s">
        <v>692</v>
      </c>
      <c r="F136" s="8" t="s">
        <v>693</v>
      </c>
      <c r="G136" s="8" t="s">
        <v>694</v>
      </c>
      <c r="H136" s="8" t="s">
        <v>695</v>
      </c>
    </row>
    <row r="137" spans="1:8" x14ac:dyDescent="0.25">
      <c r="A137" s="8" t="s">
        <v>528</v>
      </c>
      <c r="B137" s="8" t="s">
        <v>689</v>
      </c>
      <c r="C137" s="8" t="s">
        <v>690</v>
      </c>
      <c r="D137" s="8" t="s">
        <v>696</v>
      </c>
      <c r="E137" s="8" t="s">
        <v>697</v>
      </c>
      <c r="F137" s="8" t="s">
        <v>698</v>
      </c>
      <c r="G137" s="8" t="s">
        <v>699</v>
      </c>
      <c r="H137" s="8" t="s">
        <v>695</v>
      </c>
    </row>
    <row r="138" spans="1:8" x14ac:dyDescent="0.25">
      <c r="A138" s="8" t="s">
        <v>528</v>
      </c>
      <c r="B138" s="8" t="s">
        <v>689</v>
      </c>
      <c r="C138" s="8" t="s">
        <v>690</v>
      </c>
      <c r="D138" s="8" t="s">
        <v>700</v>
      </c>
      <c r="E138" s="8" t="s">
        <v>701</v>
      </c>
      <c r="F138" s="8" t="s">
        <v>702</v>
      </c>
      <c r="G138" s="8" t="s">
        <v>703</v>
      </c>
      <c r="H138" s="8" t="s">
        <v>695</v>
      </c>
    </row>
    <row r="139" spans="1:8" x14ac:dyDescent="0.25">
      <c r="A139" s="8" t="s">
        <v>528</v>
      </c>
      <c r="B139" s="8" t="s">
        <v>689</v>
      </c>
      <c r="C139" s="8" t="s">
        <v>690</v>
      </c>
      <c r="D139" s="8" t="s">
        <v>704</v>
      </c>
      <c r="E139" s="8" t="s">
        <v>705</v>
      </c>
      <c r="F139" s="8" t="s">
        <v>706</v>
      </c>
      <c r="G139" s="8" t="s">
        <v>707</v>
      </c>
      <c r="H139" s="8" t="s">
        <v>695</v>
      </c>
    </row>
    <row r="140" spans="1:8" x14ac:dyDescent="0.25">
      <c r="A140" s="8" t="s">
        <v>528</v>
      </c>
      <c r="B140" s="8" t="s">
        <v>708</v>
      </c>
      <c r="C140" s="8" t="s">
        <v>709</v>
      </c>
      <c r="D140" s="8" t="s">
        <v>710</v>
      </c>
      <c r="E140" s="8" t="s">
        <v>711</v>
      </c>
      <c r="F140" s="8" t="s">
        <v>712</v>
      </c>
      <c r="G140" s="8" t="s">
        <v>713</v>
      </c>
      <c r="H140" s="8" t="s">
        <v>714</v>
      </c>
    </row>
    <row r="141" spans="1:8" x14ac:dyDescent="0.25">
      <c r="A141" s="8" t="s">
        <v>528</v>
      </c>
      <c r="B141" s="8" t="s">
        <v>708</v>
      </c>
      <c r="C141" s="8" t="s">
        <v>709</v>
      </c>
      <c r="D141" s="8" t="s">
        <v>715</v>
      </c>
      <c r="E141" s="8" t="s">
        <v>716</v>
      </c>
      <c r="F141" s="8" t="s">
        <v>717</v>
      </c>
      <c r="G141" s="8" t="s">
        <v>718</v>
      </c>
      <c r="H141" s="8" t="s">
        <v>714</v>
      </c>
    </row>
    <row r="142" spans="1:8" x14ac:dyDescent="0.25">
      <c r="A142" s="8" t="s">
        <v>528</v>
      </c>
      <c r="B142" s="8" t="s">
        <v>708</v>
      </c>
      <c r="C142" s="8" t="s">
        <v>709</v>
      </c>
      <c r="D142" s="8" t="s">
        <v>719</v>
      </c>
      <c r="E142" s="8" t="s">
        <v>720</v>
      </c>
      <c r="F142" s="8" t="s">
        <v>721</v>
      </c>
      <c r="G142" s="8" t="s">
        <v>722</v>
      </c>
      <c r="H142" s="8" t="s">
        <v>714</v>
      </c>
    </row>
    <row r="143" spans="1:8" x14ac:dyDescent="0.25">
      <c r="A143" s="8" t="s">
        <v>528</v>
      </c>
      <c r="B143" s="8" t="s">
        <v>708</v>
      </c>
      <c r="C143" s="8" t="s">
        <v>709</v>
      </c>
      <c r="D143" s="8" t="s">
        <v>723</v>
      </c>
      <c r="E143" s="8" t="s">
        <v>724</v>
      </c>
      <c r="F143" s="8" t="s">
        <v>725</v>
      </c>
      <c r="G143" s="8" t="s">
        <v>726</v>
      </c>
      <c r="H143" s="8" t="s">
        <v>714</v>
      </c>
    </row>
    <row r="144" spans="1:8" x14ac:dyDescent="0.25">
      <c r="A144" s="8" t="s">
        <v>528</v>
      </c>
      <c r="B144" s="8" t="s">
        <v>708</v>
      </c>
      <c r="C144" s="8" t="s">
        <v>709</v>
      </c>
      <c r="D144" s="8" t="s">
        <v>727</v>
      </c>
      <c r="E144" s="8" t="s">
        <v>728</v>
      </c>
      <c r="F144" s="8" t="s">
        <v>729</v>
      </c>
      <c r="G144" s="8" t="s">
        <v>730</v>
      </c>
      <c r="H144" s="8" t="s">
        <v>714</v>
      </c>
    </row>
    <row r="145" spans="1:8" x14ac:dyDescent="0.25">
      <c r="A145" s="8" t="s">
        <v>528</v>
      </c>
      <c r="B145" s="8" t="s">
        <v>731</v>
      </c>
      <c r="C145" s="8" t="s">
        <v>732</v>
      </c>
      <c r="D145" s="8" t="s">
        <v>733</v>
      </c>
      <c r="E145" s="8" t="s">
        <v>734</v>
      </c>
      <c r="F145" s="8" t="s">
        <v>735</v>
      </c>
      <c r="G145" s="8" t="s">
        <v>736</v>
      </c>
      <c r="H145" s="8" t="s">
        <v>737</v>
      </c>
    </row>
    <row r="146" spans="1:8" x14ac:dyDescent="0.25">
      <c r="A146" s="8" t="s">
        <v>528</v>
      </c>
      <c r="B146" s="8" t="s">
        <v>731</v>
      </c>
      <c r="C146" s="8" t="s">
        <v>732</v>
      </c>
      <c r="D146" s="8" t="s">
        <v>738</v>
      </c>
      <c r="E146" s="8" t="s">
        <v>739</v>
      </c>
      <c r="F146" s="8" t="s">
        <v>740</v>
      </c>
      <c r="G146" s="8" t="s">
        <v>741</v>
      </c>
      <c r="H146" s="8" t="s">
        <v>737</v>
      </c>
    </row>
    <row r="147" spans="1:8" x14ac:dyDescent="0.25">
      <c r="A147" s="8" t="s">
        <v>528</v>
      </c>
      <c r="B147" s="8" t="s">
        <v>731</v>
      </c>
      <c r="C147" s="8" t="s">
        <v>732</v>
      </c>
      <c r="D147" s="8" t="s">
        <v>742</v>
      </c>
      <c r="E147" s="8" t="s">
        <v>743</v>
      </c>
      <c r="F147" s="8" t="s">
        <v>744</v>
      </c>
      <c r="G147" s="8" t="s">
        <v>745</v>
      </c>
      <c r="H147" s="8" t="s">
        <v>737</v>
      </c>
    </row>
    <row r="148" spans="1:8" x14ac:dyDescent="0.25">
      <c r="A148" s="8" t="s">
        <v>528</v>
      </c>
      <c r="B148" s="8" t="s">
        <v>731</v>
      </c>
      <c r="C148" s="8" t="s">
        <v>732</v>
      </c>
      <c r="D148" s="8" t="s">
        <v>746</v>
      </c>
      <c r="E148" s="8" t="s">
        <v>747</v>
      </c>
      <c r="F148" s="8" t="s">
        <v>748</v>
      </c>
      <c r="G148" s="8" t="s">
        <v>749</v>
      </c>
      <c r="H148" s="8" t="s">
        <v>737</v>
      </c>
    </row>
    <row r="149" spans="1:8" x14ac:dyDescent="0.25">
      <c r="A149" s="8" t="s">
        <v>528</v>
      </c>
      <c r="B149" s="8" t="s">
        <v>731</v>
      </c>
      <c r="C149" s="8" t="s">
        <v>732</v>
      </c>
      <c r="D149" s="8" t="s">
        <v>750</v>
      </c>
      <c r="E149" s="8" t="s">
        <v>751</v>
      </c>
      <c r="F149" s="8" t="s">
        <v>752</v>
      </c>
      <c r="G149" s="8" t="s">
        <v>753</v>
      </c>
      <c r="H149" s="8" t="s">
        <v>737</v>
      </c>
    </row>
    <row r="150" spans="1:8" x14ac:dyDescent="0.25">
      <c r="A150" s="8" t="s">
        <v>528</v>
      </c>
      <c r="B150" s="8" t="s">
        <v>754</v>
      </c>
      <c r="C150" s="8" t="s">
        <v>755</v>
      </c>
      <c r="D150" s="8" t="s">
        <v>756</v>
      </c>
      <c r="E150" s="8" t="s">
        <v>757</v>
      </c>
      <c r="F150" s="8" t="s">
        <v>758</v>
      </c>
      <c r="G150" s="8" t="s">
        <v>759</v>
      </c>
      <c r="H150" s="8" t="s">
        <v>760</v>
      </c>
    </row>
    <row r="151" spans="1:8" x14ac:dyDescent="0.25">
      <c r="A151" s="8" t="s">
        <v>528</v>
      </c>
      <c r="B151" s="8" t="s">
        <v>754</v>
      </c>
      <c r="C151" s="8" t="s">
        <v>755</v>
      </c>
      <c r="D151" s="8" t="s">
        <v>761</v>
      </c>
      <c r="E151" s="8" t="s">
        <v>762</v>
      </c>
      <c r="F151" s="8" t="s">
        <v>763</v>
      </c>
      <c r="G151" s="8" t="s">
        <v>764</v>
      </c>
      <c r="H151" s="8" t="s">
        <v>760</v>
      </c>
    </row>
    <row r="152" spans="1:8" x14ac:dyDescent="0.25">
      <c r="A152" s="8" t="s">
        <v>528</v>
      </c>
      <c r="B152" s="8" t="s">
        <v>754</v>
      </c>
      <c r="C152" s="8" t="s">
        <v>755</v>
      </c>
      <c r="D152" s="8" t="s">
        <v>765</v>
      </c>
      <c r="E152" s="8" t="s">
        <v>766</v>
      </c>
      <c r="F152" s="8" t="s">
        <v>767</v>
      </c>
      <c r="G152" s="8" t="s">
        <v>768</v>
      </c>
      <c r="H152" s="8" t="s">
        <v>760</v>
      </c>
    </row>
    <row r="153" spans="1:8" x14ac:dyDescent="0.25">
      <c r="A153" s="8" t="s">
        <v>528</v>
      </c>
      <c r="B153" s="8" t="s">
        <v>754</v>
      </c>
      <c r="C153" s="8" t="s">
        <v>755</v>
      </c>
      <c r="D153" s="8" t="s">
        <v>769</v>
      </c>
      <c r="E153" s="8" t="s">
        <v>770</v>
      </c>
      <c r="F153" s="8" t="s">
        <v>771</v>
      </c>
      <c r="G153" s="8" t="s">
        <v>772</v>
      </c>
      <c r="H153" s="8" t="s">
        <v>760</v>
      </c>
    </row>
    <row r="154" spans="1:8" x14ac:dyDescent="0.25">
      <c r="A154" s="8" t="s">
        <v>528</v>
      </c>
      <c r="B154" s="8" t="s">
        <v>773</v>
      </c>
      <c r="C154" s="8" t="s">
        <v>774</v>
      </c>
      <c r="D154" s="8" t="s">
        <v>775</v>
      </c>
      <c r="E154" s="8" t="s">
        <v>776</v>
      </c>
      <c r="F154" s="8" t="s">
        <v>777</v>
      </c>
      <c r="G154" s="8" t="s">
        <v>778</v>
      </c>
      <c r="H154" s="8" t="s">
        <v>779</v>
      </c>
    </row>
    <row r="155" spans="1:8" x14ac:dyDescent="0.25">
      <c r="A155" s="8" t="s">
        <v>528</v>
      </c>
      <c r="B155" s="8" t="s">
        <v>773</v>
      </c>
      <c r="C155" s="8" t="s">
        <v>774</v>
      </c>
      <c r="D155" s="8" t="s">
        <v>780</v>
      </c>
      <c r="E155" s="8" t="s">
        <v>781</v>
      </c>
      <c r="F155" s="8" t="s">
        <v>782</v>
      </c>
      <c r="G155" s="8" t="s">
        <v>783</v>
      </c>
      <c r="H155" s="8" t="s">
        <v>779</v>
      </c>
    </row>
    <row r="156" spans="1:8" x14ac:dyDescent="0.25">
      <c r="A156" s="8" t="s">
        <v>528</v>
      </c>
      <c r="B156" s="8" t="s">
        <v>773</v>
      </c>
      <c r="C156" s="8" t="s">
        <v>774</v>
      </c>
      <c r="D156" s="8" t="s">
        <v>784</v>
      </c>
      <c r="E156" s="8" t="s">
        <v>785</v>
      </c>
      <c r="F156" s="8" t="s">
        <v>786</v>
      </c>
      <c r="G156" s="8" t="s">
        <v>787</v>
      </c>
      <c r="H156" s="8" t="s">
        <v>779</v>
      </c>
    </row>
    <row r="157" spans="1:8" x14ac:dyDescent="0.25">
      <c r="A157" s="8" t="s">
        <v>528</v>
      </c>
      <c r="B157" s="8" t="s">
        <v>773</v>
      </c>
      <c r="C157" s="8" t="s">
        <v>774</v>
      </c>
      <c r="D157" s="8" t="s">
        <v>788</v>
      </c>
      <c r="E157" s="8" t="s">
        <v>789</v>
      </c>
      <c r="F157" s="8" t="s">
        <v>790</v>
      </c>
      <c r="G157" s="8" t="s">
        <v>791</v>
      </c>
      <c r="H157" s="8" t="s">
        <v>779</v>
      </c>
    </row>
    <row r="158" spans="1:8" x14ac:dyDescent="0.25">
      <c r="A158" s="8" t="s">
        <v>528</v>
      </c>
      <c r="B158" s="8" t="s">
        <v>792</v>
      </c>
      <c r="C158" s="8" t="s">
        <v>793</v>
      </c>
      <c r="D158" s="8" t="s">
        <v>794</v>
      </c>
      <c r="E158" s="8" t="s">
        <v>795</v>
      </c>
      <c r="F158" s="8" t="s">
        <v>796</v>
      </c>
      <c r="G158" s="8" t="s">
        <v>797</v>
      </c>
      <c r="H158" s="8" t="s">
        <v>798</v>
      </c>
    </row>
    <row r="159" spans="1:8" x14ac:dyDescent="0.25">
      <c r="A159" s="8" t="s">
        <v>528</v>
      </c>
      <c r="B159" s="8" t="s">
        <v>792</v>
      </c>
      <c r="C159" s="8" t="s">
        <v>793</v>
      </c>
      <c r="D159" s="8" t="s">
        <v>799</v>
      </c>
      <c r="E159" s="8" t="s">
        <v>800</v>
      </c>
      <c r="F159" s="8" t="s">
        <v>801</v>
      </c>
      <c r="G159" s="8" t="s">
        <v>802</v>
      </c>
      <c r="H159" s="8" t="s">
        <v>798</v>
      </c>
    </row>
    <row r="160" spans="1:8" x14ac:dyDescent="0.25">
      <c r="A160" s="8" t="s">
        <v>528</v>
      </c>
      <c r="B160" s="8" t="s">
        <v>792</v>
      </c>
      <c r="C160" s="8" t="s">
        <v>793</v>
      </c>
      <c r="D160" s="8" t="s">
        <v>803</v>
      </c>
      <c r="E160" s="8" t="s">
        <v>804</v>
      </c>
      <c r="F160" s="8" t="s">
        <v>805</v>
      </c>
      <c r="G160" s="8" t="s">
        <v>806</v>
      </c>
      <c r="H160" s="8" t="s">
        <v>798</v>
      </c>
    </row>
    <row r="161" spans="1:8" x14ac:dyDescent="0.25">
      <c r="A161" s="8" t="s">
        <v>528</v>
      </c>
      <c r="B161" s="8" t="s">
        <v>792</v>
      </c>
      <c r="C161" s="8" t="s">
        <v>793</v>
      </c>
      <c r="D161" s="8" t="s">
        <v>807</v>
      </c>
      <c r="E161" s="8" t="s">
        <v>808</v>
      </c>
      <c r="F161" s="8" t="s">
        <v>809</v>
      </c>
      <c r="G161" s="8" t="s">
        <v>810</v>
      </c>
      <c r="H161" s="8" t="s">
        <v>798</v>
      </c>
    </row>
    <row r="162" spans="1:8" x14ac:dyDescent="0.25">
      <c r="A162" s="8" t="s">
        <v>528</v>
      </c>
      <c r="B162" s="8" t="s">
        <v>792</v>
      </c>
      <c r="C162" s="8" t="s">
        <v>793</v>
      </c>
      <c r="D162" s="8" t="s">
        <v>811</v>
      </c>
      <c r="E162" s="8" t="s">
        <v>812</v>
      </c>
      <c r="F162" s="8" t="s">
        <v>813</v>
      </c>
      <c r="G162" s="8" t="s">
        <v>814</v>
      </c>
      <c r="H162" s="8" t="s">
        <v>798</v>
      </c>
    </row>
    <row r="163" spans="1:8" x14ac:dyDescent="0.25">
      <c r="A163" s="8" t="s">
        <v>528</v>
      </c>
      <c r="B163" s="8" t="s">
        <v>815</v>
      </c>
      <c r="C163" s="8" t="s">
        <v>816</v>
      </c>
      <c r="D163" s="8" t="s">
        <v>817</v>
      </c>
      <c r="E163" s="8" t="s">
        <v>818</v>
      </c>
      <c r="F163" s="8" t="s">
        <v>819</v>
      </c>
      <c r="G163" s="8" t="s">
        <v>820</v>
      </c>
      <c r="H163" s="8" t="s">
        <v>821</v>
      </c>
    </row>
    <row r="164" spans="1:8" x14ac:dyDescent="0.25">
      <c r="A164" s="8" t="s">
        <v>528</v>
      </c>
      <c r="B164" s="8" t="s">
        <v>815</v>
      </c>
      <c r="C164" s="8" t="s">
        <v>816</v>
      </c>
      <c r="D164" s="8" t="s">
        <v>822</v>
      </c>
      <c r="E164" s="8" t="s">
        <v>823</v>
      </c>
      <c r="F164" s="8" t="s">
        <v>824</v>
      </c>
      <c r="G164" s="8" t="s">
        <v>825</v>
      </c>
      <c r="H164" s="8" t="s">
        <v>821</v>
      </c>
    </row>
    <row r="165" spans="1:8" x14ac:dyDescent="0.25">
      <c r="A165" s="8" t="s">
        <v>528</v>
      </c>
      <c r="B165" s="8" t="s">
        <v>815</v>
      </c>
      <c r="C165" s="8" t="s">
        <v>816</v>
      </c>
      <c r="D165" s="8" t="s">
        <v>826</v>
      </c>
      <c r="E165" s="8" t="s">
        <v>827</v>
      </c>
      <c r="F165" s="8" t="s">
        <v>828</v>
      </c>
      <c r="G165" s="8" t="s">
        <v>829</v>
      </c>
      <c r="H165" s="8" t="s">
        <v>821</v>
      </c>
    </row>
    <row r="166" spans="1:8" x14ac:dyDescent="0.25">
      <c r="A166" s="8" t="s">
        <v>528</v>
      </c>
      <c r="B166" s="8" t="s">
        <v>815</v>
      </c>
      <c r="C166" s="8" t="s">
        <v>816</v>
      </c>
      <c r="D166" s="8" t="s">
        <v>830</v>
      </c>
      <c r="E166" s="8" t="s">
        <v>831</v>
      </c>
      <c r="F166" s="8" t="s">
        <v>832</v>
      </c>
      <c r="G166" s="8" t="s">
        <v>833</v>
      </c>
      <c r="H166" s="8" t="s">
        <v>821</v>
      </c>
    </row>
    <row r="167" spans="1:8" x14ac:dyDescent="0.25">
      <c r="A167" s="8" t="s">
        <v>528</v>
      </c>
      <c r="B167" s="8" t="s">
        <v>815</v>
      </c>
      <c r="C167" s="8" t="s">
        <v>816</v>
      </c>
      <c r="D167" s="8" t="s">
        <v>834</v>
      </c>
      <c r="E167" s="8" t="s">
        <v>835</v>
      </c>
      <c r="F167" s="8" t="s">
        <v>836</v>
      </c>
      <c r="G167" s="8" t="s">
        <v>837</v>
      </c>
      <c r="H167" s="8" t="s">
        <v>821</v>
      </c>
    </row>
    <row r="168" spans="1:8" x14ac:dyDescent="0.25">
      <c r="A168" s="8" t="s">
        <v>528</v>
      </c>
      <c r="B168" s="8" t="s">
        <v>838</v>
      </c>
      <c r="C168" s="8" t="s">
        <v>839</v>
      </c>
      <c r="D168" s="8" t="s">
        <v>840</v>
      </c>
      <c r="E168" s="8" t="s">
        <v>841</v>
      </c>
      <c r="F168" s="8" t="s">
        <v>842</v>
      </c>
      <c r="G168" s="8" t="s">
        <v>843</v>
      </c>
      <c r="H168" s="8" t="s">
        <v>844</v>
      </c>
    </row>
    <row r="169" spans="1:8" x14ac:dyDescent="0.25">
      <c r="A169" s="8" t="s">
        <v>528</v>
      </c>
      <c r="B169" s="8" t="s">
        <v>838</v>
      </c>
      <c r="C169" s="8" t="s">
        <v>839</v>
      </c>
      <c r="D169" s="8" t="s">
        <v>845</v>
      </c>
      <c r="E169" s="8" t="s">
        <v>846</v>
      </c>
      <c r="F169" s="8" t="s">
        <v>847</v>
      </c>
      <c r="G169" s="8" t="s">
        <v>848</v>
      </c>
      <c r="H169" s="8" t="s">
        <v>844</v>
      </c>
    </row>
    <row r="170" spans="1:8" x14ac:dyDescent="0.25">
      <c r="A170" s="8" t="s">
        <v>528</v>
      </c>
      <c r="B170" s="8" t="s">
        <v>849</v>
      </c>
      <c r="C170" s="8" t="s">
        <v>850</v>
      </c>
      <c r="D170" s="8" t="s">
        <v>851</v>
      </c>
      <c r="E170" s="8" t="s">
        <v>852</v>
      </c>
      <c r="F170" s="8" t="s">
        <v>853</v>
      </c>
      <c r="G170" s="8" t="s">
        <v>854</v>
      </c>
      <c r="H170" s="8" t="s">
        <v>855</v>
      </c>
    </row>
    <row r="171" spans="1:8" x14ac:dyDescent="0.25">
      <c r="A171" s="8" t="s">
        <v>528</v>
      </c>
      <c r="B171" s="8" t="s">
        <v>849</v>
      </c>
      <c r="C171" s="8" t="s">
        <v>850</v>
      </c>
      <c r="D171" s="8" t="s">
        <v>856</v>
      </c>
      <c r="E171" s="8" t="s">
        <v>857</v>
      </c>
      <c r="F171" s="8" t="s">
        <v>858</v>
      </c>
      <c r="G171" s="8" t="s">
        <v>859</v>
      </c>
      <c r="H171" s="8" t="s">
        <v>855</v>
      </c>
    </row>
    <row r="172" spans="1:8" x14ac:dyDescent="0.25">
      <c r="A172" s="8" t="s">
        <v>528</v>
      </c>
      <c r="B172" s="8" t="s">
        <v>860</v>
      </c>
      <c r="C172" s="8" t="s">
        <v>861</v>
      </c>
      <c r="D172" s="8" t="s">
        <v>862</v>
      </c>
      <c r="E172" s="8" t="s">
        <v>863</v>
      </c>
      <c r="F172" s="8" t="s">
        <v>864</v>
      </c>
      <c r="G172" s="8" t="s">
        <v>865</v>
      </c>
      <c r="H172" s="8" t="s">
        <v>866</v>
      </c>
    </row>
    <row r="173" spans="1:8" x14ac:dyDescent="0.25">
      <c r="A173" s="8" t="s">
        <v>528</v>
      </c>
      <c r="B173" s="8" t="s">
        <v>860</v>
      </c>
      <c r="C173" s="8" t="s">
        <v>861</v>
      </c>
      <c r="D173" s="8" t="s">
        <v>867</v>
      </c>
      <c r="E173" s="8" t="s">
        <v>868</v>
      </c>
      <c r="F173" s="8" t="s">
        <v>869</v>
      </c>
      <c r="G173" s="8" t="s">
        <v>870</v>
      </c>
      <c r="H173" s="8" t="s">
        <v>866</v>
      </c>
    </row>
    <row r="174" spans="1:8" x14ac:dyDescent="0.25">
      <c r="A174" s="8" t="s">
        <v>528</v>
      </c>
      <c r="B174" s="8" t="s">
        <v>871</v>
      </c>
      <c r="C174" s="8" t="s">
        <v>872</v>
      </c>
      <c r="D174" s="8" t="s">
        <v>873</v>
      </c>
      <c r="E174" s="8" t="s">
        <v>874</v>
      </c>
      <c r="F174" s="8" t="s">
        <v>875</v>
      </c>
      <c r="G174" s="8" t="s">
        <v>876</v>
      </c>
      <c r="H174" s="8" t="s">
        <v>877</v>
      </c>
    </row>
    <row r="175" spans="1:8" x14ac:dyDescent="0.25">
      <c r="A175" s="8" t="s">
        <v>528</v>
      </c>
      <c r="B175" s="8" t="s">
        <v>871</v>
      </c>
      <c r="C175" s="8" t="s">
        <v>872</v>
      </c>
      <c r="D175" s="8" t="s">
        <v>878</v>
      </c>
      <c r="E175" s="8" t="s">
        <v>879</v>
      </c>
      <c r="F175" s="8" t="s">
        <v>880</v>
      </c>
      <c r="G175" s="8" t="s">
        <v>881</v>
      </c>
      <c r="H175" s="8" t="s">
        <v>877</v>
      </c>
    </row>
    <row r="176" spans="1:8" x14ac:dyDescent="0.25">
      <c r="A176" s="8" t="s">
        <v>528</v>
      </c>
      <c r="B176" s="8" t="s">
        <v>871</v>
      </c>
      <c r="C176" s="8" t="s">
        <v>872</v>
      </c>
      <c r="D176" s="8" t="s">
        <v>882</v>
      </c>
      <c r="E176" s="8" t="s">
        <v>883</v>
      </c>
      <c r="F176" s="8" t="s">
        <v>884</v>
      </c>
      <c r="G176" s="8" t="s">
        <v>885</v>
      </c>
      <c r="H176" s="8" t="s">
        <v>877</v>
      </c>
    </row>
    <row r="177" spans="1:8" x14ac:dyDescent="0.25">
      <c r="A177" s="8" t="s">
        <v>528</v>
      </c>
      <c r="B177" s="8" t="s">
        <v>886</v>
      </c>
      <c r="C177" s="8" t="s">
        <v>887</v>
      </c>
      <c r="D177" s="8" t="s">
        <v>888</v>
      </c>
      <c r="E177" s="8" t="s">
        <v>889</v>
      </c>
      <c r="F177" s="8" t="s">
        <v>890</v>
      </c>
      <c r="G177" s="8" t="s">
        <v>891</v>
      </c>
      <c r="H177" s="8" t="s">
        <v>551</v>
      </c>
    </row>
    <row r="178" spans="1:8" x14ac:dyDescent="0.25">
      <c r="A178" s="8" t="s">
        <v>892</v>
      </c>
      <c r="B178" s="8" t="s">
        <v>893</v>
      </c>
      <c r="C178" s="8" t="s">
        <v>894</v>
      </c>
      <c r="D178" s="8" t="s">
        <v>895</v>
      </c>
      <c r="E178" s="8" t="s">
        <v>94</v>
      </c>
      <c r="F178" s="8" t="s">
        <v>896</v>
      </c>
      <c r="G178" s="8" t="s">
        <v>897</v>
      </c>
      <c r="H178" s="8" t="s">
        <v>898</v>
      </c>
    </row>
    <row r="179" spans="1:8" x14ac:dyDescent="0.25">
      <c r="A179" s="8" t="s">
        <v>892</v>
      </c>
      <c r="B179" s="8" t="s">
        <v>893</v>
      </c>
      <c r="C179" s="8" t="s">
        <v>894</v>
      </c>
      <c r="D179" s="8" t="s">
        <v>899</v>
      </c>
      <c r="E179" s="8" t="s">
        <v>900</v>
      </c>
      <c r="F179" s="8" t="s">
        <v>901</v>
      </c>
      <c r="G179" s="8" t="s">
        <v>902</v>
      </c>
      <c r="H179" s="8" t="s">
        <v>898</v>
      </c>
    </row>
    <row r="180" spans="1:8" x14ac:dyDescent="0.25">
      <c r="A180" s="8" t="s">
        <v>892</v>
      </c>
      <c r="B180" s="8" t="s">
        <v>893</v>
      </c>
      <c r="C180" s="8" t="s">
        <v>894</v>
      </c>
      <c r="D180" s="8" t="s">
        <v>903</v>
      </c>
      <c r="E180" s="8" t="s">
        <v>904</v>
      </c>
      <c r="F180" s="8" t="s">
        <v>905</v>
      </c>
      <c r="G180" s="8" t="s">
        <v>906</v>
      </c>
      <c r="H180" s="8" t="s">
        <v>898</v>
      </c>
    </row>
    <row r="181" spans="1:8" x14ac:dyDescent="0.25">
      <c r="A181" s="8" t="s">
        <v>892</v>
      </c>
      <c r="B181" s="8" t="s">
        <v>907</v>
      </c>
      <c r="C181" s="8" t="s">
        <v>908</v>
      </c>
      <c r="D181" s="8" t="s">
        <v>909</v>
      </c>
      <c r="E181" s="8" t="s">
        <v>910</v>
      </c>
      <c r="F181" s="8" t="s">
        <v>911</v>
      </c>
      <c r="G181" s="8" t="s">
        <v>912</v>
      </c>
      <c r="H181" s="8" t="s">
        <v>913</v>
      </c>
    </row>
    <row r="182" spans="1:8" x14ac:dyDescent="0.25">
      <c r="A182" s="8" t="s">
        <v>892</v>
      </c>
      <c r="B182" s="8" t="s">
        <v>907</v>
      </c>
      <c r="C182" s="8" t="s">
        <v>908</v>
      </c>
      <c r="D182" s="8" t="s">
        <v>914</v>
      </c>
      <c r="E182" s="8" t="s">
        <v>915</v>
      </c>
      <c r="F182" s="8" t="s">
        <v>916</v>
      </c>
      <c r="G182" s="8" t="s">
        <v>917</v>
      </c>
      <c r="H182" s="8" t="s">
        <v>913</v>
      </c>
    </row>
    <row r="183" spans="1:8" x14ac:dyDescent="0.25">
      <c r="A183" s="8" t="s">
        <v>892</v>
      </c>
      <c r="B183" s="8" t="s">
        <v>907</v>
      </c>
      <c r="C183" s="8" t="s">
        <v>908</v>
      </c>
      <c r="D183" s="8" t="s">
        <v>918</v>
      </c>
      <c r="E183" s="8" t="s">
        <v>919</v>
      </c>
      <c r="F183" s="8" t="s">
        <v>920</v>
      </c>
      <c r="G183" s="8" t="s">
        <v>921</v>
      </c>
      <c r="H183" s="8" t="s">
        <v>913</v>
      </c>
    </row>
    <row r="184" spans="1:8" x14ac:dyDescent="0.25">
      <c r="A184" s="8" t="s">
        <v>892</v>
      </c>
      <c r="B184" s="8" t="s">
        <v>922</v>
      </c>
      <c r="C184" s="8" t="s">
        <v>923</v>
      </c>
      <c r="D184" s="8" t="s">
        <v>924</v>
      </c>
      <c r="E184" s="8" t="s">
        <v>925</v>
      </c>
      <c r="F184" s="8" t="s">
        <v>926</v>
      </c>
      <c r="G184" s="8" t="s">
        <v>927</v>
      </c>
      <c r="H184" s="8" t="s">
        <v>928</v>
      </c>
    </row>
    <row r="185" spans="1:8" x14ac:dyDescent="0.25">
      <c r="A185" s="8" t="s">
        <v>892</v>
      </c>
      <c r="B185" s="8" t="s">
        <v>922</v>
      </c>
      <c r="C185" s="8" t="s">
        <v>923</v>
      </c>
      <c r="D185" s="8" t="s">
        <v>929</v>
      </c>
      <c r="E185" s="8" t="s">
        <v>930</v>
      </c>
      <c r="F185" s="8" t="s">
        <v>931</v>
      </c>
      <c r="G185" s="8" t="s">
        <v>932</v>
      </c>
      <c r="H185" s="8" t="s">
        <v>928</v>
      </c>
    </row>
    <row r="186" spans="1:8" x14ac:dyDescent="0.25">
      <c r="A186" s="8" t="s">
        <v>892</v>
      </c>
      <c r="B186" s="8" t="s">
        <v>922</v>
      </c>
      <c r="C186" s="8" t="s">
        <v>923</v>
      </c>
      <c r="D186" s="8" t="s">
        <v>933</v>
      </c>
      <c r="E186" s="8" t="s">
        <v>934</v>
      </c>
      <c r="F186" s="8" t="s">
        <v>935</v>
      </c>
      <c r="G186" s="8" t="s">
        <v>936</v>
      </c>
      <c r="H186" s="8" t="s">
        <v>928</v>
      </c>
    </row>
    <row r="187" spans="1:8" x14ac:dyDescent="0.25">
      <c r="A187" s="8" t="s">
        <v>892</v>
      </c>
      <c r="B187" s="8" t="s">
        <v>922</v>
      </c>
      <c r="C187" s="8" t="s">
        <v>923</v>
      </c>
      <c r="D187" s="8" t="s">
        <v>937</v>
      </c>
      <c r="E187" s="8" t="s">
        <v>938</v>
      </c>
      <c r="F187" s="8" t="s">
        <v>939</v>
      </c>
      <c r="G187" s="8" t="s">
        <v>940</v>
      </c>
      <c r="H187" s="8" t="s">
        <v>928</v>
      </c>
    </row>
    <row r="188" spans="1:8" x14ac:dyDescent="0.25">
      <c r="A188" s="8" t="s">
        <v>892</v>
      </c>
      <c r="B188" s="8" t="s">
        <v>922</v>
      </c>
      <c r="C188" s="8" t="s">
        <v>923</v>
      </c>
      <c r="D188" s="8" t="s">
        <v>941</v>
      </c>
      <c r="E188" s="8" t="s">
        <v>942</v>
      </c>
      <c r="F188" s="8" t="s">
        <v>943</v>
      </c>
      <c r="G188" s="8" t="s">
        <v>944</v>
      </c>
      <c r="H188" s="8" t="s">
        <v>928</v>
      </c>
    </row>
    <row r="189" spans="1:8" x14ac:dyDescent="0.25">
      <c r="A189" s="8" t="s">
        <v>892</v>
      </c>
      <c r="B189" s="8" t="s">
        <v>945</v>
      </c>
      <c r="C189" s="8" t="s">
        <v>946</v>
      </c>
      <c r="D189" s="8" t="s">
        <v>947</v>
      </c>
      <c r="E189" s="8" t="s">
        <v>948</v>
      </c>
      <c r="F189" s="8" t="s">
        <v>949</v>
      </c>
      <c r="G189" s="8" t="s">
        <v>950</v>
      </c>
      <c r="H189" s="8" t="s">
        <v>951</v>
      </c>
    </row>
    <row r="190" spans="1:8" x14ac:dyDescent="0.25">
      <c r="A190" s="8" t="s">
        <v>892</v>
      </c>
      <c r="B190" s="8" t="s">
        <v>945</v>
      </c>
      <c r="C190" s="8" t="s">
        <v>946</v>
      </c>
      <c r="D190" s="8" t="s">
        <v>952</v>
      </c>
      <c r="E190" s="8" t="s">
        <v>953</v>
      </c>
      <c r="F190" s="8" t="s">
        <v>954</v>
      </c>
      <c r="G190" s="8" t="s">
        <v>955</v>
      </c>
      <c r="H190" s="8" t="s">
        <v>951</v>
      </c>
    </row>
    <row r="191" spans="1:8" x14ac:dyDescent="0.25">
      <c r="A191" s="8" t="s">
        <v>892</v>
      </c>
      <c r="B191" s="8" t="s">
        <v>945</v>
      </c>
      <c r="C191" s="8" t="s">
        <v>946</v>
      </c>
      <c r="D191" s="8" t="s">
        <v>956</v>
      </c>
      <c r="E191" s="8" t="s">
        <v>957</v>
      </c>
      <c r="F191" s="8" t="s">
        <v>958</v>
      </c>
      <c r="G191" s="8" t="s">
        <v>959</v>
      </c>
      <c r="H191" s="8" t="s">
        <v>951</v>
      </c>
    </row>
    <row r="192" spans="1:8" x14ac:dyDescent="0.25">
      <c r="A192" s="8" t="s">
        <v>892</v>
      </c>
      <c r="B192" s="8" t="s">
        <v>945</v>
      </c>
      <c r="C192" s="8" t="s">
        <v>946</v>
      </c>
      <c r="D192" s="8" t="s">
        <v>960</v>
      </c>
      <c r="E192" s="8" t="s">
        <v>961</v>
      </c>
      <c r="F192" s="8" t="s">
        <v>962</v>
      </c>
      <c r="G192" s="8" t="s">
        <v>963</v>
      </c>
      <c r="H192" s="8" t="s">
        <v>951</v>
      </c>
    </row>
    <row r="193" spans="1:8" x14ac:dyDescent="0.25">
      <c r="A193" s="8" t="s">
        <v>892</v>
      </c>
      <c r="B193" s="8" t="s">
        <v>964</v>
      </c>
      <c r="C193" s="8" t="s">
        <v>965</v>
      </c>
      <c r="D193" s="8" t="s">
        <v>966</v>
      </c>
      <c r="E193" s="8" t="s">
        <v>967</v>
      </c>
      <c r="F193" s="8" t="s">
        <v>968</v>
      </c>
      <c r="G193" s="8" t="s">
        <v>969</v>
      </c>
      <c r="H193" s="8" t="s">
        <v>970</v>
      </c>
    </row>
    <row r="194" spans="1:8" x14ac:dyDescent="0.25">
      <c r="A194" s="8" t="s">
        <v>892</v>
      </c>
      <c r="B194" s="8" t="s">
        <v>964</v>
      </c>
      <c r="C194" s="8" t="s">
        <v>965</v>
      </c>
      <c r="D194" s="8" t="s">
        <v>971</v>
      </c>
      <c r="E194" s="8" t="s">
        <v>972</v>
      </c>
      <c r="F194" s="8" t="s">
        <v>973</v>
      </c>
      <c r="G194" s="8" t="s">
        <v>974</v>
      </c>
      <c r="H194" s="8" t="s">
        <v>970</v>
      </c>
    </row>
    <row r="195" spans="1:8" x14ac:dyDescent="0.25">
      <c r="A195" s="8" t="s">
        <v>892</v>
      </c>
      <c r="B195" s="8" t="s">
        <v>975</v>
      </c>
      <c r="C195" s="8" t="s">
        <v>976</v>
      </c>
      <c r="D195" s="8" t="s">
        <v>977</v>
      </c>
      <c r="E195" s="8" t="s">
        <v>978</v>
      </c>
      <c r="F195" s="8" t="s">
        <v>979</v>
      </c>
      <c r="G195" s="8" t="s">
        <v>980</v>
      </c>
      <c r="H195" s="8" t="s">
        <v>981</v>
      </c>
    </row>
    <row r="196" spans="1:8" x14ac:dyDescent="0.25">
      <c r="A196" s="8" t="s">
        <v>892</v>
      </c>
      <c r="B196" s="8" t="s">
        <v>975</v>
      </c>
      <c r="C196" s="8" t="s">
        <v>976</v>
      </c>
      <c r="D196" s="8" t="s">
        <v>982</v>
      </c>
      <c r="E196" s="8" t="s">
        <v>983</v>
      </c>
      <c r="F196" s="8" t="s">
        <v>984</v>
      </c>
      <c r="G196" s="8" t="s">
        <v>985</v>
      </c>
      <c r="H196" s="8" t="s">
        <v>981</v>
      </c>
    </row>
    <row r="197" spans="1:8" x14ac:dyDescent="0.25">
      <c r="A197" s="8" t="s">
        <v>892</v>
      </c>
      <c r="B197" s="8" t="s">
        <v>975</v>
      </c>
      <c r="C197" s="8" t="s">
        <v>976</v>
      </c>
      <c r="D197" s="8" t="s">
        <v>986</v>
      </c>
      <c r="E197" s="8" t="s">
        <v>987</v>
      </c>
      <c r="F197" s="8" t="s">
        <v>988</v>
      </c>
      <c r="G197" s="8" t="s">
        <v>989</v>
      </c>
      <c r="H197" s="8" t="s">
        <v>981</v>
      </c>
    </row>
    <row r="198" spans="1:8" x14ac:dyDescent="0.25">
      <c r="A198" s="8" t="s">
        <v>892</v>
      </c>
      <c r="B198" s="8" t="s">
        <v>975</v>
      </c>
      <c r="C198" s="8" t="s">
        <v>976</v>
      </c>
      <c r="D198" s="8" t="s">
        <v>990</v>
      </c>
      <c r="E198" s="8" t="s">
        <v>991</v>
      </c>
      <c r="F198" s="8" t="s">
        <v>992</v>
      </c>
      <c r="G198" s="8" t="s">
        <v>993</v>
      </c>
      <c r="H198" s="8" t="s">
        <v>981</v>
      </c>
    </row>
  </sheetData>
  <autoFilter ref="A1:H19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  <col min="3" max="3" width="18" customWidth="1"/>
    <col min="4" max="4" width="14" customWidth="1"/>
    <col min="5" max="5" width="30" customWidth="1"/>
    <col min="6" max="6" width="13" customWidth="1"/>
    <col min="7" max="8" width="30" customWidth="1"/>
    <col min="9" max="9" width="50" customWidth="1"/>
    <col min="10" max="10" width="18" customWidth="1"/>
  </cols>
  <sheetData>
    <row r="1" ht="30" customHeight="1" spans="1:10" x14ac:dyDescent="0.25">
      <c r="A1" s="15" t="s">
        <v>58</v>
      </c>
      <c r="B1" s="15" t="s">
        <v>59</v>
      </c>
      <c r="C1" s="15" t="s">
        <v>60</v>
      </c>
      <c r="D1" s="15" t="s">
        <v>61</v>
      </c>
      <c r="E1" s="15" t="s">
        <v>62</v>
      </c>
      <c r="F1" s="15" t="s">
        <v>53</v>
      </c>
      <c r="G1" s="15" t="s">
        <v>54</v>
      </c>
      <c r="H1" s="15" t="s">
        <v>9</v>
      </c>
      <c r="I1" s="15" t="s">
        <v>63</v>
      </c>
      <c r="J1" s="15" t="s">
        <v>57</v>
      </c>
    </row>
    <row r="2" spans="1:10" x14ac:dyDescent="0.25">
      <c r="A2" s="1"/>
      <c r="B2" s="20"/>
      <c r="C2" s="1"/>
      <c r="D2" s="1"/>
      <c r="E2" s="1"/>
      <c r="F2" s="1"/>
      <c r="G2" s="1"/>
      <c r="H2" s="1"/>
      <c r="I2" s="1"/>
      <c r="J2" s="1">
        <f>IF($F2="","",IF($H2="","Not rated",IF(OR($H2=Lists!$B$3,$H2=Lists!$B$5),IF(AND(LEFT(SUBSTITUTE($I2," ",""),LEN($F2)+1)=$F2&amp;"-",LEN(SUBSTITUTE($I2," ",""))&gt;LEN($F2)+1),"OK","Comment required"),"OK")))</f>
      </c>
    </row>
    <row r="3" spans="1:10" x14ac:dyDescent="0.25">
      <c r="A3" s="1"/>
      <c r="B3" s="20"/>
      <c r="C3" s="1"/>
      <c r="D3" s="1"/>
      <c r="E3" s="1"/>
      <c r="F3" s="1"/>
      <c r="G3" s="1"/>
      <c r="H3" s="1"/>
      <c r="I3" s="1"/>
      <c r="J3" s="1">
        <f>IF($F3="","",IF($H3="","Not rated",IF(OR($H3=Lists!$B$3,$H3=Lists!$B$5),IF(AND(LEFT(SUBSTITUTE($I3," ",""),LEN($F3)+1)=$F3&amp;"-",LEN(SUBSTITUTE($I3," ",""))&gt;LEN($F3)+1),"OK","Comment required"),"OK")))</f>
      </c>
    </row>
    <row r="4" spans="1:10" x14ac:dyDescent="0.25">
      <c r="A4" s="1"/>
      <c r="B4" s="20"/>
      <c r="C4" s="1"/>
      <c r="D4" s="1"/>
      <c r="E4" s="1"/>
      <c r="F4" s="1"/>
      <c r="G4" s="1"/>
      <c r="H4" s="1"/>
      <c r="I4" s="1"/>
      <c r="J4" s="1">
        <f>IF($F4="","",IF($H4="","Not rated",IF(OR($H4=Lists!$B$3,$H4=Lists!$B$5),IF(AND(LEFT(SUBSTITUTE($I4," ",""),LEN($F4)+1)=$F4&amp;"-",LEN(SUBSTITUTE($I4," ",""))&gt;LEN($F4)+1),"OK","Comment required"),"OK")))</f>
      </c>
    </row>
    <row r="5" spans="1:10" x14ac:dyDescent="0.25">
      <c r="A5" s="1"/>
      <c r="B5" s="20"/>
      <c r="C5" s="1"/>
      <c r="D5" s="1"/>
      <c r="E5" s="1"/>
      <c r="F5" s="1"/>
      <c r="G5" s="1"/>
      <c r="H5" s="1"/>
      <c r="I5" s="1"/>
      <c r="J5" s="1">
        <f>IF($F5="","",IF($H5="","Not rated",IF(OR($H5=Lists!$B$3,$H5=Lists!$B$5),IF(AND(LEFT(SUBSTITUTE($I5," ",""),LEN($F5)+1)=$F5&amp;"-",LEN(SUBSTITUTE($I5," ",""))&gt;LEN($F5)+1),"OK","Comment required"),"OK")))</f>
      </c>
    </row>
    <row r="6" spans="1:10" x14ac:dyDescent="0.25">
      <c r="A6" s="1"/>
      <c r="B6" s="20"/>
      <c r="C6" s="1"/>
      <c r="D6" s="1"/>
      <c r="E6" s="1"/>
      <c r="F6" s="1"/>
      <c r="G6" s="1"/>
      <c r="H6" s="1"/>
      <c r="I6" s="1"/>
      <c r="J6" s="1">
        <f>IF($F6="","",IF($H6="","Not rated",IF(OR($H6=Lists!$B$3,$H6=Lists!$B$5),IF(AND(LEFT(SUBSTITUTE($I6," ",""),LEN($F6)+1)=$F6&amp;"-",LEN(SUBSTITUTE($I6," ",""))&gt;LEN($F6)+1),"OK","Comment required"),"OK")))</f>
      </c>
    </row>
    <row r="7" spans="1:10" x14ac:dyDescent="0.25">
      <c r="A7" s="1"/>
      <c r="B7" s="20"/>
      <c r="C7" s="1"/>
      <c r="D7" s="1"/>
      <c r="E7" s="1"/>
      <c r="F7" s="1"/>
      <c r="G7" s="1"/>
      <c r="H7" s="1"/>
      <c r="I7" s="1"/>
      <c r="J7" s="1">
        <f>IF($F7="","",IF($H7="","Not rated",IF(OR($H7=Lists!$B$3,$H7=Lists!$B$5),IF(AND(LEFT(SUBSTITUTE($I7," ",""),LEN($F7)+1)=$F7&amp;"-",LEN(SUBSTITUTE($I7," ",""))&gt;LEN($F7)+1),"OK","Comment required"),"OK")))</f>
      </c>
    </row>
    <row r="8" spans="1:10" x14ac:dyDescent="0.25">
      <c r="A8" s="1"/>
      <c r="B8" s="20"/>
      <c r="C8" s="1"/>
      <c r="D8" s="1"/>
      <c r="E8" s="1"/>
      <c r="F8" s="1"/>
      <c r="G8" s="1"/>
      <c r="H8" s="1"/>
      <c r="I8" s="1"/>
      <c r="J8" s="1">
        <f>IF($F8="","",IF($H8="","Not rated",IF(OR($H8=Lists!$B$3,$H8=Lists!$B$5),IF(AND(LEFT(SUBSTITUTE($I8," ",""),LEN($F8)+1)=$F8&amp;"-",LEN(SUBSTITUTE($I8," ",""))&gt;LEN($F8)+1),"OK","Comment required"),"OK")))</f>
      </c>
    </row>
    <row r="9" spans="1:10" x14ac:dyDescent="0.25">
      <c r="A9" s="1"/>
      <c r="B9" s="20"/>
      <c r="C9" s="1"/>
      <c r="D9" s="1"/>
      <c r="E9" s="1"/>
      <c r="F9" s="1"/>
      <c r="G9" s="1"/>
      <c r="H9" s="1"/>
      <c r="I9" s="1"/>
      <c r="J9" s="1">
        <f>IF($F9="","",IF($H9="","Not rated",IF(OR($H9=Lists!$B$3,$H9=Lists!$B$5),IF(AND(LEFT(SUBSTITUTE($I9," ",""),LEN($F9)+1)=$F9&amp;"-",LEN(SUBSTITUTE($I9," ",""))&gt;LEN($F9)+1),"OK","Comment required"),"OK")))</f>
      </c>
    </row>
    <row r="10" spans="1:10" x14ac:dyDescent="0.25">
      <c r="A10" s="1"/>
      <c r="B10" s="20"/>
      <c r="C10" s="1"/>
      <c r="D10" s="1"/>
      <c r="E10" s="1"/>
      <c r="F10" s="1"/>
      <c r="G10" s="1"/>
      <c r="H10" s="1"/>
      <c r="I10" s="1"/>
      <c r="J10" s="1">
        <f>IF($F10="","",IF($H10="","Not rated",IF(OR($H10=Lists!$B$3,$H10=Lists!$B$5),IF(AND(LEFT(SUBSTITUTE($I10," ",""),LEN($F10)+1)=$F10&amp;"-",LEN(SUBSTITUTE($I10," ",""))&gt;LEN($F10)+1),"OK","Comment required"),"OK")))</f>
      </c>
    </row>
    <row r="11" spans="1:10" x14ac:dyDescent="0.25">
      <c r="A11" s="1"/>
      <c r="B11" s="20"/>
      <c r="C11" s="1"/>
      <c r="D11" s="1"/>
      <c r="E11" s="1"/>
      <c r="F11" s="1"/>
      <c r="G11" s="1"/>
      <c r="H11" s="1"/>
      <c r="I11" s="1"/>
      <c r="J11" s="1">
        <f>IF($F11="","",IF($H11="","Not rated",IF(OR($H11=Lists!$B$3,$H11=Lists!$B$5),IF(AND(LEFT(SUBSTITUTE($I11," ",""),LEN($F11)+1)=$F11&amp;"-",LEN(SUBSTITUTE($I11," ",""))&gt;LEN($F11)+1),"OK","Comment required"),"OK")))</f>
      </c>
    </row>
    <row r="12" spans="1:10" x14ac:dyDescent="0.25">
      <c r="A12" s="1"/>
      <c r="B12" s="20"/>
      <c r="C12" s="1"/>
      <c r="D12" s="1"/>
      <c r="E12" s="1"/>
      <c r="F12" s="1"/>
      <c r="G12" s="1"/>
      <c r="H12" s="1"/>
      <c r="I12" s="1"/>
      <c r="J12" s="1">
        <f>IF($F12="","",IF($H12="","Not rated",IF(OR($H12=Lists!$B$3,$H12=Lists!$B$5),IF(AND(LEFT(SUBSTITUTE($I12," ",""),LEN($F12)+1)=$F12&amp;"-",LEN(SUBSTITUTE($I12," ",""))&gt;LEN($F12)+1),"OK","Comment required"),"OK")))</f>
      </c>
    </row>
    <row r="13" spans="1:10" x14ac:dyDescent="0.25">
      <c r="A13" s="1"/>
      <c r="B13" s="20"/>
      <c r="C13" s="1"/>
      <c r="D13" s="1"/>
      <c r="E13" s="1"/>
      <c r="F13" s="1"/>
      <c r="G13" s="1"/>
      <c r="H13" s="1"/>
      <c r="I13" s="1"/>
      <c r="J13" s="1">
        <f>IF($F13="","",IF($H13="","Not rated",IF(OR($H13=Lists!$B$3,$H13=Lists!$B$5),IF(AND(LEFT(SUBSTITUTE($I13," ",""),LEN($F13)+1)=$F13&amp;"-",LEN(SUBSTITUTE($I13," ",""))&gt;LEN($F13)+1),"OK","Comment required"),"OK")))</f>
      </c>
    </row>
    <row r="14" spans="1:10" x14ac:dyDescent="0.25">
      <c r="A14" s="1"/>
      <c r="B14" s="20"/>
      <c r="C14" s="1"/>
      <c r="D14" s="1"/>
      <c r="E14" s="1"/>
      <c r="F14" s="1"/>
      <c r="G14" s="1"/>
      <c r="H14" s="1"/>
      <c r="I14" s="1"/>
      <c r="J14" s="1">
        <f>IF($F14="","",IF($H14="","Not rated",IF(OR($H14=Lists!$B$3,$H14=Lists!$B$5),IF(AND(LEFT(SUBSTITUTE($I14," ",""),LEN($F14)+1)=$F14&amp;"-",LEN(SUBSTITUTE($I14," ",""))&gt;LEN($F14)+1),"OK","Comment required"),"OK")))</f>
      </c>
    </row>
    <row r="15" spans="1:10" x14ac:dyDescent="0.25">
      <c r="A15" s="1"/>
      <c r="B15" s="20"/>
      <c r="C15" s="1"/>
      <c r="D15" s="1"/>
      <c r="E15" s="1"/>
      <c r="F15" s="1"/>
      <c r="G15" s="1"/>
      <c r="H15" s="1"/>
      <c r="I15" s="1"/>
      <c r="J15" s="1">
        <f>IF($F15="","",IF($H15="","Not rated",IF(OR($H15=Lists!$B$3,$H15=Lists!$B$5),IF(AND(LEFT(SUBSTITUTE($I15," ",""),LEN($F15)+1)=$F15&amp;"-",LEN(SUBSTITUTE($I15," ",""))&gt;LEN($F15)+1),"OK","Comment required"),"OK")))</f>
      </c>
    </row>
    <row r="16" spans="1:10" x14ac:dyDescent="0.25">
      <c r="A16" s="1"/>
      <c r="B16" s="20"/>
      <c r="C16" s="1"/>
      <c r="D16" s="1"/>
      <c r="E16" s="1"/>
      <c r="F16" s="1"/>
      <c r="G16" s="1"/>
      <c r="H16" s="1"/>
      <c r="I16" s="1"/>
      <c r="J16" s="1">
        <f>IF($F16="","",IF($H16="","Not rated",IF(OR($H16=Lists!$B$3,$H16=Lists!$B$5),IF(AND(LEFT(SUBSTITUTE($I16," ",""),LEN($F16)+1)=$F16&amp;"-",LEN(SUBSTITUTE($I16," ",""))&gt;LEN($F16)+1),"OK","Comment required"),"OK")))</f>
      </c>
    </row>
    <row r="17" spans="1:10" x14ac:dyDescent="0.25">
      <c r="A17" s="1"/>
      <c r="B17" s="20"/>
      <c r="C17" s="1"/>
      <c r="D17" s="1"/>
      <c r="E17" s="1"/>
      <c r="F17" s="1"/>
      <c r="G17" s="1"/>
      <c r="H17" s="1"/>
      <c r="I17" s="1"/>
      <c r="J17" s="1">
        <f>IF($F17="","",IF($H17="","Not rated",IF(OR($H17=Lists!$B$3,$H17=Lists!$B$5),IF(AND(LEFT(SUBSTITUTE($I17," ",""),LEN($F17)+1)=$F17&amp;"-",LEN(SUBSTITUTE($I17," ",""))&gt;LEN($F17)+1),"OK","Comment required"),"OK")))</f>
      </c>
    </row>
    <row r="18" spans="1:10" x14ac:dyDescent="0.25">
      <c r="A18" s="1"/>
      <c r="B18" s="20"/>
      <c r="C18" s="1"/>
      <c r="D18" s="1"/>
      <c r="E18" s="1"/>
      <c r="F18" s="1"/>
      <c r="G18" s="1"/>
      <c r="H18" s="1"/>
      <c r="I18" s="1"/>
      <c r="J18" s="1">
        <f>IF($F18="","",IF($H18="","Not rated",IF(OR($H18=Lists!$B$3,$H18=Lists!$B$5),IF(AND(LEFT(SUBSTITUTE($I18," ",""),LEN($F18)+1)=$F18&amp;"-",LEN(SUBSTITUTE($I18," ",""))&gt;LEN($F18)+1),"OK","Comment required"),"OK")))</f>
      </c>
    </row>
    <row r="19" spans="1:10" x14ac:dyDescent="0.25">
      <c r="A19" s="1"/>
      <c r="B19" s="20"/>
      <c r="C19" s="1"/>
      <c r="D19" s="1"/>
      <c r="E19" s="1"/>
      <c r="F19" s="1"/>
      <c r="G19" s="1"/>
      <c r="H19" s="1"/>
      <c r="I19" s="1"/>
      <c r="J19" s="1">
        <f>IF($F19="","",IF($H19="","Not rated",IF(OR($H19=Lists!$B$3,$H19=Lists!$B$5),IF(AND(LEFT(SUBSTITUTE($I19," ",""),LEN($F19)+1)=$F19&amp;"-",LEN(SUBSTITUTE($I19," ",""))&gt;LEN($F19)+1),"OK","Comment required"),"OK")))</f>
      </c>
    </row>
    <row r="20" spans="1:10" x14ac:dyDescent="0.25">
      <c r="A20" s="1"/>
      <c r="B20" s="20"/>
      <c r="C20" s="1"/>
      <c r="D20" s="1"/>
      <c r="E20" s="1"/>
      <c r="F20" s="1"/>
      <c r="G20" s="1"/>
      <c r="H20" s="1"/>
      <c r="I20" s="1"/>
      <c r="J20" s="1">
        <f>IF($F20="","",IF($H20="","Not rated",IF(OR($H20=Lists!$B$3,$H20=Lists!$B$5),IF(AND(LEFT(SUBSTITUTE($I20," ",""),LEN($F20)+1)=$F20&amp;"-",LEN(SUBSTITUTE($I20," ",""))&gt;LEN($F20)+1),"OK","Comment required"),"OK")))</f>
      </c>
    </row>
    <row r="21" spans="1:10" x14ac:dyDescent="0.25">
      <c r="A21" s="1"/>
      <c r="B21" s="20"/>
      <c r="C21" s="1"/>
      <c r="D21" s="1"/>
      <c r="E21" s="1"/>
      <c r="F21" s="1"/>
      <c r="G21" s="1"/>
      <c r="H21" s="1"/>
      <c r="I21" s="1"/>
      <c r="J21" s="1">
        <f>IF($F21="","",IF($H21="","Not rated",IF(OR($H21=Lists!$B$3,$H21=Lists!$B$5),IF(AND(LEFT(SUBSTITUTE($I21," ",""),LEN($F21)+1)=$F21&amp;"-",LEN(SUBSTITUTE($I21," ",""))&gt;LEN($F21)+1),"OK","Comment required"),"OK")))</f>
      </c>
    </row>
    <row r="22" spans="1:10" x14ac:dyDescent="0.25">
      <c r="A22" s="1"/>
      <c r="B22" s="20"/>
      <c r="C22" s="1"/>
      <c r="D22" s="1"/>
      <c r="E22" s="1"/>
      <c r="F22" s="1"/>
      <c r="G22" s="1"/>
      <c r="H22" s="1"/>
      <c r="I22" s="1"/>
      <c r="J22" s="1">
        <f>IF($F22="","",IF($H22="","Not rated",IF(OR($H22=Lists!$B$3,$H22=Lists!$B$5),IF(AND(LEFT(SUBSTITUTE($I22," ",""),LEN($F22)+1)=$F22&amp;"-",LEN(SUBSTITUTE($I22," ",""))&gt;LEN($F22)+1),"OK","Comment required"),"OK")))</f>
      </c>
    </row>
    <row r="23" spans="1:10" x14ac:dyDescent="0.25">
      <c r="A23" s="1"/>
      <c r="B23" s="20"/>
      <c r="C23" s="1"/>
      <c r="D23" s="1"/>
      <c r="E23" s="1"/>
      <c r="F23" s="1"/>
      <c r="G23" s="1"/>
      <c r="H23" s="1"/>
      <c r="I23" s="1"/>
      <c r="J23" s="1">
        <f>IF($F23="","",IF($H23="","Not rated",IF(OR($H23=Lists!$B$3,$H23=Lists!$B$5),IF(AND(LEFT(SUBSTITUTE($I23," ",""),LEN($F23)+1)=$F23&amp;"-",LEN(SUBSTITUTE($I23," ",""))&gt;LEN($F23)+1),"OK","Comment required"),"OK")))</f>
      </c>
    </row>
    <row r="24" spans="1:10" x14ac:dyDescent="0.25">
      <c r="A24" s="1"/>
      <c r="B24" s="20"/>
      <c r="C24" s="1"/>
      <c r="D24" s="1"/>
      <c r="E24" s="1"/>
      <c r="F24" s="1"/>
      <c r="G24" s="1"/>
      <c r="H24" s="1"/>
      <c r="I24" s="1"/>
      <c r="J24" s="1">
        <f>IF($F24="","",IF($H24="","Not rated",IF(OR($H24=Lists!$B$3,$H24=Lists!$B$5),IF(AND(LEFT(SUBSTITUTE($I24," ",""),LEN($F24)+1)=$F24&amp;"-",LEN(SUBSTITUTE($I24," ",""))&gt;LEN($F24)+1),"OK","Comment required"),"OK")))</f>
      </c>
    </row>
    <row r="25" spans="1:10" x14ac:dyDescent="0.25">
      <c r="A25" s="1"/>
      <c r="B25" s="20"/>
      <c r="C25" s="1"/>
      <c r="D25" s="1"/>
      <c r="E25" s="1"/>
      <c r="F25" s="1"/>
      <c r="G25" s="1"/>
      <c r="H25" s="1"/>
      <c r="I25" s="1"/>
      <c r="J25" s="1">
        <f>IF($F25="","",IF($H25="","Not rated",IF(OR($H25=Lists!$B$3,$H25=Lists!$B$5),IF(AND(LEFT(SUBSTITUTE($I25," ",""),LEN($F25)+1)=$F25&amp;"-",LEN(SUBSTITUTE($I25," ",""))&gt;LEN($F25)+1),"OK","Comment required"),"OK")))</f>
      </c>
    </row>
    <row r="26" spans="1:10" x14ac:dyDescent="0.25">
      <c r="A26" s="1"/>
      <c r="B26" s="20"/>
      <c r="C26" s="1"/>
      <c r="D26" s="1"/>
      <c r="E26" s="1"/>
      <c r="F26" s="1"/>
      <c r="G26" s="1"/>
      <c r="H26" s="1"/>
      <c r="I26" s="1"/>
      <c r="J26" s="1">
        <f>IF($F26="","",IF($H26="","Not rated",IF(OR($H26=Lists!$B$3,$H26=Lists!$B$5),IF(AND(LEFT(SUBSTITUTE($I26," ",""),LEN($F26)+1)=$F26&amp;"-",LEN(SUBSTITUTE($I26," ",""))&gt;LEN($F26)+1),"OK","Comment required"),"OK")))</f>
      </c>
    </row>
    <row r="27" spans="1:10" x14ac:dyDescent="0.25">
      <c r="A27" s="1"/>
      <c r="B27" s="20"/>
      <c r="C27" s="1"/>
      <c r="D27" s="1"/>
      <c r="E27" s="1"/>
      <c r="F27" s="1"/>
      <c r="G27" s="1"/>
      <c r="H27" s="1"/>
      <c r="I27" s="1"/>
      <c r="J27" s="1">
        <f>IF($F27="","",IF($H27="","Not rated",IF(OR($H27=Lists!$B$3,$H27=Lists!$B$5),IF(AND(LEFT(SUBSTITUTE($I27," ",""),LEN($F27)+1)=$F27&amp;"-",LEN(SUBSTITUTE($I27," ",""))&gt;LEN($F27)+1),"OK","Comment required"),"OK")))</f>
      </c>
    </row>
    <row r="28" spans="1:10" x14ac:dyDescent="0.25">
      <c r="A28" s="1"/>
      <c r="B28" s="20"/>
      <c r="C28" s="1"/>
      <c r="D28" s="1"/>
      <c r="E28" s="1"/>
      <c r="F28" s="1"/>
      <c r="G28" s="1"/>
      <c r="H28" s="1"/>
      <c r="I28" s="1"/>
      <c r="J28" s="1">
        <f>IF($F28="","",IF($H28="","Not rated",IF(OR($H28=Lists!$B$3,$H28=Lists!$B$5),IF(AND(LEFT(SUBSTITUTE($I28," ",""),LEN($F28)+1)=$F28&amp;"-",LEN(SUBSTITUTE($I28," ",""))&gt;LEN($F28)+1),"OK","Comment required"),"OK")))</f>
      </c>
    </row>
    <row r="29" spans="1:10" x14ac:dyDescent="0.25">
      <c r="A29" s="1"/>
      <c r="B29" s="20"/>
      <c r="C29" s="1"/>
      <c r="D29" s="1"/>
      <c r="E29" s="1"/>
      <c r="F29" s="1"/>
      <c r="G29" s="1"/>
      <c r="H29" s="1"/>
      <c r="I29" s="1"/>
      <c r="J29" s="1">
        <f>IF($F29="","",IF($H29="","Not rated",IF(OR($H29=Lists!$B$3,$H29=Lists!$B$5),IF(AND(LEFT(SUBSTITUTE($I29," ",""),LEN($F29)+1)=$F29&amp;"-",LEN(SUBSTITUTE($I29," ",""))&gt;LEN($F29)+1),"OK","Comment required"),"OK")))</f>
      </c>
    </row>
    <row r="30" spans="1:10" x14ac:dyDescent="0.25">
      <c r="A30" s="1"/>
      <c r="B30" s="20"/>
      <c r="C30" s="1"/>
      <c r="D30" s="1"/>
      <c r="E30" s="1"/>
      <c r="F30" s="1"/>
      <c r="G30" s="1"/>
      <c r="H30" s="1"/>
      <c r="I30" s="1"/>
      <c r="J30" s="1">
        <f>IF($F30="","",IF($H30="","Not rated",IF(OR($H30=Lists!$B$3,$H30=Lists!$B$5),IF(AND(LEFT(SUBSTITUTE($I30," ",""),LEN($F30)+1)=$F30&amp;"-",LEN(SUBSTITUTE($I30," ",""))&gt;LEN($F30)+1),"OK","Comment required"),"OK")))</f>
      </c>
    </row>
    <row r="31" spans="1:10" x14ac:dyDescent="0.25">
      <c r="A31" s="1"/>
      <c r="B31" s="20"/>
      <c r="C31" s="1"/>
      <c r="D31" s="1"/>
      <c r="E31" s="1"/>
      <c r="F31" s="1"/>
      <c r="G31" s="1"/>
      <c r="H31" s="1"/>
      <c r="I31" s="1"/>
      <c r="J31" s="1">
        <f>IF($F31="","",IF($H31="","Not rated",IF(OR($H31=Lists!$B$3,$H31=Lists!$B$5),IF(AND(LEFT(SUBSTITUTE($I31," ",""),LEN($F31)+1)=$F31&amp;"-",LEN(SUBSTITUTE($I31," ",""))&gt;LEN($F31)+1),"OK","Comment required"),"OK")))</f>
      </c>
    </row>
    <row r="32" spans="1:10" x14ac:dyDescent="0.25">
      <c r="A32" s="1"/>
      <c r="B32" s="20"/>
      <c r="C32" s="1"/>
      <c r="D32" s="1"/>
      <c r="E32" s="1"/>
      <c r="F32" s="1"/>
      <c r="G32" s="1"/>
      <c r="H32" s="1"/>
      <c r="I32" s="1"/>
      <c r="J32" s="1">
        <f>IF($F32="","",IF($H32="","Not rated",IF(OR($H32=Lists!$B$3,$H32=Lists!$B$5),IF(AND(LEFT(SUBSTITUTE($I32," ",""),LEN($F32)+1)=$F32&amp;"-",LEN(SUBSTITUTE($I32," ",""))&gt;LEN($F32)+1),"OK","Comment required"),"OK")))</f>
      </c>
    </row>
    <row r="33" spans="1:10" x14ac:dyDescent="0.25">
      <c r="A33" s="1"/>
      <c r="B33" s="20"/>
      <c r="C33" s="1"/>
      <c r="D33" s="1"/>
      <c r="E33" s="1"/>
      <c r="F33" s="1"/>
      <c r="G33" s="1"/>
      <c r="H33" s="1"/>
      <c r="I33" s="1"/>
      <c r="J33" s="1">
        <f>IF($F33="","",IF($H33="","Not rated",IF(OR($H33=Lists!$B$3,$H33=Lists!$B$5),IF(AND(LEFT(SUBSTITUTE($I33," ",""),LEN($F33)+1)=$F33&amp;"-",LEN(SUBSTITUTE($I33," ",""))&gt;LEN($F33)+1),"OK","Comment required"),"OK")))</f>
      </c>
    </row>
    <row r="34" spans="1:10" x14ac:dyDescent="0.25">
      <c r="A34" s="1"/>
      <c r="B34" s="20"/>
      <c r="C34" s="1"/>
      <c r="D34" s="1"/>
      <c r="E34" s="1"/>
      <c r="F34" s="1"/>
      <c r="G34" s="1"/>
      <c r="H34" s="1"/>
      <c r="I34" s="1"/>
      <c r="J34" s="1">
        <f>IF($F34="","",IF($H34="","Not rated",IF(OR($H34=Lists!$B$3,$H34=Lists!$B$5),IF(AND(LEFT(SUBSTITUTE($I34," ",""),LEN($F34)+1)=$F34&amp;"-",LEN(SUBSTITUTE($I34," ",""))&gt;LEN($F34)+1),"OK","Comment required"),"OK")))</f>
      </c>
    </row>
    <row r="35" spans="1:10" x14ac:dyDescent="0.25">
      <c r="A35" s="1"/>
      <c r="B35" s="20"/>
      <c r="C35" s="1"/>
      <c r="D35" s="1"/>
      <c r="E35" s="1"/>
      <c r="F35" s="1"/>
      <c r="G35" s="1"/>
      <c r="H35" s="1"/>
      <c r="I35" s="1"/>
      <c r="J35" s="1">
        <f>IF($F35="","",IF($H35="","Not rated",IF(OR($H35=Lists!$B$3,$H35=Lists!$B$5),IF(AND(LEFT(SUBSTITUTE($I35," ",""),LEN($F35)+1)=$F35&amp;"-",LEN(SUBSTITUTE($I35," ",""))&gt;LEN($F35)+1),"OK","Comment required"),"OK")))</f>
      </c>
    </row>
    <row r="36" spans="1:10" x14ac:dyDescent="0.25">
      <c r="A36" s="1"/>
      <c r="B36" s="20"/>
      <c r="C36" s="1"/>
      <c r="D36" s="1"/>
      <c r="E36" s="1"/>
      <c r="F36" s="1"/>
      <c r="G36" s="1"/>
      <c r="H36" s="1"/>
      <c r="I36" s="1"/>
      <c r="J36" s="1">
        <f>IF($F36="","",IF($H36="","Not rated",IF(OR($H36=Lists!$B$3,$H36=Lists!$B$5),IF(AND(LEFT(SUBSTITUTE($I36," ",""),LEN($F36)+1)=$F36&amp;"-",LEN(SUBSTITUTE($I36," ",""))&gt;LEN($F36)+1),"OK","Comment required"),"OK")))</f>
      </c>
    </row>
    <row r="37" spans="1:10" x14ac:dyDescent="0.25">
      <c r="A37" s="1"/>
      <c r="B37" s="20"/>
      <c r="C37" s="1"/>
      <c r="D37" s="1"/>
      <c r="E37" s="1"/>
      <c r="F37" s="1"/>
      <c r="G37" s="1"/>
      <c r="H37" s="1"/>
      <c r="I37" s="1"/>
      <c r="J37" s="1">
        <f>IF($F37="","",IF($H37="","Not rated",IF(OR($H37=Lists!$B$3,$H37=Lists!$B$5),IF(AND(LEFT(SUBSTITUTE($I37," ",""),LEN($F37)+1)=$F37&amp;"-",LEN(SUBSTITUTE($I37," ",""))&gt;LEN($F37)+1),"OK","Comment required"),"OK")))</f>
      </c>
    </row>
    <row r="38" spans="1:10" x14ac:dyDescent="0.25">
      <c r="A38" s="1"/>
      <c r="B38" s="20"/>
      <c r="C38" s="1"/>
      <c r="D38" s="1"/>
      <c r="E38" s="1"/>
      <c r="F38" s="1"/>
      <c r="G38" s="1"/>
      <c r="H38" s="1"/>
      <c r="I38" s="1"/>
      <c r="J38" s="1">
        <f>IF($F38="","",IF($H38="","Not rated",IF(OR($H38=Lists!$B$3,$H38=Lists!$B$5),IF(AND(LEFT(SUBSTITUTE($I38," ",""),LEN($F38)+1)=$F38&amp;"-",LEN(SUBSTITUTE($I38," ",""))&gt;LEN($F38)+1),"OK","Comment required"),"OK")))</f>
      </c>
    </row>
    <row r="39" spans="1:10" x14ac:dyDescent="0.25">
      <c r="A39" s="1"/>
      <c r="B39" s="20"/>
      <c r="C39" s="1"/>
      <c r="D39" s="1"/>
      <c r="E39" s="1"/>
      <c r="F39" s="1"/>
      <c r="G39" s="1"/>
      <c r="H39" s="1"/>
      <c r="I39" s="1"/>
      <c r="J39" s="1">
        <f>IF($F39="","",IF($H39="","Not rated",IF(OR($H39=Lists!$B$3,$H39=Lists!$B$5),IF(AND(LEFT(SUBSTITUTE($I39," ",""),LEN($F39)+1)=$F39&amp;"-",LEN(SUBSTITUTE($I39," ",""))&gt;LEN($F39)+1),"OK","Comment required"),"OK")))</f>
      </c>
    </row>
    <row r="40" spans="1:10" x14ac:dyDescent="0.25">
      <c r="A40" s="1"/>
      <c r="B40" s="20"/>
      <c r="C40" s="1"/>
      <c r="D40" s="1"/>
      <c r="E40" s="1"/>
      <c r="F40" s="1"/>
      <c r="G40" s="1"/>
      <c r="H40" s="1"/>
      <c r="I40" s="1"/>
      <c r="J40" s="1">
        <f>IF($F40="","",IF($H40="","Not rated",IF(OR($H40=Lists!$B$3,$H40=Lists!$B$5),IF(AND(LEFT(SUBSTITUTE($I40," ",""),LEN($F40)+1)=$F40&amp;"-",LEN(SUBSTITUTE($I40," ",""))&gt;LEN($F40)+1),"OK","Comment required"),"OK")))</f>
      </c>
    </row>
    <row r="41" spans="1:10" x14ac:dyDescent="0.25">
      <c r="A41" s="1"/>
      <c r="B41" s="20"/>
      <c r="C41" s="1"/>
      <c r="D41" s="1"/>
      <c r="E41" s="1"/>
      <c r="F41" s="1"/>
      <c r="G41" s="1"/>
      <c r="H41" s="1"/>
      <c r="I41" s="1"/>
      <c r="J41" s="1">
        <f>IF($F41="","",IF($H41="","Not rated",IF(OR($H41=Lists!$B$3,$H41=Lists!$B$5),IF(AND(LEFT(SUBSTITUTE($I41," ",""),LEN($F41)+1)=$F41&amp;"-",LEN(SUBSTITUTE($I41," ",""))&gt;LEN($F41)+1),"OK","Comment required"),"OK")))</f>
      </c>
    </row>
    <row r="42" spans="1:10" x14ac:dyDescent="0.25">
      <c r="A42" s="1"/>
      <c r="B42" s="20"/>
      <c r="C42" s="1"/>
      <c r="D42" s="1"/>
      <c r="E42" s="1"/>
      <c r="F42" s="1"/>
      <c r="G42" s="1"/>
      <c r="H42" s="1"/>
      <c r="I42" s="1"/>
      <c r="J42" s="1">
        <f>IF($F42="","",IF($H42="","Not rated",IF(OR($H42=Lists!$B$3,$H42=Lists!$B$5),IF(AND(LEFT(SUBSTITUTE($I42," ",""),LEN($F42)+1)=$F42&amp;"-",LEN(SUBSTITUTE($I42," ",""))&gt;LEN($F42)+1),"OK","Comment required"),"OK")))</f>
      </c>
    </row>
    <row r="43" spans="1:10" x14ac:dyDescent="0.25">
      <c r="A43" s="1"/>
      <c r="B43" s="20"/>
      <c r="C43" s="1"/>
      <c r="D43" s="1"/>
      <c r="E43" s="1"/>
      <c r="F43" s="1"/>
      <c r="G43" s="1"/>
      <c r="H43" s="1"/>
      <c r="I43" s="1"/>
      <c r="J43" s="1">
        <f>IF($F43="","",IF($H43="","Not rated",IF(OR($H43=Lists!$B$3,$H43=Lists!$B$5),IF(AND(LEFT(SUBSTITUTE($I43," ",""),LEN($F43)+1)=$F43&amp;"-",LEN(SUBSTITUTE($I43," ",""))&gt;LEN($F43)+1),"OK","Comment required"),"OK")))</f>
      </c>
    </row>
    <row r="44" spans="1:10" x14ac:dyDescent="0.25">
      <c r="A44" s="1"/>
      <c r="B44" s="20"/>
      <c r="C44" s="1"/>
      <c r="D44" s="1"/>
      <c r="E44" s="1"/>
      <c r="F44" s="1"/>
      <c r="G44" s="1"/>
      <c r="H44" s="1"/>
      <c r="I44" s="1"/>
      <c r="J44" s="1">
        <f>IF($F44="","",IF($H44="","Not rated",IF(OR($H44=Lists!$B$3,$H44=Lists!$B$5),IF(AND(LEFT(SUBSTITUTE($I44," ",""),LEN($F44)+1)=$F44&amp;"-",LEN(SUBSTITUTE($I44," ",""))&gt;LEN($F44)+1),"OK","Comment required"),"OK")))</f>
      </c>
    </row>
    <row r="45" spans="1:10" x14ac:dyDescent="0.25">
      <c r="A45" s="1"/>
      <c r="B45" s="20"/>
      <c r="C45" s="1"/>
      <c r="D45" s="1"/>
      <c r="E45" s="1"/>
      <c r="F45" s="1"/>
      <c r="G45" s="1"/>
      <c r="H45" s="1"/>
      <c r="I45" s="1"/>
      <c r="J45" s="1">
        <f>IF($F45="","",IF($H45="","Not rated",IF(OR($H45=Lists!$B$3,$H45=Lists!$B$5),IF(AND(LEFT(SUBSTITUTE($I45," ",""),LEN($F45)+1)=$F45&amp;"-",LEN(SUBSTITUTE($I45," ",""))&gt;LEN($F45)+1),"OK","Comment required"),"OK")))</f>
      </c>
    </row>
    <row r="46" spans="1:10" x14ac:dyDescent="0.25">
      <c r="A46" s="1"/>
      <c r="B46" s="20"/>
      <c r="C46" s="1"/>
      <c r="D46" s="1"/>
      <c r="E46" s="1"/>
      <c r="F46" s="1"/>
      <c r="G46" s="1"/>
      <c r="H46" s="1"/>
      <c r="I46" s="1"/>
      <c r="J46" s="1">
        <f>IF($F46="","",IF($H46="","Not rated",IF(OR($H46=Lists!$B$3,$H46=Lists!$B$5),IF(AND(LEFT(SUBSTITUTE($I46," ",""),LEN($F46)+1)=$F46&amp;"-",LEN(SUBSTITUTE($I46," ",""))&gt;LEN($F46)+1),"OK","Comment required"),"OK")))</f>
      </c>
    </row>
    <row r="47" spans="1:10" x14ac:dyDescent="0.25">
      <c r="A47" s="1"/>
      <c r="B47" s="20"/>
      <c r="C47" s="1"/>
      <c r="D47" s="1"/>
      <c r="E47" s="1"/>
      <c r="F47" s="1"/>
      <c r="G47" s="1"/>
      <c r="H47" s="1"/>
      <c r="I47" s="1"/>
      <c r="J47" s="1">
        <f>IF($F47="","",IF($H47="","Not rated",IF(OR($H47=Lists!$B$3,$H47=Lists!$B$5),IF(AND(LEFT(SUBSTITUTE($I47," ",""),LEN($F47)+1)=$F47&amp;"-",LEN(SUBSTITUTE($I47," ",""))&gt;LEN($F47)+1),"OK","Comment required"),"OK")))</f>
      </c>
    </row>
    <row r="48" spans="1:10" x14ac:dyDescent="0.25">
      <c r="A48" s="1"/>
      <c r="B48" s="20"/>
      <c r="C48" s="1"/>
      <c r="D48" s="1"/>
      <c r="E48" s="1"/>
      <c r="F48" s="1"/>
      <c r="G48" s="1"/>
      <c r="H48" s="1"/>
      <c r="I48" s="1"/>
      <c r="J48" s="1">
        <f>IF($F48="","",IF($H48="","Not rated",IF(OR($H48=Lists!$B$3,$H48=Lists!$B$5),IF(AND(LEFT(SUBSTITUTE($I48," ",""),LEN($F48)+1)=$F48&amp;"-",LEN(SUBSTITUTE($I48," ",""))&gt;LEN($F48)+1),"OK","Comment required"),"OK")))</f>
      </c>
    </row>
    <row r="49" spans="1:10" x14ac:dyDescent="0.25">
      <c r="A49" s="1"/>
      <c r="B49" s="20"/>
      <c r="C49" s="1"/>
      <c r="D49" s="1"/>
      <c r="E49" s="1"/>
      <c r="F49" s="1"/>
      <c r="G49" s="1"/>
      <c r="H49" s="1"/>
      <c r="I49" s="1"/>
      <c r="J49" s="1">
        <f>IF($F49="","",IF($H49="","Not rated",IF(OR($H49=Lists!$B$3,$H49=Lists!$B$5),IF(AND(LEFT(SUBSTITUTE($I49," ",""),LEN($F49)+1)=$F49&amp;"-",LEN(SUBSTITUTE($I49," ",""))&gt;LEN($F49)+1),"OK","Comment required"),"OK")))</f>
      </c>
    </row>
    <row r="50" spans="1:10" x14ac:dyDescent="0.25">
      <c r="A50" s="1"/>
      <c r="B50" s="20"/>
      <c r="C50" s="1"/>
      <c r="D50" s="1"/>
      <c r="E50" s="1"/>
      <c r="F50" s="1"/>
      <c r="G50" s="1"/>
      <c r="H50" s="1"/>
      <c r="I50" s="1"/>
      <c r="J50" s="1">
        <f>IF($F50="","",IF($H50="","Not rated",IF(OR($H50=Lists!$B$3,$H50=Lists!$B$5),IF(AND(LEFT(SUBSTITUTE($I50," ",""),LEN($F50)+1)=$F50&amp;"-",LEN(SUBSTITUTE($I50," ",""))&gt;LEN($F50)+1),"OK","Comment required"),"OK")))</f>
      </c>
    </row>
    <row r="51" spans="1:10" x14ac:dyDescent="0.25">
      <c r="A51" s="1"/>
      <c r="B51" s="20"/>
      <c r="C51" s="1"/>
      <c r="D51" s="1"/>
      <c r="E51" s="1"/>
      <c r="F51" s="1"/>
      <c r="G51" s="1"/>
      <c r="H51" s="1"/>
      <c r="I51" s="1"/>
      <c r="J51" s="1">
        <f>IF($F51="","",IF($H51="","Not rated",IF(OR($H51=Lists!$B$3,$H51=Lists!$B$5),IF(AND(LEFT(SUBSTITUTE($I51," ",""),LEN($F51)+1)=$F51&amp;"-",LEN(SUBSTITUTE($I51," ",""))&gt;LEN($F51)+1),"OK","Comment required"),"OK")))</f>
      </c>
    </row>
    <row r="52" spans="1:10" x14ac:dyDescent="0.25">
      <c r="A52" s="1"/>
      <c r="B52" s="20"/>
      <c r="C52" s="1"/>
      <c r="D52" s="1"/>
      <c r="E52" s="1"/>
      <c r="F52" s="1"/>
      <c r="G52" s="1"/>
      <c r="H52" s="1"/>
      <c r="I52" s="1"/>
      <c r="J52" s="1">
        <f>IF($F52="","",IF($H52="","Not rated",IF(OR($H52=Lists!$B$3,$H52=Lists!$B$5),IF(AND(LEFT(SUBSTITUTE($I52," ",""),LEN($F52)+1)=$F52&amp;"-",LEN(SUBSTITUTE($I52," ",""))&gt;LEN($F52)+1),"OK","Comment required"),"OK")))</f>
      </c>
    </row>
    <row r="53" spans="1:10" x14ac:dyDescent="0.25">
      <c r="A53" s="1"/>
      <c r="B53" s="20"/>
      <c r="C53" s="1"/>
      <c r="D53" s="1"/>
      <c r="E53" s="1"/>
      <c r="F53" s="1"/>
      <c r="G53" s="1"/>
      <c r="H53" s="1"/>
      <c r="I53" s="1"/>
      <c r="J53" s="1">
        <f>IF($F53="","",IF($H53="","Not rated",IF(OR($H53=Lists!$B$3,$H53=Lists!$B$5),IF(AND(LEFT(SUBSTITUTE($I53," ",""),LEN($F53)+1)=$F53&amp;"-",LEN(SUBSTITUTE($I53," ",""))&gt;LEN($F53)+1),"OK","Comment required"),"OK")))</f>
      </c>
    </row>
    <row r="54" spans="1:10" x14ac:dyDescent="0.25">
      <c r="A54" s="1"/>
      <c r="B54" s="20"/>
      <c r="C54" s="1"/>
      <c r="D54" s="1"/>
      <c r="E54" s="1"/>
      <c r="F54" s="1"/>
      <c r="G54" s="1"/>
      <c r="H54" s="1"/>
      <c r="I54" s="1"/>
      <c r="J54" s="1">
        <f>IF($F54="","",IF($H54="","Not rated",IF(OR($H54=Lists!$B$3,$H54=Lists!$B$5),IF(AND(LEFT(SUBSTITUTE($I54," ",""),LEN($F54)+1)=$F54&amp;"-",LEN(SUBSTITUTE($I54," ",""))&gt;LEN($F54)+1),"OK","Comment required"),"OK")))</f>
      </c>
    </row>
    <row r="55" spans="1:10" x14ac:dyDescent="0.25">
      <c r="A55" s="1"/>
      <c r="B55" s="20"/>
      <c r="C55" s="1"/>
      <c r="D55" s="1"/>
      <c r="E55" s="1"/>
      <c r="F55" s="1"/>
      <c r="G55" s="1"/>
      <c r="H55" s="1"/>
      <c r="I55" s="1"/>
      <c r="J55" s="1">
        <f>IF($F55="","",IF($H55="","Not rated",IF(OR($H55=Lists!$B$3,$H55=Lists!$B$5),IF(AND(LEFT(SUBSTITUTE($I55," ",""),LEN($F55)+1)=$F55&amp;"-",LEN(SUBSTITUTE($I55," ",""))&gt;LEN($F55)+1),"OK","Comment required"),"OK")))</f>
      </c>
    </row>
    <row r="56" spans="1:10" x14ac:dyDescent="0.25">
      <c r="A56" s="1"/>
      <c r="B56" s="20"/>
      <c r="C56" s="1"/>
      <c r="D56" s="1"/>
      <c r="E56" s="1"/>
      <c r="F56" s="1"/>
      <c r="G56" s="1"/>
      <c r="H56" s="1"/>
      <c r="I56" s="1"/>
      <c r="J56" s="1">
        <f>IF($F56="","",IF($H56="","Not rated",IF(OR($H56=Lists!$B$3,$H56=Lists!$B$5),IF(AND(LEFT(SUBSTITUTE($I56," ",""),LEN($F56)+1)=$F56&amp;"-",LEN(SUBSTITUTE($I56," ",""))&gt;LEN($F56)+1),"OK","Comment required"),"OK")))</f>
      </c>
    </row>
    <row r="57" spans="1:10" x14ac:dyDescent="0.25">
      <c r="A57" s="1"/>
      <c r="B57" s="20"/>
      <c r="C57" s="1"/>
      <c r="D57" s="1"/>
      <c r="E57" s="1"/>
      <c r="F57" s="1"/>
      <c r="G57" s="1"/>
      <c r="H57" s="1"/>
      <c r="I57" s="1"/>
      <c r="J57" s="1">
        <f>IF($F57="","",IF($H57="","Not rated",IF(OR($H57=Lists!$B$3,$H57=Lists!$B$5),IF(AND(LEFT(SUBSTITUTE($I57," ",""),LEN($F57)+1)=$F57&amp;"-",LEN(SUBSTITUTE($I57," ",""))&gt;LEN($F57)+1),"OK","Comment required"),"OK")))</f>
      </c>
    </row>
    <row r="58" spans="1:10" x14ac:dyDescent="0.25">
      <c r="A58" s="1"/>
      <c r="B58" s="20"/>
      <c r="C58" s="1"/>
      <c r="D58" s="1"/>
      <c r="E58" s="1"/>
      <c r="F58" s="1"/>
      <c r="G58" s="1"/>
      <c r="H58" s="1"/>
      <c r="I58" s="1"/>
      <c r="J58" s="1">
        <f>IF($F58="","",IF($H58="","Not rated",IF(OR($H58=Lists!$B$3,$H58=Lists!$B$5),IF(AND(LEFT(SUBSTITUTE($I58," ",""),LEN($F58)+1)=$F58&amp;"-",LEN(SUBSTITUTE($I58," ",""))&gt;LEN($F58)+1),"OK","Comment required"),"OK")))</f>
      </c>
    </row>
    <row r="59" spans="1:10" x14ac:dyDescent="0.25">
      <c r="A59" s="1"/>
      <c r="B59" s="20"/>
      <c r="C59" s="1"/>
      <c r="D59" s="1"/>
      <c r="E59" s="1"/>
      <c r="F59" s="1"/>
      <c r="G59" s="1"/>
      <c r="H59" s="1"/>
      <c r="I59" s="1"/>
      <c r="J59" s="1">
        <f>IF($F59="","",IF($H59="","Not rated",IF(OR($H59=Lists!$B$3,$H59=Lists!$B$5),IF(AND(LEFT(SUBSTITUTE($I59," ",""),LEN($F59)+1)=$F59&amp;"-",LEN(SUBSTITUTE($I59," ",""))&gt;LEN($F59)+1),"OK","Comment required"),"OK")))</f>
      </c>
    </row>
    <row r="60" spans="1:10" x14ac:dyDescent="0.25">
      <c r="A60" s="1"/>
      <c r="B60" s="20"/>
      <c r="C60" s="1"/>
      <c r="D60" s="1"/>
      <c r="E60" s="1"/>
      <c r="F60" s="1"/>
      <c r="G60" s="1"/>
      <c r="H60" s="1"/>
      <c r="I60" s="1"/>
      <c r="J60" s="1">
        <f>IF($F60="","",IF($H60="","Not rated",IF(OR($H60=Lists!$B$3,$H60=Lists!$B$5),IF(AND(LEFT(SUBSTITUTE($I60," ",""),LEN($F60)+1)=$F60&amp;"-",LEN(SUBSTITUTE($I60," ",""))&gt;LEN($F60)+1),"OK","Comment required"),"OK")))</f>
      </c>
    </row>
    <row r="61" spans="1:10" x14ac:dyDescent="0.25">
      <c r="A61" s="1"/>
      <c r="B61" s="20"/>
      <c r="C61" s="1"/>
      <c r="D61" s="1"/>
      <c r="E61" s="1"/>
      <c r="F61" s="1"/>
      <c r="G61" s="1"/>
      <c r="H61" s="1"/>
      <c r="I61" s="1"/>
      <c r="J61" s="1">
        <f>IF($F61="","",IF($H61="","Not rated",IF(OR($H61=Lists!$B$3,$H61=Lists!$B$5),IF(AND(LEFT(SUBSTITUTE($I61," ",""),LEN($F61)+1)=$F61&amp;"-",LEN(SUBSTITUTE($I61," ",""))&gt;LEN($F61)+1),"OK","Comment required"),"OK")))</f>
      </c>
    </row>
    <row r="62" spans="1:10" x14ac:dyDescent="0.25">
      <c r="A62" s="1"/>
      <c r="B62" s="20"/>
      <c r="C62" s="1"/>
      <c r="D62" s="1"/>
      <c r="E62" s="1"/>
      <c r="F62" s="1"/>
      <c r="G62" s="1"/>
      <c r="H62" s="1"/>
      <c r="I62" s="1"/>
      <c r="J62" s="1">
        <f>IF($F62="","",IF($H62="","Not rated",IF(OR($H62=Lists!$B$3,$H62=Lists!$B$5),IF(AND(LEFT(SUBSTITUTE($I62," ",""),LEN($F62)+1)=$F62&amp;"-",LEN(SUBSTITUTE($I62," ",""))&gt;LEN($F62)+1),"OK","Comment required"),"OK")))</f>
      </c>
    </row>
    <row r="63" spans="1:10" x14ac:dyDescent="0.25">
      <c r="A63" s="1"/>
      <c r="B63" s="20"/>
      <c r="C63" s="1"/>
      <c r="D63" s="1"/>
      <c r="E63" s="1"/>
      <c r="F63" s="1"/>
      <c r="G63" s="1"/>
      <c r="H63" s="1"/>
      <c r="I63" s="1"/>
      <c r="J63" s="1">
        <f>IF($F63="","",IF($H63="","Not rated",IF(OR($H63=Lists!$B$3,$H63=Lists!$B$5),IF(AND(LEFT(SUBSTITUTE($I63," ",""),LEN($F63)+1)=$F63&amp;"-",LEN(SUBSTITUTE($I63," ",""))&gt;LEN($F63)+1),"OK","Comment required"),"OK")))</f>
      </c>
    </row>
    <row r="64" spans="1:10" x14ac:dyDescent="0.25">
      <c r="A64" s="1"/>
      <c r="B64" s="20"/>
      <c r="C64" s="1"/>
      <c r="D64" s="1"/>
      <c r="E64" s="1"/>
      <c r="F64" s="1"/>
      <c r="G64" s="1"/>
      <c r="H64" s="1"/>
      <c r="I64" s="1"/>
      <c r="J64" s="1">
        <f>IF($F64="","",IF($H64="","Not rated",IF(OR($H64=Lists!$B$3,$H64=Lists!$B$5),IF(AND(LEFT(SUBSTITUTE($I64," ",""),LEN($F64)+1)=$F64&amp;"-",LEN(SUBSTITUTE($I64," ",""))&gt;LEN($F64)+1),"OK","Comment required"),"OK")))</f>
      </c>
    </row>
    <row r="65" spans="1:10" x14ac:dyDescent="0.25">
      <c r="A65" s="1"/>
      <c r="B65" s="20"/>
      <c r="C65" s="1"/>
      <c r="D65" s="1"/>
      <c r="E65" s="1"/>
      <c r="F65" s="1"/>
      <c r="G65" s="1"/>
      <c r="H65" s="1"/>
      <c r="I65" s="1"/>
      <c r="J65" s="1">
        <f>IF($F65="","",IF($H65="","Not rated",IF(OR($H65=Lists!$B$3,$H65=Lists!$B$5),IF(AND(LEFT(SUBSTITUTE($I65," ",""),LEN($F65)+1)=$F65&amp;"-",LEN(SUBSTITUTE($I65," ",""))&gt;LEN($F65)+1),"OK","Comment required"),"OK")))</f>
      </c>
    </row>
    <row r="66" spans="1:10" x14ac:dyDescent="0.25">
      <c r="A66" s="1"/>
      <c r="B66" s="20"/>
      <c r="C66" s="1"/>
      <c r="D66" s="1"/>
      <c r="E66" s="1"/>
      <c r="F66" s="1"/>
      <c r="G66" s="1"/>
      <c r="H66" s="1"/>
      <c r="I66" s="1"/>
      <c r="J66" s="1">
        <f>IF($F66="","",IF($H66="","Not rated",IF(OR($H66=Lists!$B$3,$H66=Lists!$B$5),IF(AND(LEFT(SUBSTITUTE($I66," ",""),LEN($F66)+1)=$F66&amp;"-",LEN(SUBSTITUTE($I66," ",""))&gt;LEN($F66)+1),"OK","Comment required"),"OK")))</f>
      </c>
    </row>
    <row r="67" spans="1:10" x14ac:dyDescent="0.25">
      <c r="A67" s="1"/>
      <c r="B67" s="20"/>
      <c r="C67" s="1"/>
      <c r="D67" s="1"/>
      <c r="E67" s="1"/>
      <c r="F67" s="1"/>
      <c r="G67" s="1"/>
      <c r="H67" s="1"/>
      <c r="I67" s="1"/>
      <c r="J67" s="1">
        <f>IF($F67="","",IF($H67="","Not rated",IF(OR($H67=Lists!$B$3,$H67=Lists!$B$5),IF(AND(LEFT(SUBSTITUTE($I67," ",""),LEN($F67)+1)=$F67&amp;"-",LEN(SUBSTITUTE($I67," ",""))&gt;LEN($F67)+1),"OK","Comment required"),"OK")))</f>
      </c>
    </row>
    <row r="68" spans="1:10" x14ac:dyDescent="0.25">
      <c r="A68" s="1"/>
      <c r="B68" s="20"/>
      <c r="C68" s="1"/>
      <c r="D68" s="1"/>
      <c r="E68" s="1"/>
      <c r="F68" s="1"/>
      <c r="G68" s="1"/>
      <c r="H68" s="1"/>
      <c r="I68" s="1"/>
      <c r="J68" s="1">
        <f>IF($F68="","",IF($H68="","Not rated",IF(OR($H68=Lists!$B$3,$H68=Lists!$B$5),IF(AND(LEFT(SUBSTITUTE($I68," ",""),LEN($F68)+1)=$F68&amp;"-",LEN(SUBSTITUTE($I68," ",""))&gt;LEN($F68)+1),"OK","Comment required"),"OK")))</f>
      </c>
    </row>
    <row r="69" spans="1:10" x14ac:dyDescent="0.25">
      <c r="A69" s="1"/>
      <c r="B69" s="20"/>
      <c r="C69" s="1"/>
      <c r="D69" s="1"/>
      <c r="E69" s="1"/>
      <c r="F69" s="1"/>
      <c r="G69" s="1"/>
      <c r="H69" s="1"/>
      <c r="I69" s="1"/>
      <c r="J69" s="1">
        <f>IF($F69="","",IF($H69="","Not rated",IF(OR($H69=Lists!$B$3,$H69=Lists!$B$5),IF(AND(LEFT(SUBSTITUTE($I69," ",""),LEN($F69)+1)=$F69&amp;"-",LEN(SUBSTITUTE($I69," ",""))&gt;LEN($F69)+1),"OK","Comment required"),"OK")))</f>
      </c>
    </row>
    <row r="70" spans="1:10" x14ac:dyDescent="0.25">
      <c r="A70" s="1"/>
      <c r="B70" s="20"/>
      <c r="C70" s="1"/>
      <c r="D70" s="1"/>
      <c r="E70" s="1"/>
      <c r="F70" s="1"/>
      <c r="G70" s="1"/>
      <c r="H70" s="1"/>
      <c r="I70" s="1"/>
      <c r="J70" s="1">
        <f>IF($F70="","",IF($H70="","Not rated",IF(OR($H70=Lists!$B$3,$H70=Lists!$B$5),IF(AND(LEFT(SUBSTITUTE($I70," ",""),LEN($F70)+1)=$F70&amp;"-",LEN(SUBSTITUTE($I70," ",""))&gt;LEN($F70)+1),"OK","Comment required"),"OK")))</f>
      </c>
    </row>
    <row r="71" spans="1:10" x14ac:dyDescent="0.25">
      <c r="A71" s="1"/>
      <c r="B71" s="20"/>
      <c r="C71" s="1"/>
      <c r="D71" s="1"/>
      <c r="E71" s="1"/>
      <c r="F71" s="1"/>
      <c r="G71" s="1"/>
      <c r="H71" s="1"/>
      <c r="I71" s="1"/>
      <c r="J71" s="1">
        <f>IF($F71="","",IF($H71="","Not rated",IF(OR($H71=Lists!$B$3,$H71=Lists!$B$5),IF(AND(LEFT(SUBSTITUTE($I71," ",""),LEN($F71)+1)=$F71&amp;"-",LEN(SUBSTITUTE($I71," ",""))&gt;LEN($F71)+1),"OK","Comment required"),"OK")))</f>
      </c>
    </row>
    <row r="72" spans="1:10" x14ac:dyDescent="0.25">
      <c r="A72" s="1"/>
      <c r="B72" s="20"/>
      <c r="C72" s="1"/>
      <c r="D72" s="1"/>
      <c r="E72" s="1"/>
      <c r="F72" s="1"/>
      <c r="G72" s="1"/>
      <c r="H72" s="1"/>
      <c r="I72" s="1"/>
      <c r="J72" s="1">
        <f>IF($F72="","",IF($H72="","Not rated",IF(OR($H72=Lists!$B$3,$H72=Lists!$B$5),IF(AND(LEFT(SUBSTITUTE($I72," ",""),LEN($F72)+1)=$F72&amp;"-",LEN(SUBSTITUTE($I72," ",""))&gt;LEN($F72)+1),"OK","Comment required"),"OK")))</f>
      </c>
    </row>
    <row r="73" spans="1:10" x14ac:dyDescent="0.25">
      <c r="A73" s="1"/>
      <c r="B73" s="20"/>
      <c r="C73" s="1"/>
      <c r="D73" s="1"/>
      <c r="E73" s="1"/>
      <c r="F73" s="1"/>
      <c r="G73" s="1"/>
      <c r="H73" s="1"/>
      <c r="I73" s="1"/>
      <c r="J73" s="1">
        <f>IF($F73="","",IF($H73="","Not rated",IF(OR($H73=Lists!$B$3,$H73=Lists!$B$5),IF(AND(LEFT(SUBSTITUTE($I73," ",""),LEN($F73)+1)=$F73&amp;"-",LEN(SUBSTITUTE($I73," ",""))&gt;LEN($F73)+1),"OK","Comment required"),"OK")))</f>
      </c>
    </row>
    <row r="74" spans="1:10" x14ac:dyDescent="0.25">
      <c r="A74" s="1"/>
      <c r="B74" s="20"/>
      <c r="C74" s="1"/>
      <c r="D74" s="1"/>
      <c r="E74" s="1"/>
      <c r="F74" s="1"/>
      <c r="G74" s="1"/>
      <c r="H74" s="1"/>
      <c r="I74" s="1"/>
      <c r="J74" s="1">
        <f>IF($F74="","",IF($H74="","Not rated",IF(OR($H74=Lists!$B$3,$H74=Lists!$B$5),IF(AND(LEFT(SUBSTITUTE($I74," ",""),LEN($F74)+1)=$F74&amp;"-",LEN(SUBSTITUTE($I74," ",""))&gt;LEN($F74)+1),"OK","Comment required"),"OK")))</f>
      </c>
    </row>
    <row r="75" spans="1:10" x14ac:dyDescent="0.25">
      <c r="A75" s="1"/>
      <c r="B75" s="20"/>
      <c r="C75" s="1"/>
      <c r="D75" s="1"/>
      <c r="E75" s="1"/>
      <c r="F75" s="1"/>
      <c r="G75" s="1"/>
      <c r="H75" s="1"/>
      <c r="I75" s="1"/>
      <c r="J75" s="1">
        <f>IF($F75="","",IF($H75="","Not rated",IF(OR($H75=Lists!$B$3,$H75=Lists!$B$5),IF(AND(LEFT(SUBSTITUTE($I75," ",""),LEN($F75)+1)=$F75&amp;"-",LEN(SUBSTITUTE($I75," ",""))&gt;LEN($F75)+1),"OK","Comment required"),"OK")))</f>
      </c>
    </row>
    <row r="76" spans="1:10" x14ac:dyDescent="0.25">
      <c r="A76" s="1"/>
      <c r="B76" s="20"/>
      <c r="C76" s="1"/>
      <c r="D76" s="1"/>
      <c r="E76" s="1"/>
      <c r="F76" s="1"/>
      <c r="G76" s="1"/>
      <c r="H76" s="1"/>
      <c r="I76" s="1"/>
      <c r="J76" s="1">
        <f>IF($F76="","",IF($H76="","Not rated",IF(OR($H76=Lists!$B$3,$H76=Lists!$B$5),IF(AND(LEFT(SUBSTITUTE($I76," ",""),LEN($F76)+1)=$F76&amp;"-",LEN(SUBSTITUTE($I76," ",""))&gt;LEN($F76)+1),"OK","Comment required"),"OK")))</f>
      </c>
    </row>
    <row r="77" spans="1:10" x14ac:dyDescent="0.25">
      <c r="A77" s="1"/>
      <c r="B77" s="20"/>
      <c r="C77" s="1"/>
      <c r="D77" s="1"/>
      <c r="E77" s="1"/>
      <c r="F77" s="1"/>
      <c r="G77" s="1"/>
      <c r="H77" s="1"/>
      <c r="I77" s="1"/>
      <c r="J77" s="1">
        <f>IF($F77="","",IF($H77="","Not rated",IF(OR($H77=Lists!$B$3,$H77=Lists!$B$5),IF(AND(LEFT(SUBSTITUTE($I77," ",""),LEN($F77)+1)=$F77&amp;"-",LEN(SUBSTITUTE($I77," ",""))&gt;LEN($F77)+1),"OK","Comment required"),"OK")))</f>
      </c>
    </row>
    <row r="78" spans="1:10" x14ac:dyDescent="0.25">
      <c r="A78" s="1"/>
      <c r="B78" s="20"/>
      <c r="C78" s="1"/>
      <c r="D78" s="1"/>
      <c r="E78" s="1"/>
      <c r="F78" s="1"/>
      <c r="G78" s="1"/>
      <c r="H78" s="1"/>
      <c r="I78" s="1"/>
      <c r="J78" s="1">
        <f>IF($F78="","",IF($H78="","Not rated",IF(OR($H78=Lists!$B$3,$H78=Lists!$B$5),IF(AND(LEFT(SUBSTITUTE($I78," ",""),LEN($F78)+1)=$F78&amp;"-",LEN(SUBSTITUTE($I78," ",""))&gt;LEN($F78)+1),"OK","Comment required"),"OK")))</f>
      </c>
    </row>
    <row r="79" spans="1:10" x14ac:dyDescent="0.25">
      <c r="A79" s="1"/>
      <c r="B79" s="20"/>
      <c r="C79" s="1"/>
      <c r="D79" s="1"/>
      <c r="E79" s="1"/>
      <c r="F79" s="1"/>
      <c r="G79" s="1"/>
      <c r="H79" s="1"/>
      <c r="I79" s="1"/>
      <c r="J79" s="1">
        <f>IF($F79="","",IF($H79="","Not rated",IF(OR($H79=Lists!$B$3,$H79=Lists!$B$5),IF(AND(LEFT(SUBSTITUTE($I79," ",""),LEN($F79)+1)=$F79&amp;"-",LEN(SUBSTITUTE($I79," ",""))&gt;LEN($F79)+1),"OK","Comment required"),"OK")))</f>
      </c>
    </row>
    <row r="80" spans="1:10" x14ac:dyDescent="0.25">
      <c r="A80" s="1"/>
      <c r="B80" s="20"/>
      <c r="C80" s="1"/>
      <c r="D80" s="1"/>
      <c r="E80" s="1"/>
      <c r="F80" s="1"/>
      <c r="G80" s="1"/>
      <c r="H80" s="1"/>
      <c r="I80" s="1"/>
      <c r="J80" s="1">
        <f>IF($F80="","",IF($H80="","Not rated",IF(OR($H80=Lists!$B$3,$H80=Lists!$B$5),IF(AND(LEFT(SUBSTITUTE($I80," ",""),LEN($F80)+1)=$F80&amp;"-",LEN(SUBSTITUTE($I80," ",""))&gt;LEN($F80)+1),"OK","Comment required"),"OK")))</f>
      </c>
    </row>
    <row r="81" spans="1:10" x14ac:dyDescent="0.25">
      <c r="A81" s="1"/>
      <c r="B81" s="20"/>
      <c r="C81" s="1"/>
      <c r="D81" s="1"/>
      <c r="E81" s="1"/>
      <c r="F81" s="1"/>
      <c r="G81" s="1"/>
      <c r="H81" s="1"/>
      <c r="I81" s="1"/>
      <c r="J81" s="1">
        <f>IF($F81="","",IF($H81="","Not rated",IF(OR($H81=Lists!$B$3,$H81=Lists!$B$5),IF(AND(LEFT(SUBSTITUTE($I81," ",""),LEN($F81)+1)=$F81&amp;"-",LEN(SUBSTITUTE($I81," ",""))&gt;LEN($F81)+1),"OK","Comment required"),"OK")))</f>
      </c>
    </row>
    <row r="82" spans="1:10" x14ac:dyDescent="0.25">
      <c r="A82" s="1"/>
      <c r="B82" s="20"/>
      <c r="C82" s="1"/>
      <c r="D82" s="1"/>
      <c r="E82" s="1"/>
      <c r="F82" s="1"/>
      <c r="G82" s="1"/>
      <c r="H82" s="1"/>
      <c r="I82" s="1"/>
      <c r="J82" s="1">
        <f>IF($F82="","",IF($H82="","Not rated",IF(OR($H82=Lists!$B$3,$H82=Lists!$B$5),IF(AND(LEFT(SUBSTITUTE($I82," ",""),LEN($F82)+1)=$F82&amp;"-",LEN(SUBSTITUTE($I82," ",""))&gt;LEN($F82)+1),"OK","Comment required"),"OK")))</f>
      </c>
    </row>
    <row r="83" spans="1:10" x14ac:dyDescent="0.25">
      <c r="A83" s="1"/>
      <c r="B83" s="20"/>
      <c r="C83" s="1"/>
      <c r="D83" s="1"/>
      <c r="E83" s="1"/>
      <c r="F83" s="1"/>
      <c r="G83" s="1"/>
      <c r="H83" s="1"/>
      <c r="I83" s="1"/>
      <c r="J83" s="1">
        <f>IF($F83="","",IF($H83="","Not rated",IF(OR($H83=Lists!$B$3,$H83=Lists!$B$5),IF(AND(LEFT(SUBSTITUTE($I83," ",""),LEN($F83)+1)=$F83&amp;"-",LEN(SUBSTITUTE($I83," ",""))&gt;LEN($F83)+1),"OK","Comment required"),"OK")))</f>
      </c>
    </row>
    <row r="84" spans="1:10" x14ac:dyDescent="0.25">
      <c r="A84" s="1"/>
      <c r="B84" s="20"/>
      <c r="C84" s="1"/>
      <c r="D84" s="1"/>
      <c r="E84" s="1"/>
      <c r="F84" s="1"/>
      <c r="G84" s="1"/>
      <c r="H84" s="1"/>
      <c r="I84" s="1"/>
      <c r="J84" s="1">
        <f>IF($F84="","",IF($H84="","Not rated",IF(OR($H84=Lists!$B$3,$H84=Lists!$B$5),IF(AND(LEFT(SUBSTITUTE($I84," ",""),LEN($F84)+1)=$F84&amp;"-",LEN(SUBSTITUTE($I84," ",""))&gt;LEN($F84)+1),"OK","Comment required"),"OK")))</f>
      </c>
    </row>
    <row r="85" spans="1:10" x14ac:dyDescent="0.25">
      <c r="A85" s="1"/>
      <c r="B85" s="20"/>
      <c r="C85" s="1"/>
      <c r="D85" s="1"/>
      <c r="E85" s="1"/>
      <c r="F85" s="1"/>
      <c r="G85" s="1"/>
      <c r="H85" s="1"/>
      <c r="I85" s="1"/>
      <c r="J85" s="1">
        <f>IF($F85="","",IF($H85="","Not rated",IF(OR($H85=Lists!$B$3,$H85=Lists!$B$5),IF(AND(LEFT(SUBSTITUTE($I85," ",""),LEN($F85)+1)=$F85&amp;"-",LEN(SUBSTITUTE($I85," ",""))&gt;LEN($F85)+1),"OK","Comment required"),"OK")))</f>
      </c>
    </row>
    <row r="86" spans="1:10" x14ac:dyDescent="0.25">
      <c r="A86" s="1"/>
      <c r="B86" s="20"/>
      <c r="C86" s="1"/>
      <c r="D86" s="1"/>
      <c r="E86" s="1"/>
      <c r="F86" s="1"/>
      <c r="G86" s="1"/>
      <c r="H86" s="1"/>
      <c r="I86" s="1"/>
      <c r="J86" s="1">
        <f>IF($F86="","",IF($H86="","Not rated",IF(OR($H86=Lists!$B$3,$H86=Lists!$B$5),IF(AND(LEFT(SUBSTITUTE($I86," ",""),LEN($F86)+1)=$F86&amp;"-",LEN(SUBSTITUTE($I86," ",""))&gt;LEN($F86)+1),"OK","Comment required"),"OK")))</f>
      </c>
    </row>
    <row r="87" spans="1:10" x14ac:dyDescent="0.25">
      <c r="A87" s="1"/>
      <c r="B87" s="20"/>
      <c r="C87" s="1"/>
      <c r="D87" s="1"/>
      <c r="E87" s="1"/>
      <c r="F87" s="1"/>
      <c r="G87" s="1"/>
      <c r="H87" s="1"/>
      <c r="I87" s="1"/>
      <c r="J87" s="1">
        <f>IF($F87="","",IF($H87="","Not rated",IF(OR($H87=Lists!$B$3,$H87=Lists!$B$5),IF(AND(LEFT(SUBSTITUTE($I87," ",""),LEN($F87)+1)=$F87&amp;"-",LEN(SUBSTITUTE($I87," ",""))&gt;LEN($F87)+1),"OK","Comment required"),"OK")))</f>
      </c>
    </row>
    <row r="88" spans="1:10" x14ac:dyDescent="0.25">
      <c r="A88" s="1"/>
      <c r="B88" s="20"/>
      <c r="C88" s="1"/>
      <c r="D88" s="1"/>
      <c r="E88" s="1"/>
      <c r="F88" s="1"/>
      <c r="G88" s="1"/>
      <c r="H88" s="1"/>
      <c r="I88" s="1"/>
      <c r="J88" s="1">
        <f>IF($F88="","",IF($H88="","Not rated",IF(OR($H88=Lists!$B$3,$H88=Lists!$B$5),IF(AND(LEFT(SUBSTITUTE($I88," ",""),LEN($F88)+1)=$F88&amp;"-",LEN(SUBSTITUTE($I88," ",""))&gt;LEN($F88)+1),"OK","Comment required"),"OK")))</f>
      </c>
    </row>
    <row r="89" spans="1:10" x14ac:dyDescent="0.25">
      <c r="A89" s="1"/>
      <c r="B89" s="20"/>
      <c r="C89" s="1"/>
      <c r="D89" s="1"/>
      <c r="E89" s="1"/>
      <c r="F89" s="1"/>
      <c r="G89" s="1"/>
      <c r="H89" s="1"/>
      <c r="I89" s="1"/>
      <c r="J89" s="1">
        <f>IF($F89="","",IF($H89="","Not rated",IF(OR($H89=Lists!$B$3,$H89=Lists!$B$5),IF(AND(LEFT(SUBSTITUTE($I89," ",""),LEN($F89)+1)=$F89&amp;"-",LEN(SUBSTITUTE($I89," ",""))&gt;LEN($F89)+1),"OK","Comment required"),"OK")))</f>
      </c>
    </row>
    <row r="90" spans="1:10" x14ac:dyDescent="0.25">
      <c r="A90" s="1"/>
      <c r="B90" s="20"/>
      <c r="C90" s="1"/>
      <c r="D90" s="1"/>
      <c r="E90" s="1"/>
      <c r="F90" s="1"/>
      <c r="G90" s="1"/>
      <c r="H90" s="1"/>
      <c r="I90" s="1"/>
      <c r="J90" s="1">
        <f>IF($F90="","",IF($H90="","Not rated",IF(OR($H90=Lists!$B$3,$H90=Lists!$B$5),IF(AND(LEFT(SUBSTITUTE($I90," ",""),LEN($F90)+1)=$F90&amp;"-",LEN(SUBSTITUTE($I90," ",""))&gt;LEN($F90)+1),"OK","Comment required"),"OK")))</f>
      </c>
    </row>
    <row r="91" spans="1:10" x14ac:dyDescent="0.25">
      <c r="A91" s="1"/>
      <c r="B91" s="20"/>
      <c r="C91" s="1"/>
      <c r="D91" s="1"/>
      <c r="E91" s="1"/>
      <c r="F91" s="1"/>
      <c r="G91" s="1"/>
      <c r="H91" s="1"/>
      <c r="I91" s="1"/>
      <c r="J91" s="1">
        <f>IF($F91="","",IF($H91="","Not rated",IF(OR($H91=Lists!$B$3,$H91=Lists!$B$5),IF(AND(LEFT(SUBSTITUTE($I91," ",""),LEN($F91)+1)=$F91&amp;"-",LEN(SUBSTITUTE($I91," ",""))&gt;LEN($F91)+1),"OK","Comment required"),"OK")))</f>
      </c>
    </row>
    <row r="92" spans="1:10" x14ac:dyDescent="0.25">
      <c r="A92" s="1"/>
      <c r="B92" s="20"/>
      <c r="C92" s="1"/>
      <c r="D92" s="1"/>
      <c r="E92" s="1"/>
      <c r="F92" s="1"/>
      <c r="G92" s="1"/>
      <c r="H92" s="1"/>
      <c r="I92" s="1"/>
      <c r="J92" s="1">
        <f>IF($F92="","",IF($H92="","Not rated",IF(OR($H92=Lists!$B$3,$H92=Lists!$B$5),IF(AND(LEFT(SUBSTITUTE($I92," ",""),LEN($F92)+1)=$F92&amp;"-",LEN(SUBSTITUTE($I92," ",""))&gt;LEN($F92)+1),"OK","Comment required"),"OK")))</f>
      </c>
    </row>
    <row r="93" spans="1:10" x14ac:dyDescent="0.25">
      <c r="A93" s="1"/>
      <c r="B93" s="20"/>
      <c r="C93" s="1"/>
      <c r="D93" s="1"/>
      <c r="E93" s="1"/>
      <c r="F93" s="1"/>
      <c r="G93" s="1"/>
      <c r="H93" s="1"/>
      <c r="I93" s="1"/>
      <c r="J93" s="1">
        <f>IF($F93="","",IF($H93="","Not rated",IF(OR($H93=Lists!$B$3,$H93=Lists!$B$5),IF(AND(LEFT(SUBSTITUTE($I93," ",""),LEN($F93)+1)=$F93&amp;"-",LEN(SUBSTITUTE($I93," ",""))&gt;LEN($F93)+1),"OK","Comment required"),"OK")))</f>
      </c>
    </row>
    <row r="94" spans="1:10" x14ac:dyDescent="0.25">
      <c r="A94" s="1"/>
      <c r="B94" s="20"/>
      <c r="C94" s="1"/>
      <c r="D94" s="1"/>
      <c r="E94" s="1"/>
      <c r="F94" s="1"/>
      <c r="G94" s="1"/>
      <c r="H94" s="1"/>
      <c r="I94" s="1"/>
      <c r="J94" s="1">
        <f>IF($F94="","",IF($H94="","Not rated",IF(OR($H94=Lists!$B$3,$H94=Lists!$B$5),IF(AND(LEFT(SUBSTITUTE($I94," ",""),LEN($F94)+1)=$F94&amp;"-",LEN(SUBSTITUTE($I94," ",""))&gt;LEN($F94)+1),"OK","Comment required"),"OK")))</f>
      </c>
    </row>
    <row r="95" spans="1:10" x14ac:dyDescent="0.25">
      <c r="A95" s="1"/>
      <c r="B95" s="20"/>
      <c r="C95" s="1"/>
      <c r="D95" s="1"/>
      <c r="E95" s="1"/>
      <c r="F95" s="1"/>
      <c r="G95" s="1"/>
      <c r="H95" s="1"/>
      <c r="I95" s="1"/>
      <c r="J95" s="1">
        <f>IF($F95="","",IF($H95="","Not rated",IF(OR($H95=Lists!$B$3,$H95=Lists!$B$5),IF(AND(LEFT(SUBSTITUTE($I95," ",""),LEN($F95)+1)=$F95&amp;"-",LEN(SUBSTITUTE($I95," ",""))&gt;LEN($F95)+1),"OK","Comment required"),"OK")))</f>
      </c>
    </row>
    <row r="96" spans="1:10" x14ac:dyDescent="0.25">
      <c r="A96" s="1"/>
      <c r="B96" s="20"/>
      <c r="C96" s="1"/>
      <c r="D96" s="1"/>
      <c r="E96" s="1"/>
      <c r="F96" s="1"/>
      <c r="G96" s="1"/>
      <c r="H96" s="1"/>
      <c r="I96" s="1"/>
      <c r="J96" s="1">
        <f>IF($F96="","",IF($H96="","Not rated",IF(OR($H96=Lists!$B$3,$H96=Lists!$B$5),IF(AND(LEFT(SUBSTITUTE($I96," ",""),LEN($F96)+1)=$F96&amp;"-",LEN(SUBSTITUTE($I96," ",""))&gt;LEN($F96)+1),"OK","Comment required"),"OK")))</f>
      </c>
    </row>
    <row r="97" spans="1:10" x14ac:dyDescent="0.25">
      <c r="A97" s="1"/>
      <c r="B97" s="20"/>
      <c r="C97" s="1"/>
      <c r="D97" s="1"/>
      <c r="E97" s="1"/>
      <c r="F97" s="1"/>
      <c r="G97" s="1"/>
      <c r="H97" s="1"/>
      <c r="I97" s="1"/>
      <c r="J97" s="1">
        <f>IF($F97="","",IF($H97="","Not rated",IF(OR($H97=Lists!$B$3,$H97=Lists!$B$5),IF(AND(LEFT(SUBSTITUTE($I97," ",""),LEN($F97)+1)=$F97&amp;"-",LEN(SUBSTITUTE($I97," ",""))&gt;LEN($F97)+1),"OK","Comment required"),"OK")))</f>
      </c>
    </row>
    <row r="98" spans="1:10" x14ac:dyDescent="0.25">
      <c r="A98" s="1"/>
      <c r="B98" s="20"/>
      <c r="C98" s="1"/>
      <c r="D98" s="1"/>
      <c r="E98" s="1"/>
      <c r="F98" s="1"/>
      <c r="G98" s="1"/>
      <c r="H98" s="1"/>
      <c r="I98" s="1"/>
      <c r="J98" s="1">
        <f>IF($F98="","",IF($H98="","Not rated",IF(OR($H98=Lists!$B$3,$H98=Lists!$B$5),IF(AND(LEFT(SUBSTITUTE($I98," ",""),LEN($F98)+1)=$F98&amp;"-",LEN(SUBSTITUTE($I98," ",""))&gt;LEN($F98)+1),"OK","Comment required"),"OK")))</f>
      </c>
    </row>
    <row r="99" spans="1:10" x14ac:dyDescent="0.25">
      <c r="A99" s="1"/>
      <c r="B99" s="20"/>
      <c r="C99" s="1"/>
      <c r="D99" s="1"/>
      <c r="E99" s="1"/>
      <c r="F99" s="1"/>
      <c r="G99" s="1"/>
      <c r="H99" s="1"/>
      <c r="I99" s="1"/>
      <c r="J99" s="1">
        <f>IF($F99="","",IF($H99="","Not rated",IF(OR($H99=Lists!$B$3,$H99=Lists!$B$5),IF(AND(LEFT(SUBSTITUTE($I99," ",""),LEN($F99)+1)=$F99&amp;"-",LEN(SUBSTITUTE($I99," ",""))&gt;LEN($F99)+1),"OK","Comment required"),"OK")))</f>
      </c>
    </row>
    <row r="100" spans="1:10" x14ac:dyDescent="0.25">
      <c r="A100" s="1"/>
      <c r="B100" s="20"/>
      <c r="C100" s="1"/>
      <c r="D100" s="1"/>
      <c r="E100" s="1"/>
      <c r="F100" s="1"/>
      <c r="G100" s="1"/>
      <c r="H100" s="1"/>
      <c r="I100" s="1"/>
      <c r="J100" s="1">
        <f>IF($F100="","",IF($H100="","Not rated",IF(OR($H100=Lists!$B$3,$H100=Lists!$B$5),IF(AND(LEFT(SUBSTITUTE($I100," ",""),LEN($F100)+1)=$F100&amp;"-",LEN(SUBSTITUTE($I100," ",""))&gt;LEN($F100)+1),"OK","Comment required"),"OK")))</f>
      </c>
    </row>
    <row r="101" spans="1:10" x14ac:dyDescent="0.25">
      <c r="A101" s="1"/>
      <c r="B101" s="20"/>
      <c r="C101" s="1"/>
      <c r="D101" s="1"/>
      <c r="E101" s="1"/>
      <c r="F101" s="1"/>
      <c r="G101" s="1"/>
      <c r="H101" s="1"/>
      <c r="I101" s="1"/>
      <c r="J101" s="1">
        <f>IF($F101="","",IF($H101="","Not rated",IF(OR($H101=Lists!$B$3,$H101=Lists!$B$5),IF(AND(LEFT(SUBSTITUTE($I101," ",""),LEN($F101)+1)=$F101&amp;"-",LEN(SUBSTITUTE($I101," ",""))&gt;LEN($F101)+1),"OK","Comment required"),"OK")))</f>
      </c>
    </row>
    <row r="102" spans="1:10" x14ac:dyDescent="0.25">
      <c r="A102" s="1"/>
      <c r="B102" s="20"/>
      <c r="C102" s="1"/>
      <c r="D102" s="1"/>
      <c r="E102" s="1"/>
      <c r="F102" s="1"/>
      <c r="G102" s="1"/>
      <c r="H102" s="1"/>
      <c r="I102" s="1"/>
      <c r="J102" s="1">
        <f>IF($F102="","",IF($H102="","Not rated",IF(OR($H102=Lists!$B$3,$H102=Lists!$B$5),IF(AND(LEFT(SUBSTITUTE($I102," ",""),LEN($F102)+1)=$F102&amp;"-",LEN(SUBSTITUTE($I102," ",""))&gt;LEN($F102)+1),"OK","Comment required"),"OK")))</f>
      </c>
    </row>
    <row r="103" spans="1:10" x14ac:dyDescent="0.25">
      <c r="A103" s="1"/>
      <c r="B103" s="20"/>
      <c r="C103" s="1"/>
      <c r="D103" s="1"/>
      <c r="E103" s="1"/>
      <c r="F103" s="1"/>
      <c r="G103" s="1"/>
      <c r="H103" s="1"/>
      <c r="I103" s="1"/>
      <c r="J103" s="1">
        <f>IF($F103="","",IF($H103="","Not rated",IF(OR($H103=Lists!$B$3,$H103=Lists!$B$5),IF(AND(LEFT(SUBSTITUTE($I103," ",""),LEN($F103)+1)=$F103&amp;"-",LEN(SUBSTITUTE($I103," ",""))&gt;LEN($F103)+1),"OK","Comment required"),"OK")))</f>
      </c>
    </row>
    <row r="104" spans="1:10" x14ac:dyDescent="0.25">
      <c r="A104" s="1"/>
      <c r="B104" s="20"/>
      <c r="C104" s="1"/>
      <c r="D104" s="1"/>
      <c r="E104" s="1"/>
      <c r="F104" s="1"/>
      <c r="G104" s="1"/>
      <c r="H104" s="1"/>
      <c r="I104" s="1"/>
      <c r="J104" s="1">
        <f>IF($F104="","",IF($H104="","Not rated",IF(OR($H104=Lists!$B$3,$H104=Lists!$B$5),IF(AND(LEFT(SUBSTITUTE($I104," ",""),LEN($F104)+1)=$F104&amp;"-",LEN(SUBSTITUTE($I104," ",""))&gt;LEN($F104)+1),"OK","Comment required"),"OK")))</f>
      </c>
    </row>
    <row r="105" spans="1:10" x14ac:dyDescent="0.25">
      <c r="A105" s="1"/>
      <c r="B105" s="20"/>
      <c r="C105" s="1"/>
      <c r="D105" s="1"/>
      <c r="E105" s="1"/>
      <c r="F105" s="1"/>
      <c r="G105" s="1"/>
      <c r="H105" s="1"/>
      <c r="I105" s="1"/>
      <c r="J105" s="1">
        <f>IF($F105="","",IF($H105="","Not rated",IF(OR($H105=Lists!$B$3,$H105=Lists!$B$5),IF(AND(LEFT(SUBSTITUTE($I105," ",""),LEN($F105)+1)=$F105&amp;"-",LEN(SUBSTITUTE($I105," ",""))&gt;LEN($F105)+1),"OK","Comment required"),"OK")))</f>
      </c>
    </row>
    <row r="106" spans="1:10" x14ac:dyDescent="0.25">
      <c r="A106" s="1"/>
      <c r="B106" s="20"/>
      <c r="C106" s="1"/>
      <c r="D106" s="1"/>
      <c r="E106" s="1"/>
      <c r="F106" s="1"/>
      <c r="G106" s="1"/>
      <c r="H106" s="1"/>
      <c r="I106" s="1"/>
      <c r="J106" s="1">
        <f>IF($F106="","",IF($H106="","Not rated",IF(OR($H106=Lists!$B$3,$H106=Lists!$B$5),IF(AND(LEFT(SUBSTITUTE($I106," ",""),LEN($F106)+1)=$F106&amp;"-",LEN(SUBSTITUTE($I106," ",""))&gt;LEN($F106)+1),"OK","Comment required"),"OK")))</f>
      </c>
    </row>
    <row r="107" spans="1:10" x14ac:dyDescent="0.25">
      <c r="A107" s="1"/>
      <c r="B107" s="20"/>
      <c r="C107" s="1"/>
      <c r="D107" s="1"/>
      <c r="E107" s="1"/>
      <c r="F107" s="1"/>
      <c r="G107" s="1"/>
      <c r="H107" s="1"/>
      <c r="I107" s="1"/>
      <c r="J107" s="1">
        <f>IF($F107="","",IF($H107="","Not rated",IF(OR($H107=Lists!$B$3,$H107=Lists!$B$5),IF(AND(LEFT(SUBSTITUTE($I107," ",""),LEN($F107)+1)=$F107&amp;"-",LEN(SUBSTITUTE($I107," ",""))&gt;LEN($F107)+1),"OK","Comment required"),"OK")))</f>
      </c>
    </row>
    <row r="108" spans="1:10" x14ac:dyDescent="0.25">
      <c r="A108" s="1"/>
      <c r="B108" s="20"/>
      <c r="C108" s="1"/>
      <c r="D108" s="1"/>
      <c r="E108" s="1"/>
      <c r="F108" s="1"/>
      <c r="G108" s="1"/>
      <c r="H108" s="1"/>
      <c r="I108" s="1"/>
      <c r="J108" s="1">
        <f>IF($F108="","",IF($H108="","Not rated",IF(OR($H108=Lists!$B$3,$H108=Lists!$B$5),IF(AND(LEFT(SUBSTITUTE($I108," ",""),LEN($F108)+1)=$F108&amp;"-",LEN(SUBSTITUTE($I108," ",""))&gt;LEN($F108)+1),"OK","Comment required"),"OK")))</f>
      </c>
    </row>
    <row r="109" spans="1:10" x14ac:dyDescent="0.25">
      <c r="A109" s="1"/>
      <c r="B109" s="20"/>
      <c r="C109" s="1"/>
      <c r="D109" s="1"/>
      <c r="E109" s="1"/>
      <c r="F109" s="1"/>
      <c r="G109" s="1"/>
      <c r="H109" s="1"/>
      <c r="I109" s="1"/>
      <c r="J109" s="1">
        <f>IF($F109="","",IF($H109="","Not rated",IF(OR($H109=Lists!$B$3,$H109=Lists!$B$5),IF(AND(LEFT(SUBSTITUTE($I109," ",""),LEN($F109)+1)=$F109&amp;"-",LEN(SUBSTITUTE($I109," ",""))&gt;LEN($F109)+1),"OK","Comment required"),"OK")))</f>
      </c>
    </row>
    <row r="110" spans="1:10" x14ac:dyDescent="0.25">
      <c r="A110" s="1"/>
      <c r="B110" s="20"/>
      <c r="C110" s="1"/>
      <c r="D110" s="1"/>
      <c r="E110" s="1"/>
      <c r="F110" s="1"/>
      <c r="G110" s="1"/>
      <c r="H110" s="1"/>
      <c r="I110" s="1"/>
      <c r="J110" s="1">
        <f>IF($F110="","",IF($H110="","Not rated",IF(OR($H110=Lists!$B$3,$H110=Lists!$B$5),IF(AND(LEFT(SUBSTITUTE($I110," ",""),LEN($F110)+1)=$F110&amp;"-",LEN(SUBSTITUTE($I110," ",""))&gt;LEN($F110)+1),"OK","Comment required"),"OK")))</f>
      </c>
    </row>
    <row r="111" spans="1:10" x14ac:dyDescent="0.25">
      <c r="A111" s="1"/>
      <c r="B111" s="20"/>
      <c r="C111" s="1"/>
      <c r="D111" s="1"/>
      <c r="E111" s="1"/>
      <c r="F111" s="1"/>
      <c r="G111" s="1"/>
      <c r="H111" s="1"/>
      <c r="I111" s="1"/>
      <c r="J111" s="1">
        <f>IF($F111="","",IF($H111="","Not rated",IF(OR($H111=Lists!$B$3,$H111=Lists!$B$5),IF(AND(LEFT(SUBSTITUTE($I111," ",""),LEN($F111)+1)=$F111&amp;"-",LEN(SUBSTITUTE($I111," ",""))&gt;LEN($F111)+1),"OK","Comment required"),"OK")))</f>
      </c>
    </row>
    <row r="112" spans="1:10" x14ac:dyDescent="0.25">
      <c r="A112" s="1"/>
      <c r="B112" s="20"/>
      <c r="C112" s="1"/>
      <c r="D112" s="1"/>
      <c r="E112" s="1"/>
      <c r="F112" s="1"/>
      <c r="G112" s="1"/>
      <c r="H112" s="1"/>
      <c r="I112" s="1"/>
      <c r="J112" s="1">
        <f>IF($F112="","",IF($H112="","Not rated",IF(OR($H112=Lists!$B$3,$H112=Lists!$B$5),IF(AND(LEFT(SUBSTITUTE($I112," ",""),LEN($F112)+1)=$F112&amp;"-",LEN(SUBSTITUTE($I112," ",""))&gt;LEN($F112)+1),"OK","Comment required"),"OK")))</f>
      </c>
    </row>
    <row r="113" spans="1:10" x14ac:dyDescent="0.25">
      <c r="A113" s="1"/>
      <c r="B113" s="20"/>
      <c r="C113" s="1"/>
      <c r="D113" s="1"/>
      <c r="E113" s="1"/>
      <c r="F113" s="1"/>
      <c r="G113" s="1"/>
      <c r="H113" s="1"/>
      <c r="I113" s="1"/>
      <c r="J113" s="1">
        <f>IF($F113="","",IF($H113="","Not rated",IF(OR($H113=Lists!$B$3,$H113=Lists!$B$5),IF(AND(LEFT(SUBSTITUTE($I113," ",""),LEN($F113)+1)=$F113&amp;"-",LEN(SUBSTITUTE($I113," ",""))&gt;LEN($F113)+1),"OK","Comment required"),"OK")))</f>
      </c>
    </row>
    <row r="114" spans="1:10" x14ac:dyDescent="0.25">
      <c r="A114" s="1"/>
      <c r="B114" s="20"/>
      <c r="C114" s="1"/>
      <c r="D114" s="1"/>
      <c r="E114" s="1"/>
      <c r="F114" s="1"/>
      <c r="G114" s="1"/>
      <c r="H114" s="1"/>
      <c r="I114" s="1"/>
      <c r="J114" s="1">
        <f>IF($F114="","",IF($H114="","Not rated",IF(OR($H114=Lists!$B$3,$H114=Lists!$B$5),IF(AND(LEFT(SUBSTITUTE($I114," ",""),LEN($F114)+1)=$F114&amp;"-",LEN(SUBSTITUTE($I114," ",""))&gt;LEN($F114)+1),"OK","Comment required"),"OK")))</f>
      </c>
    </row>
    <row r="115" spans="1:10" x14ac:dyDescent="0.25">
      <c r="A115" s="1"/>
      <c r="B115" s="20"/>
      <c r="C115" s="1"/>
      <c r="D115" s="1"/>
      <c r="E115" s="1"/>
      <c r="F115" s="1"/>
      <c r="G115" s="1"/>
      <c r="H115" s="1"/>
      <c r="I115" s="1"/>
      <c r="J115" s="1">
        <f>IF($F115="","",IF($H115="","Not rated",IF(OR($H115=Lists!$B$3,$H115=Lists!$B$5),IF(AND(LEFT(SUBSTITUTE($I115," ",""),LEN($F115)+1)=$F115&amp;"-",LEN(SUBSTITUTE($I115," ",""))&gt;LEN($F115)+1),"OK","Comment required"),"OK")))</f>
      </c>
    </row>
    <row r="116" spans="1:10" x14ac:dyDescent="0.25">
      <c r="A116" s="1"/>
      <c r="B116" s="20"/>
      <c r="C116" s="1"/>
      <c r="D116" s="1"/>
      <c r="E116" s="1"/>
      <c r="F116" s="1"/>
      <c r="G116" s="1"/>
      <c r="H116" s="1"/>
      <c r="I116" s="1"/>
      <c r="J116" s="1">
        <f>IF($F116="","",IF($H116="","Not rated",IF(OR($H116=Lists!$B$3,$H116=Lists!$B$5),IF(AND(LEFT(SUBSTITUTE($I116," ",""),LEN($F116)+1)=$F116&amp;"-",LEN(SUBSTITUTE($I116," ",""))&gt;LEN($F116)+1),"OK","Comment required"),"OK")))</f>
      </c>
    </row>
    <row r="117" spans="1:10" x14ac:dyDescent="0.25">
      <c r="A117" s="1"/>
      <c r="B117" s="20"/>
      <c r="C117" s="1"/>
      <c r="D117" s="1"/>
      <c r="E117" s="1"/>
      <c r="F117" s="1"/>
      <c r="G117" s="1"/>
      <c r="H117" s="1"/>
      <c r="I117" s="1"/>
      <c r="J117" s="1">
        <f>IF($F117="","",IF($H117="","Not rated",IF(OR($H117=Lists!$B$3,$H117=Lists!$B$5),IF(AND(LEFT(SUBSTITUTE($I117," ",""),LEN($F117)+1)=$F117&amp;"-",LEN(SUBSTITUTE($I117," ",""))&gt;LEN($F117)+1),"OK","Comment required"),"OK")))</f>
      </c>
    </row>
    <row r="118" spans="1:10" x14ac:dyDescent="0.25">
      <c r="A118" s="1"/>
      <c r="B118" s="20"/>
      <c r="C118" s="1"/>
      <c r="D118" s="1"/>
      <c r="E118" s="1"/>
      <c r="F118" s="1"/>
      <c r="G118" s="1"/>
      <c r="H118" s="1"/>
      <c r="I118" s="1"/>
      <c r="J118" s="1">
        <f>IF($F118="","",IF($H118="","Not rated",IF(OR($H118=Lists!$B$3,$H118=Lists!$B$5),IF(AND(LEFT(SUBSTITUTE($I118," ",""),LEN($F118)+1)=$F118&amp;"-",LEN(SUBSTITUTE($I118," ",""))&gt;LEN($F118)+1),"OK","Comment required"),"OK")))</f>
      </c>
    </row>
    <row r="119" spans="1:10" x14ac:dyDescent="0.25">
      <c r="A119" s="1"/>
      <c r="B119" s="20"/>
      <c r="C119" s="1"/>
      <c r="D119" s="1"/>
      <c r="E119" s="1"/>
      <c r="F119" s="1"/>
      <c r="G119" s="1"/>
      <c r="H119" s="1"/>
      <c r="I119" s="1"/>
      <c r="J119" s="1">
        <f>IF($F119="","",IF($H119="","Not rated",IF(OR($H119=Lists!$B$3,$H119=Lists!$B$5),IF(AND(LEFT(SUBSTITUTE($I119," ",""),LEN($F119)+1)=$F119&amp;"-",LEN(SUBSTITUTE($I119," ",""))&gt;LEN($F119)+1),"OK","Comment required"),"OK")))</f>
      </c>
    </row>
    <row r="120" spans="1:10" x14ac:dyDescent="0.25">
      <c r="A120" s="1"/>
      <c r="B120" s="20"/>
      <c r="C120" s="1"/>
      <c r="D120" s="1"/>
      <c r="E120" s="1"/>
      <c r="F120" s="1"/>
      <c r="G120" s="1"/>
      <c r="H120" s="1"/>
      <c r="I120" s="1"/>
      <c r="J120" s="1">
        <f>IF($F120="","",IF($H120="","Not rated",IF(OR($H120=Lists!$B$3,$H120=Lists!$B$5),IF(AND(LEFT(SUBSTITUTE($I120," ",""),LEN($F120)+1)=$F120&amp;"-",LEN(SUBSTITUTE($I120," ",""))&gt;LEN($F120)+1),"OK","Comment required"),"OK")))</f>
      </c>
    </row>
    <row r="121" spans="1:10" x14ac:dyDescent="0.25">
      <c r="A121" s="1"/>
      <c r="B121" s="20"/>
      <c r="C121" s="1"/>
      <c r="D121" s="1"/>
      <c r="E121" s="1"/>
      <c r="F121" s="1"/>
      <c r="G121" s="1"/>
      <c r="H121" s="1"/>
      <c r="I121" s="1"/>
      <c r="J121" s="1">
        <f>IF($F121="","",IF($H121="","Not rated",IF(OR($H121=Lists!$B$3,$H121=Lists!$B$5),IF(AND(LEFT(SUBSTITUTE($I121," ",""),LEN($F121)+1)=$F121&amp;"-",LEN(SUBSTITUTE($I121," ",""))&gt;LEN($F121)+1),"OK","Comment required"),"OK")))</f>
      </c>
    </row>
    <row r="122" spans="1:10" x14ac:dyDescent="0.25">
      <c r="A122" s="1"/>
      <c r="B122" s="20"/>
      <c r="C122" s="1"/>
      <c r="D122" s="1"/>
      <c r="E122" s="1"/>
      <c r="F122" s="1"/>
      <c r="G122" s="1"/>
      <c r="H122" s="1"/>
      <c r="I122" s="1"/>
      <c r="J122" s="1">
        <f>IF($F122="","",IF($H122="","Not rated",IF(OR($H122=Lists!$B$3,$H122=Lists!$B$5),IF(AND(LEFT(SUBSTITUTE($I122," ",""),LEN($F122)+1)=$F122&amp;"-",LEN(SUBSTITUTE($I122," ",""))&gt;LEN($F122)+1),"OK","Comment required"),"OK")))</f>
      </c>
    </row>
    <row r="123" spans="1:10" x14ac:dyDescent="0.25">
      <c r="A123" s="1"/>
      <c r="B123" s="20"/>
      <c r="C123" s="1"/>
      <c r="D123" s="1"/>
      <c r="E123" s="1"/>
      <c r="F123" s="1"/>
      <c r="G123" s="1"/>
      <c r="H123" s="1"/>
      <c r="I123" s="1"/>
      <c r="J123" s="1">
        <f>IF($F123="","",IF($H123="","Not rated",IF(OR($H123=Lists!$B$3,$H123=Lists!$B$5),IF(AND(LEFT(SUBSTITUTE($I123," ",""),LEN($F123)+1)=$F123&amp;"-",LEN(SUBSTITUTE($I123," ",""))&gt;LEN($F123)+1),"OK","Comment required"),"OK")))</f>
      </c>
    </row>
    <row r="124" spans="1:10" x14ac:dyDescent="0.25">
      <c r="A124" s="1"/>
      <c r="B124" s="20"/>
      <c r="C124" s="1"/>
      <c r="D124" s="1"/>
      <c r="E124" s="1"/>
      <c r="F124" s="1"/>
      <c r="G124" s="1"/>
      <c r="H124" s="1"/>
      <c r="I124" s="1"/>
      <c r="J124" s="1">
        <f>IF($F124="","",IF($H124="","Not rated",IF(OR($H124=Lists!$B$3,$H124=Lists!$B$5),IF(AND(LEFT(SUBSTITUTE($I124," ",""),LEN($F124)+1)=$F124&amp;"-",LEN(SUBSTITUTE($I124," ",""))&gt;LEN($F124)+1),"OK","Comment required"),"OK")))</f>
      </c>
    </row>
    <row r="125" spans="1:10" x14ac:dyDescent="0.25">
      <c r="A125" s="1"/>
      <c r="B125" s="20"/>
      <c r="C125" s="1"/>
      <c r="D125" s="1"/>
      <c r="E125" s="1"/>
      <c r="F125" s="1"/>
      <c r="G125" s="1"/>
      <c r="H125" s="1"/>
      <c r="I125" s="1"/>
      <c r="J125" s="1">
        <f>IF($F125="","",IF($H125="","Not rated",IF(OR($H125=Lists!$B$3,$H125=Lists!$B$5),IF(AND(LEFT(SUBSTITUTE($I125," ",""),LEN($F125)+1)=$F125&amp;"-",LEN(SUBSTITUTE($I125," ",""))&gt;LEN($F125)+1),"OK","Comment required"),"OK")))</f>
      </c>
    </row>
    <row r="126" spans="1:10" x14ac:dyDescent="0.25">
      <c r="A126" s="1"/>
      <c r="B126" s="20"/>
      <c r="C126" s="1"/>
      <c r="D126" s="1"/>
      <c r="E126" s="1"/>
      <c r="F126" s="1"/>
      <c r="G126" s="1"/>
      <c r="H126" s="1"/>
      <c r="I126" s="1"/>
      <c r="J126" s="1">
        <f>IF($F126="","",IF($H126="","Not rated",IF(OR($H126=Lists!$B$3,$H126=Lists!$B$5),IF(AND(LEFT(SUBSTITUTE($I126," ",""),LEN($F126)+1)=$F126&amp;"-",LEN(SUBSTITUTE($I126," ",""))&gt;LEN($F126)+1),"OK","Comment required"),"OK")))</f>
      </c>
    </row>
    <row r="127" spans="1:10" x14ac:dyDescent="0.25">
      <c r="A127" s="1"/>
      <c r="B127" s="20"/>
      <c r="C127" s="1"/>
      <c r="D127" s="1"/>
      <c r="E127" s="1"/>
      <c r="F127" s="1"/>
      <c r="G127" s="1"/>
      <c r="H127" s="1"/>
      <c r="I127" s="1"/>
      <c r="J127" s="1">
        <f>IF($F127="","",IF($H127="","Not rated",IF(OR($H127=Lists!$B$3,$H127=Lists!$B$5),IF(AND(LEFT(SUBSTITUTE($I127," ",""),LEN($F127)+1)=$F127&amp;"-",LEN(SUBSTITUTE($I127," ",""))&gt;LEN($F127)+1),"OK","Comment required"),"OK")))</f>
      </c>
    </row>
    <row r="128" spans="1:10" x14ac:dyDescent="0.25">
      <c r="A128" s="1"/>
      <c r="B128" s="20"/>
      <c r="C128" s="1"/>
      <c r="D128" s="1"/>
      <c r="E128" s="1"/>
      <c r="F128" s="1"/>
      <c r="G128" s="1"/>
      <c r="H128" s="1"/>
      <c r="I128" s="1"/>
      <c r="J128" s="1">
        <f>IF($F128="","",IF($H128="","Not rated",IF(OR($H128=Lists!$B$3,$H128=Lists!$B$5),IF(AND(LEFT(SUBSTITUTE($I128," ",""),LEN($F128)+1)=$F128&amp;"-",LEN(SUBSTITUTE($I128," ",""))&gt;LEN($F128)+1),"OK","Comment required"),"OK")))</f>
      </c>
    </row>
    <row r="129" spans="1:10" x14ac:dyDescent="0.25">
      <c r="A129" s="1"/>
      <c r="B129" s="20"/>
      <c r="C129" s="1"/>
      <c r="D129" s="1"/>
      <c r="E129" s="1"/>
      <c r="F129" s="1"/>
      <c r="G129" s="1"/>
      <c r="H129" s="1"/>
      <c r="I129" s="1"/>
      <c r="J129" s="1">
        <f>IF($F129="","",IF($H129="","Not rated",IF(OR($H129=Lists!$B$3,$H129=Lists!$B$5),IF(AND(LEFT(SUBSTITUTE($I129," ",""),LEN($F129)+1)=$F129&amp;"-",LEN(SUBSTITUTE($I129," ",""))&gt;LEN($F129)+1),"OK","Comment required"),"OK")))</f>
      </c>
    </row>
    <row r="130" spans="1:10" x14ac:dyDescent="0.25">
      <c r="A130" s="1"/>
      <c r="B130" s="20"/>
      <c r="C130" s="1"/>
      <c r="D130" s="1"/>
      <c r="E130" s="1"/>
      <c r="F130" s="1"/>
      <c r="G130" s="1"/>
      <c r="H130" s="1"/>
      <c r="I130" s="1"/>
      <c r="J130" s="1">
        <f>IF($F130="","",IF($H130="","Not rated",IF(OR($H130=Lists!$B$3,$H130=Lists!$B$5),IF(AND(LEFT(SUBSTITUTE($I130," ",""),LEN($F130)+1)=$F130&amp;"-",LEN(SUBSTITUTE($I130," ",""))&gt;LEN($F130)+1),"OK","Comment required"),"OK")))</f>
      </c>
    </row>
    <row r="131" spans="1:10" x14ac:dyDescent="0.25">
      <c r="A131" s="1"/>
      <c r="B131" s="20"/>
      <c r="C131" s="1"/>
      <c r="D131" s="1"/>
      <c r="E131" s="1"/>
      <c r="F131" s="1"/>
      <c r="G131" s="1"/>
      <c r="H131" s="1"/>
      <c r="I131" s="1"/>
      <c r="J131" s="1">
        <f>IF($F131="","",IF($H131="","Not rated",IF(OR($H131=Lists!$B$3,$H131=Lists!$B$5),IF(AND(LEFT(SUBSTITUTE($I131," ",""),LEN($F131)+1)=$F131&amp;"-",LEN(SUBSTITUTE($I131," ",""))&gt;LEN($F131)+1),"OK","Comment required"),"OK")))</f>
      </c>
    </row>
    <row r="132" spans="1:10" x14ac:dyDescent="0.25">
      <c r="A132" s="1"/>
      <c r="B132" s="20"/>
      <c r="C132" s="1"/>
      <c r="D132" s="1"/>
      <c r="E132" s="1"/>
      <c r="F132" s="1"/>
      <c r="G132" s="1"/>
      <c r="H132" s="1"/>
      <c r="I132" s="1"/>
      <c r="J132" s="1">
        <f>IF($F132="","",IF($H132="","Not rated",IF(OR($H132=Lists!$B$3,$H132=Lists!$B$5),IF(AND(LEFT(SUBSTITUTE($I132," ",""),LEN($F132)+1)=$F132&amp;"-",LEN(SUBSTITUTE($I132," ",""))&gt;LEN($F132)+1),"OK","Comment required"),"OK")))</f>
      </c>
    </row>
    <row r="133" spans="1:10" x14ac:dyDescent="0.25">
      <c r="A133" s="1"/>
      <c r="B133" s="20"/>
      <c r="C133" s="1"/>
      <c r="D133" s="1"/>
      <c r="E133" s="1"/>
      <c r="F133" s="1"/>
      <c r="G133" s="1"/>
      <c r="H133" s="1"/>
      <c r="I133" s="1"/>
      <c r="J133" s="1">
        <f>IF($F133="","",IF($H133="","Not rated",IF(OR($H133=Lists!$B$3,$H133=Lists!$B$5),IF(AND(LEFT(SUBSTITUTE($I133," ",""),LEN($F133)+1)=$F133&amp;"-",LEN(SUBSTITUTE($I133," ",""))&gt;LEN($F133)+1),"OK","Comment required"),"OK")))</f>
      </c>
    </row>
    <row r="134" spans="1:10" x14ac:dyDescent="0.25">
      <c r="A134" s="1"/>
      <c r="B134" s="20"/>
      <c r="C134" s="1"/>
      <c r="D134" s="1"/>
      <c r="E134" s="1"/>
      <c r="F134" s="1"/>
      <c r="G134" s="1"/>
      <c r="H134" s="1"/>
      <c r="I134" s="1"/>
      <c r="J134" s="1">
        <f>IF($F134="","",IF($H134="","Not rated",IF(OR($H134=Lists!$B$3,$H134=Lists!$B$5),IF(AND(LEFT(SUBSTITUTE($I134," ",""),LEN($F134)+1)=$F134&amp;"-",LEN(SUBSTITUTE($I134," ",""))&gt;LEN($F134)+1),"OK","Comment required"),"OK")))</f>
      </c>
    </row>
    <row r="135" spans="1:10" x14ac:dyDescent="0.25">
      <c r="A135" s="1"/>
      <c r="B135" s="20"/>
      <c r="C135" s="1"/>
      <c r="D135" s="1"/>
      <c r="E135" s="1"/>
      <c r="F135" s="1"/>
      <c r="G135" s="1"/>
      <c r="H135" s="1"/>
      <c r="I135" s="1"/>
      <c r="J135" s="1">
        <f>IF($F135="","",IF($H135="","Not rated",IF(OR($H135=Lists!$B$3,$H135=Lists!$B$5),IF(AND(LEFT(SUBSTITUTE($I135," ",""),LEN($F135)+1)=$F135&amp;"-",LEN(SUBSTITUTE($I135," ",""))&gt;LEN($F135)+1),"OK","Comment required"),"OK")))</f>
      </c>
    </row>
    <row r="136" spans="1:10" x14ac:dyDescent="0.25">
      <c r="A136" s="1"/>
      <c r="B136" s="20"/>
      <c r="C136" s="1"/>
      <c r="D136" s="1"/>
      <c r="E136" s="1"/>
      <c r="F136" s="1"/>
      <c r="G136" s="1"/>
      <c r="H136" s="1"/>
      <c r="I136" s="1"/>
      <c r="J136" s="1">
        <f>IF($F136="","",IF($H136="","Not rated",IF(OR($H136=Lists!$B$3,$H136=Lists!$B$5),IF(AND(LEFT(SUBSTITUTE($I136," ",""),LEN($F136)+1)=$F136&amp;"-",LEN(SUBSTITUTE($I136," ",""))&gt;LEN($F136)+1),"OK","Comment required"),"OK")))</f>
      </c>
    </row>
    <row r="137" spans="1:10" x14ac:dyDescent="0.25">
      <c r="A137" s="1"/>
      <c r="B137" s="20"/>
      <c r="C137" s="1"/>
      <c r="D137" s="1"/>
      <c r="E137" s="1"/>
      <c r="F137" s="1"/>
      <c r="G137" s="1"/>
      <c r="H137" s="1"/>
      <c r="I137" s="1"/>
      <c r="J137" s="1">
        <f>IF($F137="","",IF($H137="","Not rated",IF(OR($H137=Lists!$B$3,$H137=Lists!$B$5),IF(AND(LEFT(SUBSTITUTE($I137," ",""),LEN($F137)+1)=$F137&amp;"-",LEN(SUBSTITUTE($I137," ",""))&gt;LEN($F137)+1),"OK","Comment required"),"OK")))</f>
      </c>
    </row>
    <row r="138" spans="1:10" x14ac:dyDescent="0.25">
      <c r="A138" s="1"/>
      <c r="B138" s="20"/>
      <c r="C138" s="1"/>
      <c r="D138" s="1"/>
      <c r="E138" s="1"/>
      <c r="F138" s="1"/>
      <c r="G138" s="1"/>
      <c r="H138" s="1"/>
      <c r="I138" s="1"/>
      <c r="J138" s="1">
        <f>IF($F138="","",IF($H138="","Not rated",IF(OR($H138=Lists!$B$3,$H138=Lists!$B$5),IF(AND(LEFT(SUBSTITUTE($I138," ",""),LEN($F138)+1)=$F138&amp;"-",LEN(SUBSTITUTE($I138," ",""))&gt;LEN($F138)+1),"OK","Comment required"),"OK")))</f>
      </c>
    </row>
    <row r="139" spans="1:10" x14ac:dyDescent="0.25">
      <c r="A139" s="1"/>
      <c r="B139" s="20"/>
      <c r="C139" s="1"/>
      <c r="D139" s="1"/>
      <c r="E139" s="1"/>
      <c r="F139" s="1"/>
      <c r="G139" s="1"/>
      <c r="H139" s="1"/>
      <c r="I139" s="1"/>
      <c r="J139" s="1">
        <f>IF($F139="","",IF($H139="","Not rated",IF(OR($H139=Lists!$B$3,$H139=Lists!$B$5),IF(AND(LEFT(SUBSTITUTE($I139," ",""),LEN($F139)+1)=$F139&amp;"-",LEN(SUBSTITUTE($I139," ",""))&gt;LEN($F139)+1),"OK","Comment required"),"OK")))</f>
      </c>
    </row>
    <row r="140" spans="1:10" x14ac:dyDescent="0.25">
      <c r="A140" s="1"/>
      <c r="B140" s="20"/>
      <c r="C140" s="1"/>
      <c r="D140" s="1"/>
      <c r="E140" s="1"/>
      <c r="F140" s="1"/>
      <c r="G140" s="1"/>
      <c r="H140" s="1"/>
      <c r="I140" s="1"/>
      <c r="J140" s="1">
        <f>IF($F140="","",IF($H140="","Not rated",IF(OR($H140=Lists!$B$3,$H140=Lists!$B$5),IF(AND(LEFT(SUBSTITUTE($I140," ",""),LEN($F140)+1)=$F140&amp;"-",LEN(SUBSTITUTE($I140," ",""))&gt;LEN($F140)+1),"OK","Comment required"),"OK")))</f>
      </c>
    </row>
    <row r="141" spans="1:10" x14ac:dyDescent="0.25">
      <c r="A141" s="1"/>
      <c r="B141" s="20"/>
      <c r="C141" s="1"/>
      <c r="D141" s="1"/>
      <c r="E141" s="1"/>
      <c r="F141" s="1"/>
      <c r="G141" s="1"/>
      <c r="H141" s="1"/>
      <c r="I141" s="1"/>
      <c r="J141" s="1">
        <f>IF($F141="","",IF($H141="","Not rated",IF(OR($H141=Lists!$B$3,$H141=Lists!$B$5),IF(AND(LEFT(SUBSTITUTE($I141," ",""),LEN($F141)+1)=$F141&amp;"-",LEN(SUBSTITUTE($I141," ",""))&gt;LEN($F141)+1),"OK","Comment required"),"OK")))</f>
      </c>
    </row>
    <row r="142" spans="1:10" x14ac:dyDescent="0.25">
      <c r="A142" s="1"/>
      <c r="B142" s="20"/>
      <c r="C142" s="1"/>
      <c r="D142" s="1"/>
      <c r="E142" s="1"/>
      <c r="F142" s="1"/>
      <c r="G142" s="1"/>
      <c r="H142" s="1"/>
      <c r="I142" s="1"/>
      <c r="J142" s="1">
        <f>IF($F142="","",IF($H142="","Not rated",IF(OR($H142=Lists!$B$3,$H142=Lists!$B$5),IF(AND(LEFT(SUBSTITUTE($I142," ",""),LEN($F142)+1)=$F142&amp;"-",LEN(SUBSTITUTE($I142," ",""))&gt;LEN($F142)+1),"OK","Comment required"),"OK")))</f>
      </c>
    </row>
    <row r="143" spans="1:10" x14ac:dyDescent="0.25">
      <c r="A143" s="1"/>
      <c r="B143" s="20"/>
      <c r="C143" s="1"/>
      <c r="D143" s="1"/>
      <c r="E143" s="1"/>
      <c r="F143" s="1"/>
      <c r="G143" s="1"/>
      <c r="H143" s="1"/>
      <c r="I143" s="1"/>
      <c r="J143" s="1">
        <f>IF($F143="","",IF($H143="","Not rated",IF(OR($H143=Lists!$B$3,$H143=Lists!$B$5),IF(AND(LEFT(SUBSTITUTE($I143," ",""),LEN($F143)+1)=$F143&amp;"-",LEN(SUBSTITUTE($I143," ",""))&gt;LEN($F143)+1),"OK","Comment required"),"OK")))</f>
      </c>
    </row>
    <row r="144" spans="1:10" x14ac:dyDescent="0.25">
      <c r="A144" s="1"/>
      <c r="B144" s="20"/>
      <c r="C144" s="1"/>
      <c r="D144" s="1"/>
      <c r="E144" s="1"/>
      <c r="F144" s="1"/>
      <c r="G144" s="1"/>
      <c r="H144" s="1"/>
      <c r="I144" s="1"/>
      <c r="J144" s="1">
        <f>IF($F144="","",IF($H144="","Not rated",IF(OR($H144=Lists!$B$3,$H144=Lists!$B$5),IF(AND(LEFT(SUBSTITUTE($I144," ",""),LEN($F144)+1)=$F144&amp;"-",LEN(SUBSTITUTE($I144," ",""))&gt;LEN($F144)+1),"OK","Comment required"),"OK")))</f>
      </c>
    </row>
    <row r="145" spans="1:10" x14ac:dyDescent="0.25">
      <c r="A145" s="1"/>
      <c r="B145" s="20"/>
      <c r="C145" s="1"/>
      <c r="D145" s="1"/>
      <c r="E145" s="1"/>
      <c r="F145" s="1"/>
      <c r="G145" s="1"/>
      <c r="H145" s="1"/>
      <c r="I145" s="1"/>
      <c r="J145" s="1">
        <f>IF($F145="","",IF($H145="","Not rated",IF(OR($H145=Lists!$B$3,$H145=Lists!$B$5),IF(AND(LEFT(SUBSTITUTE($I145," ",""),LEN($F145)+1)=$F145&amp;"-",LEN(SUBSTITUTE($I145," ",""))&gt;LEN($F145)+1),"OK","Comment required"),"OK")))</f>
      </c>
    </row>
    <row r="146" spans="1:10" x14ac:dyDescent="0.25">
      <c r="A146" s="1"/>
      <c r="B146" s="20"/>
      <c r="C146" s="1"/>
      <c r="D146" s="1"/>
      <c r="E146" s="1"/>
      <c r="F146" s="1"/>
      <c r="G146" s="1"/>
      <c r="H146" s="1"/>
      <c r="I146" s="1"/>
      <c r="J146" s="1">
        <f>IF($F146="","",IF($H146="","Not rated",IF(OR($H146=Lists!$B$3,$H146=Lists!$B$5),IF(AND(LEFT(SUBSTITUTE($I146," ",""),LEN($F146)+1)=$F146&amp;"-",LEN(SUBSTITUTE($I146," ",""))&gt;LEN($F146)+1),"OK","Comment required"),"OK")))</f>
      </c>
    </row>
    <row r="147" spans="1:10" x14ac:dyDescent="0.25">
      <c r="A147" s="1"/>
      <c r="B147" s="20"/>
      <c r="C147" s="1"/>
      <c r="D147" s="1"/>
      <c r="E147" s="1"/>
      <c r="F147" s="1"/>
      <c r="G147" s="1"/>
      <c r="H147" s="1"/>
      <c r="I147" s="1"/>
      <c r="J147" s="1">
        <f>IF($F147="","",IF($H147="","Not rated",IF(OR($H147=Lists!$B$3,$H147=Lists!$B$5),IF(AND(LEFT(SUBSTITUTE($I147," ",""),LEN($F147)+1)=$F147&amp;"-",LEN(SUBSTITUTE($I147," ",""))&gt;LEN($F147)+1),"OK","Comment required"),"OK")))</f>
      </c>
    </row>
    <row r="148" spans="1:10" x14ac:dyDescent="0.25">
      <c r="A148" s="1"/>
      <c r="B148" s="20"/>
      <c r="C148" s="1"/>
      <c r="D148" s="1"/>
      <c r="E148" s="1"/>
      <c r="F148" s="1"/>
      <c r="G148" s="1"/>
      <c r="H148" s="1"/>
      <c r="I148" s="1"/>
      <c r="J148" s="1">
        <f>IF($F148="","",IF($H148="","Not rated",IF(OR($H148=Lists!$B$3,$H148=Lists!$B$5),IF(AND(LEFT(SUBSTITUTE($I148," ",""),LEN($F148)+1)=$F148&amp;"-",LEN(SUBSTITUTE($I148," ",""))&gt;LEN($F148)+1),"OK","Comment required"),"OK")))</f>
      </c>
    </row>
    <row r="149" spans="1:10" x14ac:dyDescent="0.25">
      <c r="A149" s="1"/>
      <c r="B149" s="20"/>
      <c r="C149" s="1"/>
      <c r="D149" s="1"/>
      <c r="E149" s="1"/>
      <c r="F149" s="1"/>
      <c r="G149" s="1"/>
      <c r="H149" s="1"/>
      <c r="I149" s="1"/>
      <c r="J149" s="1">
        <f>IF($F149="","",IF($H149="","Not rated",IF(OR($H149=Lists!$B$3,$H149=Lists!$B$5),IF(AND(LEFT(SUBSTITUTE($I149," ",""),LEN($F149)+1)=$F149&amp;"-",LEN(SUBSTITUTE($I149," ",""))&gt;LEN($F149)+1),"OK","Comment required"),"OK")))</f>
      </c>
    </row>
    <row r="150" spans="1:10" x14ac:dyDescent="0.25">
      <c r="A150" s="1"/>
      <c r="B150" s="20"/>
      <c r="C150" s="1"/>
      <c r="D150" s="1"/>
      <c r="E150" s="1"/>
      <c r="F150" s="1"/>
      <c r="G150" s="1"/>
      <c r="H150" s="1"/>
      <c r="I150" s="1"/>
      <c r="J150" s="1">
        <f>IF($F150="","",IF($H150="","Not rated",IF(OR($H150=Lists!$B$3,$H150=Lists!$B$5),IF(AND(LEFT(SUBSTITUTE($I150," ",""),LEN($F150)+1)=$F150&amp;"-",LEN(SUBSTITUTE($I150," ",""))&gt;LEN($F150)+1),"OK","Comment required"),"OK")))</f>
      </c>
    </row>
    <row r="151" spans="1:10" x14ac:dyDescent="0.25">
      <c r="A151" s="1"/>
      <c r="B151" s="20"/>
      <c r="C151" s="1"/>
      <c r="D151" s="1"/>
      <c r="E151" s="1"/>
      <c r="F151" s="1"/>
      <c r="G151" s="1"/>
      <c r="H151" s="1"/>
      <c r="I151" s="1"/>
      <c r="J151" s="1">
        <f>IF($F151="","",IF($H151="","Not rated",IF(OR($H151=Lists!$B$3,$H151=Lists!$B$5),IF(AND(LEFT(SUBSTITUTE($I151," ",""),LEN($F151)+1)=$F151&amp;"-",LEN(SUBSTITUTE($I151," ",""))&gt;LEN($F151)+1),"OK","Comment required"),"OK")))</f>
      </c>
    </row>
    <row r="152" spans="1:10" x14ac:dyDescent="0.25">
      <c r="A152" s="1"/>
      <c r="B152" s="20"/>
      <c r="C152" s="1"/>
      <c r="D152" s="1"/>
      <c r="E152" s="1"/>
      <c r="F152" s="1"/>
      <c r="G152" s="1"/>
      <c r="H152" s="1"/>
      <c r="I152" s="1"/>
      <c r="J152" s="1">
        <f>IF($F152="","",IF($H152="","Not rated",IF(OR($H152=Lists!$B$3,$H152=Lists!$B$5),IF(AND(LEFT(SUBSTITUTE($I152," ",""),LEN($F152)+1)=$F152&amp;"-",LEN(SUBSTITUTE($I152," ",""))&gt;LEN($F152)+1),"OK","Comment required"),"OK")))</f>
      </c>
    </row>
    <row r="153" spans="1:10" x14ac:dyDescent="0.25">
      <c r="A153" s="1"/>
      <c r="B153" s="20"/>
      <c r="C153" s="1"/>
      <c r="D153" s="1"/>
      <c r="E153" s="1"/>
      <c r="F153" s="1"/>
      <c r="G153" s="1"/>
      <c r="H153" s="1"/>
      <c r="I153" s="1"/>
      <c r="J153" s="1">
        <f>IF($F153="","",IF($H153="","Not rated",IF(OR($H153=Lists!$B$3,$H153=Lists!$B$5),IF(AND(LEFT(SUBSTITUTE($I153," ",""),LEN($F153)+1)=$F153&amp;"-",LEN(SUBSTITUTE($I153," ",""))&gt;LEN($F153)+1),"OK","Comment required"),"OK")))</f>
      </c>
    </row>
    <row r="154" spans="1:10" x14ac:dyDescent="0.25">
      <c r="A154" s="1"/>
      <c r="B154" s="20"/>
      <c r="C154" s="1"/>
      <c r="D154" s="1"/>
      <c r="E154" s="1"/>
      <c r="F154" s="1"/>
      <c r="G154" s="1"/>
      <c r="H154" s="1"/>
      <c r="I154" s="1"/>
      <c r="J154" s="1">
        <f>IF($F154="","",IF($H154="","Not rated",IF(OR($H154=Lists!$B$3,$H154=Lists!$B$5),IF(AND(LEFT(SUBSTITUTE($I154," ",""),LEN($F154)+1)=$F154&amp;"-",LEN(SUBSTITUTE($I154," ",""))&gt;LEN($F154)+1),"OK","Comment required"),"OK")))</f>
      </c>
    </row>
    <row r="155" spans="1:10" x14ac:dyDescent="0.25">
      <c r="A155" s="1"/>
      <c r="B155" s="20"/>
      <c r="C155" s="1"/>
      <c r="D155" s="1"/>
      <c r="E155" s="1"/>
      <c r="F155" s="1"/>
      <c r="G155" s="1"/>
      <c r="H155" s="1"/>
      <c r="I155" s="1"/>
      <c r="J155" s="1">
        <f>IF($F155="","",IF($H155="","Not rated",IF(OR($H155=Lists!$B$3,$H155=Lists!$B$5),IF(AND(LEFT(SUBSTITUTE($I155," ",""),LEN($F155)+1)=$F155&amp;"-",LEN(SUBSTITUTE($I155," ",""))&gt;LEN($F155)+1),"OK","Comment required"),"OK")))</f>
      </c>
    </row>
    <row r="156" spans="1:10" x14ac:dyDescent="0.25">
      <c r="A156" s="1"/>
      <c r="B156" s="20"/>
      <c r="C156" s="1"/>
      <c r="D156" s="1"/>
      <c r="E156" s="1"/>
      <c r="F156" s="1"/>
      <c r="G156" s="1"/>
      <c r="H156" s="1"/>
      <c r="I156" s="1"/>
      <c r="J156" s="1">
        <f>IF($F156="","",IF($H156="","Not rated",IF(OR($H156=Lists!$B$3,$H156=Lists!$B$5),IF(AND(LEFT(SUBSTITUTE($I156," ",""),LEN($F156)+1)=$F156&amp;"-",LEN(SUBSTITUTE($I156," ",""))&gt;LEN($F156)+1),"OK","Comment required"),"OK")))</f>
      </c>
    </row>
    <row r="157" spans="1:10" x14ac:dyDescent="0.25">
      <c r="A157" s="1"/>
      <c r="B157" s="20"/>
      <c r="C157" s="1"/>
      <c r="D157" s="1"/>
      <c r="E157" s="1"/>
      <c r="F157" s="1"/>
      <c r="G157" s="1"/>
      <c r="H157" s="1"/>
      <c r="I157" s="1"/>
      <c r="J157" s="1">
        <f>IF($F157="","",IF($H157="","Not rated",IF(OR($H157=Lists!$B$3,$H157=Lists!$B$5),IF(AND(LEFT(SUBSTITUTE($I157," ",""),LEN($F157)+1)=$F157&amp;"-",LEN(SUBSTITUTE($I157," ",""))&gt;LEN($F157)+1),"OK","Comment required"),"OK")))</f>
      </c>
    </row>
    <row r="158" spans="1:10" x14ac:dyDescent="0.25">
      <c r="A158" s="1"/>
      <c r="B158" s="20"/>
      <c r="C158" s="1"/>
      <c r="D158" s="1"/>
      <c r="E158" s="1"/>
      <c r="F158" s="1"/>
      <c r="G158" s="1"/>
      <c r="H158" s="1"/>
      <c r="I158" s="1"/>
      <c r="J158" s="1">
        <f>IF($F158="","",IF($H158="","Not rated",IF(OR($H158=Lists!$B$3,$H158=Lists!$B$5),IF(AND(LEFT(SUBSTITUTE($I158," ",""),LEN($F158)+1)=$F158&amp;"-",LEN(SUBSTITUTE($I158," ",""))&gt;LEN($F158)+1),"OK","Comment required"),"OK")))</f>
      </c>
    </row>
    <row r="159" spans="1:10" x14ac:dyDescent="0.25">
      <c r="A159" s="1"/>
      <c r="B159" s="20"/>
      <c r="C159" s="1"/>
      <c r="D159" s="1"/>
      <c r="E159" s="1"/>
      <c r="F159" s="1"/>
      <c r="G159" s="1"/>
      <c r="H159" s="1"/>
      <c r="I159" s="1"/>
      <c r="J159" s="1">
        <f>IF($F159="","",IF($H159="","Not rated",IF(OR($H159=Lists!$B$3,$H159=Lists!$B$5),IF(AND(LEFT(SUBSTITUTE($I159," ",""),LEN($F159)+1)=$F159&amp;"-",LEN(SUBSTITUTE($I159," ",""))&gt;LEN($F159)+1),"OK","Comment required"),"OK")))</f>
      </c>
    </row>
    <row r="160" spans="1:10" x14ac:dyDescent="0.25">
      <c r="A160" s="1"/>
      <c r="B160" s="20"/>
      <c r="C160" s="1"/>
      <c r="D160" s="1"/>
      <c r="E160" s="1"/>
      <c r="F160" s="1"/>
      <c r="G160" s="1"/>
      <c r="H160" s="1"/>
      <c r="I160" s="1"/>
      <c r="J160" s="1">
        <f>IF($F160="","",IF($H160="","Not rated",IF(OR($H160=Lists!$B$3,$H160=Lists!$B$5),IF(AND(LEFT(SUBSTITUTE($I160," ",""),LEN($F160)+1)=$F160&amp;"-",LEN(SUBSTITUTE($I160," ",""))&gt;LEN($F160)+1),"OK","Comment required"),"OK")))</f>
      </c>
    </row>
    <row r="161" spans="1:10" x14ac:dyDescent="0.25">
      <c r="A161" s="1"/>
      <c r="B161" s="20"/>
      <c r="C161" s="1"/>
      <c r="D161" s="1"/>
      <c r="E161" s="1"/>
      <c r="F161" s="1"/>
      <c r="G161" s="1"/>
      <c r="H161" s="1"/>
      <c r="I161" s="1"/>
      <c r="J161" s="1">
        <f>IF($F161="","",IF($H161="","Not rated",IF(OR($H161=Lists!$B$3,$H161=Lists!$B$5),IF(AND(LEFT(SUBSTITUTE($I161," ",""),LEN($F161)+1)=$F161&amp;"-",LEN(SUBSTITUTE($I161," ",""))&gt;LEN($F161)+1),"OK","Comment required"),"OK")))</f>
      </c>
    </row>
    <row r="162" spans="1:10" x14ac:dyDescent="0.25">
      <c r="A162" s="1"/>
      <c r="B162" s="20"/>
      <c r="C162" s="1"/>
      <c r="D162" s="1"/>
      <c r="E162" s="1"/>
      <c r="F162" s="1"/>
      <c r="G162" s="1"/>
      <c r="H162" s="1"/>
      <c r="I162" s="1"/>
      <c r="J162" s="1">
        <f>IF($F162="","",IF($H162="","Not rated",IF(OR($H162=Lists!$B$3,$H162=Lists!$B$5),IF(AND(LEFT(SUBSTITUTE($I162," ",""),LEN($F162)+1)=$F162&amp;"-",LEN(SUBSTITUTE($I162," ",""))&gt;LEN($F162)+1),"OK","Comment required"),"OK")))</f>
      </c>
    </row>
    <row r="163" spans="1:10" x14ac:dyDescent="0.25">
      <c r="A163" s="1"/>
      <c r="B163" s="20"/>
      <c r="C163" s="1"/>
      <c r="D163" s="1"/>
      <c r="E163" s="1"/>
      <c r="F163" s="1"/>
      <c r="G163" s="1"/>
      <c r="H163" s="1"/>
      <c r="I163" s="1"/>
      <c r="J163" s="1">
        <f>IF($F163="","",IF($H163="","Not rated",IF(OR($H163=Lists!$B$3,$H163=Lists!$B$5),IF(AND(LEFT(SUBSTITUTE($I163," ",""),LEN($F163)+1)=$F163&amp;"-",LEN(SUBSTITUTE($I163," ",""))&gt;LEN($F163)+1),"OK","Comment required"),"OK")))</f>
      </c>
    </row>
    <row r="164" spans="1:10" x14ac:dyDescent="0.25">
      <c r="A164" s="1"/>
      <c r="B164" s="20"/>
      <c r="C164" s="1"/>
      <c r="D164" s="1"/>
      <c r="E164" s="1"/>
      <c r="F164" s="1"/>
      <c r="G164" s="1"/>
      <c r="H164" s="1"/>
      <c r="I164" s="1"/>
      <c r="J164" s="1">
        <f>IF($F164="","",IF($H164="","Not rated",IF(OR($H164=Lists!$B$3,$H164=Lists!$B$5),IF(AND(LEFT(SUBSTITUTE($I164," ",""),LEN($F164)+1)=$F164&amp;"-",LEN(SUBSTITUTE($I164," ",""))&gt;LEN($F164)+1),"OK","Comment required"),"OK")))</f>
      </c>
    </row>
    <row r="165" spans="1:10" x14ac:dyDescent="0.25">
      <c r="A165" s="1"/>
      <c r="B165" s="20"/>
      <c r="C165" s="1"/>
      <c r="D165" s="1"/>
      <c r="E165" s="1"/>
      <c r="F165" s="1"/>
      <c r="G165" s="1"/>
      <c r="H165" s="1"/>
      <c r="I165" s="1"/>
      <c r="J165" s="1">
        <f>IF($F165="","",IF($H165="","Not rated",IF(OR($H165=Lists!$B$3,$H165=Lists!$B$5),IF(AND(LEFT(SUBSTITUTE($I165," ",""),LEN($F165)+1)=$F165&amp;"-",LEN(SUBSTITUTE($I165," ",""))&gt;LEN($F165)+1),"OK","Comment required"),"OK")))</f>
      </c>
    </row>
    <row r="166" spans="1:10" x14ac:dyDescent="0.25">
      <c r="A166" s="1"/>
      <c r="B166" s="20"/>
      <c r="C166" s="1"/>
      <c r="D166" s="1"/>
      <c r="E166" s="1"/>
      <c r="F166" s="1"/>
      <c r="G166" s="1"/>
      <c r="H166" s="1"/>
      <c r="I166" s="1"/>
      <c r="J166" s="1">
        <f>IF($F166="","",IF($H166="","Not rated",IF(OR($H166=Lists!$B$3,$H166=Lists!$B$5),IF(AND(LEFT(SUBSTITUTE($I166," ",""),LEN($F166)+1)=$F166&amp;"-",LEN(SUBSTITUTE($I166," ",""))&gt;LEN($F166)+1),"OK","Comment required"),"OK")))</f>
      </c>
    </row>
    <row r="167" spans="1:10" x14ac:dyDescent="0.25">
      <c r="A167" s="1"/>
      <c r="B167" s="20"/>
      <c r="C167" s="1"/>
      <c r="D167" s="1"/>
      <c r="E167" s="1"/>
      <c r="F167" s="1"/>
      <c r="G167" s="1"/>
      <c r="H167" s="1"/>
      <c r="I167" s="1"/>
      <c r="J167" s="1">
        <f>IF($F167="","",IF($H167="","Not rated",IF(OR($H167=Lists!$B$3,$H167=Lists!$B$5),IF(AND(LEFT(SUBSTITUTE($I167," ",""),LEN($F167)+1)=$F167&amp;"-",LEN(SUBSTITUTE($I167," ",""))&gt;LEN($F167)+1),"OK","Comment required"),"OK")))</f>
      </c>
    </row>
    <row r="168" spans="1:10" x14ac:dyDescent="0.25">
      <c r="A168" s="1"/>
      <c r="B168" s="20"/>
      <c r="C168" s="1"/>
      <c r="D168" s="1"/>
      <c r="E168" s="1"/>
      <c r="F168" s="1"/>
      <c r="G168" s="1"/>
      <c r="H168" s="1"/>
      <c r="I168" s="1"/>
      <c r="J168" s="1">
        <f>IF($F168="","",IF($H168="","Not rated",IF(OR($H168=Lists!$B$3,$H168=Lists!$B$5),IF(AND(LEFT(SUBSTITUTE($I168," ",""),LEN($F168)+1)=$F168&amp;"-",LEN(SUBSTITUTE($I168," ",""))&gt;LEN($F168)+1),"OK","Comment required"),"OK")))</f>
      </c>
    </row>
    <row r="169" spans="1:10" x14ac:dyDescent="0.25">
      <c r="A169" s="1"/>
      <c r="B169" s="20"/>
      <c r="C169" s="1"/>
      <c r="D169" s="1"/>
      <c r="E169" s="1"/>
      <c r="F169" s="1"/>
      <c r="G169" s="1"/>
      <c r="H169" s="1"/>
      <c r="I169" s="1"/>
      <c r="J169" s="1">
        <f>IF($F169="","",IF($H169="","Not rated",IF(OR($H169=Lists!$B$3,$H169=Lists!$B$5),IF(AND(LEFT(SUBSTITUTE($I169," ",""),LEN($F169)+1)=$F169&amp;"-",LEN(SUBSTITUTE($I169," ",""))&gt;LEN($F169)+1),"OK","Comment required"),"OK")))</f>
      </c>
    </row>
    <row r="170" spans="1:10" x14ac:dyDescent="0.25">
      <c r="A170" s="1"/>
      <c r="B170" s="20"/>
      <c r="C170" s="1"/>
      <c r="D170" s="1"/>
      <c r="E170" s="1"/>
      <c r="F170" s="1"/>
      <c r="G170" s="1"/>
      <c r="H170" s="1"/>
      <c r="I170" s="1"/>
      <c r="J170" s="1">
        <f>IF($F170="","",IF($H170="","Not rated",IF(OR($H170=Lists!$B$3,$H170=Lists!$B$5),IF(AND(LEFT(SUBSTITUTE($I170," ",""),LEN($F170)+1)=$F170&amp;"-",LEN(SUBSTITUTE($I170," ",""))&gt;LEN($F170)+1),"OK","Comment required"),"OK")))</f>
      </c>
    </row>
    <row r="171" spans="1:10" x14ac:dyDescent="0.25">
      <c r="A171" s="1"/>
      <c r="B171" s="20"/>
      <c r="C171" s="1"/>
      <c r="D171" s="1"/>
      <c r="E171" s="1"/>
      <c r="F171" s="1"/>
      <c r="G171" s="1"/>
      <c r="H171" s="1"/>
      <c r="I171" s="1"/>
      <c r="J171" s="1">
        <f>IF($F171="","",IF($H171="","Not rated",IF(OR($H171=Lists!$B$3,$H171=Lists!$B$5),IF(AND(LEFT(SUBSTITUTE($I171," ",""),LEN($F171)+1)=$F171&amp;"-",LEN(SUBSTITUTE($I171," ",""))&gt;LEN($F171)+1),"OK","Comment required"),"OK")))</f>
      </c>
    </row>
    <row r="172" spans="1:10" x14ac:dyDescent="0.25">
      <c r="A172" s="1"/>
      <c r="B172" s="20"/>
      <c r="C172" s="1"/>
      <c r="D172" s="1"/>
      <c r="E172" s="1"/>
      <c r="F172" s="1"/>
      <c r="G172" s="1"/>
      <c r="H172" s="1"/>
      <c r="I172" s="1"/>
      <c r="J172" s="1">
        <f>IF($F172="","",IF($H172="","Not rated",IF(OR($H172=Lists!$B$3,$H172=Lists!$B$5),IF(AND(LEFT(SUBSTITUTE($I172," ",""),LEN($F172)+1)=$F172&amp;"-",LEN(SUBSTITUTE($I172," ",""))&gt;LEN($F172)+1),"OK","Comment required"),"OK")))</f>
      </c>
    </row>
    <row r="173" spans="1:10" x14ac:dyDescent="0.25">
      <c r="A173" s="1"/>
      <c r="B173" s="20"/>
      <c r="C173" s="1"/>
      <c r="D173" s="1"/>
      <c r="E173" s="1"/>
      <c r="F173" s="1"/>
      <c r="G173" s="1"/>
      <c r="H173" s="1"/>
      <c r="I173" s="1"/>
      <c r="J173" s="1">
        <f>IF($F173="","",IF($H173="","Not rated",IF(OR($H173=Lists!$B$3,$H173=Lists!$B$5),IF(AND(LEFT(SUBSTITUTE($I173," ",""),LEN($F173)+1)=$F173&amp;"-",LEN(SUBSTITUTE($I173," ",""))&gt;LEN($F173)+1),"OK","Comment required"),"OK")))</f>
      </c>
    </row>
    <row r="174" spans="1:10" x14ac:dyDescent="0.25">
      <c r="A174" s="1"/>
      <c r="B174" s="20"/>
      <c r="C174" s="1"/>
      <c r="D174" s="1"/>
      <c r="E174" s="1"/>
      <c r="F174" s="1"/>
      <c r="G174" s="1"/>
      <c r="H174" s="1"/>
      <c r="I174" s="1"/>
      <c r="J174" s="1">
        <f>IF($F174="","",IF($H174="","Not rated",IF(OR($H174=Lists!$B$3,$H174=Lists!$B$5),IF(AND(LEFT(SUBSTITUTE($I174," ",""),LEN($F174)+1)=$F174&amp;"-",LEN(SUBSTITUTE($I174," ",""))&gt;LEN($F174)+1),"OK","Comment required"),"OK")))</f>
      </c>
    </row>
    <row r="175" spans="1:10" x14ac:dyDescent="0.25">
      <c r="A175" s="1"/>
      <c r="B175" s="20"/>
      <c r="C175" s="1"/>
      <c r="D175" s="1"/>
      <c r="E175" s="1"/>
      <c r="F175" s="1"/>
      <c r="G175" s="1"/>
      <c r="H175" s="1"/>
      <c r="I175" s="1"/>
      <c r="J175" s="1">
        <f>IF($F175="","",IF($H175="","Not rated",IF(OR($H175=Lists!$B$3,$H175=Lists!$B$5),IF(AND(LEFT(SUBSTITUTE($I175," ",""),LEN($F175)+1)=$F175&amp;"-",LEN(SUBSTITUTE($I175," ",""))&gt;LEN($F175)+1),"OK","Comment required"),"OK")))</f>
      </c>
    </row>
    <row r="176" spans="1:10" x14ac:dyDescent="0.25">
      <c r="A176" s="1"/>
      <c r="B176" s="20"/>
      <c r="C176" s="1"/>
      <c r="D176" s="1"/>
      <c r="E176" s="1"/>
      <c r="F176" s="1"/>
      <c r="G176" s="1"/>
      <c r="H176" s="1"/>
      <c r="I176" s="1"/>
      <c r="J176" s="1">
        <f>IF($F176="","",IF($H176="","Not rated",IF(OR($H176=Lists!$B$3,$H176=Lists!$B$5),IF(AND(LEFT(SUBSTITUTE($I176," ",""),LEN($F176)+1)=$F176&amp;"-",LEN(SUBSTITUTE($I176," ",""))&gt;LEN($F176)+1),"OK","Comment required"),"OK")))</f>
      </c>
    </row>
    <row r="177" spans="1:10" x14ac:dyDescent="0.25">
      <c r="A177" s="1"/>
      <c r="B177" s="20"/>
      <c r="C177" s="1"/>
      <c r="D177" s="1"/>
      <c r="E177" s="1"/>
      <c r="F177" s="1"/>
      <c r="G177" s="1"/>
      <c r="H177" s="1"/>
      <c r="I177" s="1"/>
      <c r="J177" s="1">
        <f>IF($F177="","",IF($H177="","Not rated",IF(OR($H177=Lists!$B$3,$H177=Lists!$B$5),IF(AND(LEFT(SUBSTITUTE($I177," ",""),LEN($F177)+1)=$F177&amp;"-",LEN(SUBSTITUTE($I177," ",""))&gt;LEN($F177)+1),"OK","Comment required"),"OK")))</f>
      </c>
    </row>
    <row r="178" spans="1:10" x14ac:dyDescent="0.25">
      <c r="A178" s="1"/>
      <c r="B178" s="20"/>
      <c r="C178" s="1"/>
      <c r="D178" s="1"/>
      <c r="E178" s="1"/>
      <c r="F178" s="1"/>
      <c r="G178" s="1"/>
      <c r="H178" s="1"/>
      <c r="I178" s="1"/>
      <c r="J178" s="1">
        <f>IF($F178="","",IF($H178="","Not rated",IF(OR($H178=Lists!$B$3,$H178=Lists!$B$5),IF(AND(LEFT(SUBSTITUTE($I178," ",""),LEN($F178)+1)=$F178&amp;"-",LEN(SUBSTITUTE($I178," ",""))&gt;LEN($F178)+1),"OK","Comment required"),"OK")))</f>
      </c>
    </row>
    <row r="179" spans="1:10" x14ac:dyDescent="0.25">
      <c r="A179" s="1"/>
      <c r="B179" s="20"/>
      <c r="C179" s="1"/>
      <c r="D179" s="1"/>
      <c r="E179" s="1"/>
      <c r="F179" s="1"/>
      <c r="G179" s="1"/>
      <c r="H179" s="1"/>
      <c r="I179" s="1"/>
      <c r="J179" s="1">
        <f>IF($F179="","",IF($H179="","Not rated",IF(OR($H179=Lists!$B$3,$H179=Lists!$B$5),IF(AND(LEFT(SUBSTITUTE($I179," ",""),LEN($F179)+1)=$F179&amp;"-",LEN(SUBSTITUTE($I179," ",""))&gt;LEN($F179)+1),"OK","Comment required"),"OK")))</f>
      </c>
    </row>
    <row r="180" spans="1:10" x14ac:dyDescent="0.25">
      <c r="A180" s="1"/>
      <c r="B180" s="20"/>
      <c r="C180" s="1"/>
      <c r="D180" s="1"/>
      <c r="E180" s="1"/>
      <c r="F180" s="1"/>
      <c r="G180" s="1"/>
      <c r="H180" s="1"/>
      <c r="I180" s="1"/>
      <c r="J180" s="1">
        <f>IF($F180="","",IF($H180="","Not rated",IF(OR($H180=Lists!$B$3,$H180=Lists!$B$5),IF(AND(LEFT(SUBSTITUTE($I180," ",""),LEN($F180)+1)=$F180&amp;"-",LEN(SUBSTITUTE($I180," ",""))&gt;LEN($F180)+1),"OK","Comment required"),"OK")))</f>
      </c>
    </row>
    <row r="181" spans="1:10" x14ac:dyDescent="0.25">
      <c r="A181" s="1"/>
      <c r="B181" s="20"/>
      <c r="C181" s="1"/>
      <c r="D181" s="1"/>
      <c r="E181" s="1"/>
      <c r="F181" s="1"/>
      <c r="G181" s="1"/>
      <c r="H181" s="1"/>
      <c r="I181" s="1"/>
      <c r="J181" s="1">
        <f>IF($F181="","",IF($H181="","Not rated",IF(OR($H181=Lists!$B$3,$H181=Lists!$B$5),IF(AND(LEFT(SUBSTITUTE($I181," ",""),LEN($F181)+1)=$F181&amp;"-",LEN(SUBSTITUTE($I181," ",""))&gt;LEN($F181)+1),"OK","Comment required"),"OK")))</f>
      </c>
    </row>
    <row r="182" spans="1:10" x14ac:dyDescent="0.25">
      <c r="A182" s="1"/>
      <c r="B182" s="20"/>
      <c r="C182" s="1"/>
      <c r="D182" s="1"/>
      <c r="E182" s="1"/>
      <c r="F182" s="1"/>
      <c r="G182" s="1"/>
      <c r="H182" s="1"/>
      <c r="I182" s="1"/>
      <c r="J182" s="1">
        <f>IF($F182="","",IF($H182="","Not rated",IF(OR($H182=Lists!$B$3,$H182=Lists!$B$5),IF(AND(LEFT(SUBSTITUTE($I182," ",""),LEN($F182)+1)=$F182&amp;"-",LEN(SUBSTITUTE($I182," ",""))&gt;LEN($F182)+1),"OK","Comment required"),"OK")))</f>
      </c>
    </row>
    <row r="183" spans="1:10" x14ac:dyDescent="0.25">
      <c r="A183" s="1"/>
      <c r="B183" s="20"/>
      <c r="C183" s="1"/>
      <c r="D183" s="1"/>
      <c r="E183" s="1"/>
      <c r="F183" s="1"/>
      <c r="G183" s="1"/>
      <c r="H183" s="1"/>
      <c r="I183" s="1"/>
      <c r="J183" s="1">
        <f>IF($F183="","",IF($H183="","Not rated",IF(OR($H183=Lists!$B$3,$H183=Lists!$B$5),IF(AND(LEFT(SUBSTITUTE($I183," ",""),LEN($F183)+1)=$F183&amp;"-",LEN(SUBSTITUTE($I183," ",""))&gt;LEN($F183)+1),"OK","Comment required"),"OK")))</f>
      </c>
    </row>
    <row r="184" spans="1:10" x14ac:dyDescent="0.25">
      <c r="A184" s="1"/>
      <c r="B184" s="20"/>
      <c r="C184" s="1"/>
      <c r="D184" s="1"/>
      <c r="E184" s="1"/>
      <c r="F184" s="1"/>
      <c r="G184" s="1"/>
      <c r="H184" s="1"/>
      <c r="I184" s="1"/>
      <c r="J184" s="1">
        <f>IF($F184="","",IF($H184="","Not rated",IF(OR($H184=Lists!$B$3,$H184=Lists!$B$5),IF(AND(LEFT(SUBSTITUTE($I184," ",""),LEN($F184)+1)=$F184&amp;"-",LEN(SUBSTITUTE($I184," ",""))&gt;LEN($F184)+1),"OK","Comment required"),"OK")))</f>
      </c>
    </row>
    <row r="185" spans="1:10" x14ac:dyDescent="0.25">
      <c r="A185" s="1"/>
      <c r="B185" s="20"/>
      <c r="C185" s="1"/>
      <c r="D185" s="1"/>
      <c r="E185" s="1"/>
      <c r="F185" s="1"/>
      <c r="G185" s="1"/>
      <c r="H185" s="1"/>
      <c r="I185" s="1"/>
      <c r="J185" s="1">
        <f>IF($F185="","",IF($H185="","Not rated",IF(OR($H185=Lists!$B$3,$H185=Lists!$B$5),IF(AND(LEFT(SUBSTITUTE($I185," ",""),LEN($F185)+1)=$F185&amp;"-",LEN(SUBSTITUTE($I185," ",""))&gt;LEN($F185)+1),"OK","Comment required"),"OK")))</f>
      </c>
    </row>
    <row r="186" spans="1:10" x14ac:dyDescent="0.25">
      <c r="A186" s="1"/>
      <c r="B186" s="20"/>
      <c r="C186" s="1"/>
      <c r="D186" s="1"/>
      <c r="E186" s="1"/>
      <c r="F186" s="1"/>
      <c r="G186" s="1"/>
      <c r="H186" s="1"/>
      <c r="I186" s="1"/>
      <c r="J186" s="1">
        <f>IF($F186="","",IF($H186="","Not rated",IF(OR($H186=Lists!$B$3,$H186=Lists!$B$5),IF(AND(LEFT(SUBSTITUTE($I186," ",""),LEN($F186)+1)=$F186&amp;"-",LEN(SUBSTITUTE($I186," ",""))&gt;LEN($F186)+1),"OK","Comment required"),"OK")))</f>
      </c>
    </row>
    <row r="187" spans="1:10" x14ac:dyDescent="0.25">
      <c r="A187" s="1"/>
      <c r="B187" s="20"/>
      <c r="C187" s="1"/>
      <c r="D187" s="1"/>
      <c r="E187" s="1"/>
      <c r="F187" s="1"/>
      <c r="G187" s="1"/>
      <c r="H187" s="1"/>
      <c r="I187" s="1"/>
      <c r="J187" s="1">
        <f>IF($F187="","",IF($H187="","Not rated",IF(OR($H187=Lists!$B$3,$H187=Lists!$B$5),IF(AND(LEFT(SUBSTITUTE($I187," ",""),LEN($F187)+1)=$F187&amp;"-",LEN(SUBSTITUTE($I187," ",""))&gt;LEN($F187)+1),"OK","Comment required"),"OK")))</f>
      </c>
    </row>
    <row r="188" spans="1:10" x14ac:dyDescent="0.25">
      <c r="A188" s="1"/>
      <c r="B188" s="20"/>
      <c r="C188" s="1"/>
      <c r="D188" s="1"/>
      <c r="E188" s="1"/>
      <c r="F188" s="1"/>
      <c r="G188" s="1"/>
      <c r="H188" s="1"/>
      <c r="I188" s="1"/>
      <c r="J188" s="1">
        <f>IF($F188="","",IF($H188="","Not rated",IF(OR($H188=Lists!$B$3,$H188=Lists!$B$5),IF(AND(LEFT(SUBSTITUTE($I188," ",""),LEN($F188)+1)=$F188&amp;"-",LEN(SUBSTITUTE($I188," ",""))&gt;LEN($F188)+1),"OK","Comment required"),"OK")))</f>
      </c>
    </row>
    <row r="189" spans="1:10" x14ac:dyDescent="0.25">
      <c r="A189" s="1"/>
      <c r="B189" s="20"/>
      <c r="C189" s="1"/>
      <c r="D189" s="1"/>
      <c r="E189" s="1"/>
      <c r="F189" s="1"/>
      <c r="G189" s="1"/>
      <c r="H189" s="1"/>
      <c r="I189" s="1"/>
      <c r="J189" s="1">
        <f>IF($F189="","",IF($H189="","Not rated",IF(OR($H189=Lists!$B$3,$H189=Lists!$B$5),IF(AND(LEFT(SUBSTITUTE($I189," ",""),LEN($F189)+1)=$F189&amp;"-",LEN(SUBSTITUTE($I189," ",""))&gt;LEN($F189)+1),"OK","Comment required"),"OK")))</f>
      </c>
    </row>
    <row r="190" spans="1:10" x14ac:dyDescent="0.25">
      <c r="A190" s="1"/>
      <c r="B190" s="20"/>
      <c r="C190" s="1"/>
      <c r="D190" s="1"/>
      <c r="E190" s="1"/>
      <c r="F190" s="1"/>
      <c r="G190" s="1"/>
      <c r="H190" s="1"/>
      <c r="I190" s="1"/>
      <c r="J190" s="1">
        <f>IF($F190="","",IF($H190="","Not rated",IF(OR($H190=Lists!$B$3,$H190=Lists!$B$5),IF(AND(LEFT(SUBSTITUTE($I190," ",""),LEN($F190)+1)=$F190&amp;"-",LEN(SUBSTITUTE($I190," ",""))&gt;LEN($F190)+1),"OK","Comment required"),"OK")))</f>
      </c>
    </row>
    <row r="191" spans="1:10" x14ac:dyDescent="0.25">
      <c r="A191" s="1"/>
      <c r="B191" s="20"/>
      <c r="C191" s="1"/>
      <c r="D191" s="1"/>
      <c r="E191" s="1"/>
      <c r="F191" s="1"/>
      <c r="G191" s="1"/>
      <c r="H191" s="1"/>
      <c r="I191" s="1"/>
      <c r="J191" s="1">
        <f>IF($F191="","",IF($H191="","Not rated",IF(OR($H191=Lists!$B$3,$H191=Lists!$B$5),IF(AND(LEFT(SUBSTITUTE($I191," ",""),LEN($F191)+1)=$F191&amp;"-",LEN(SUBSTITUTE($I191," ",""))&gt;LEN($F191)+1),"OK","Comment required"),"OK")))</f>
      </c>
    </row>
    <row r="192" spans="1:10" x14ac:dyDescent="0.25">
      <c r="A192" s="1"/>
      <c r="B192" s="20"/>
      <c r="C192" s="1"/>
      <c r="D192" s="1"/>
      <c r="E192" s="1"/>
      <c r="F192" s="1"/>
      <c r="G192" s="1"/>
      <c r="H192" s="1"/>
      <c r="I192" s="1"/>
      <c r="J192" s="1">
        <f>IF($F192="","",IF($H192="","Not rated",IF(OR($H192=Lists!$B$3,$H192=Lists!$B$5),IF(AND(LEFT(SUBSTITUTE($I192," ",""),LEN($F192)+1)=$F192&amp;"-",LEN(SUBSTITUTE($I192," ",""))&gt;LEN($F192)+1),"OK","Comment required"),"OK")))</f>
      </c>
    </row>
    <row r="193" spans="1:10" x14ac:dyDescent="0.25">
      <c r="A193" s="1"/>
      <c r="B193" s="20"/>
      <c r="C193" s="1"/>
      <c r="D193" s="1"/>
      <c r="E193" s="1"/>
      <c r="F193" s="1"/>
      <c r="G193" s="1"/>
      <c r="H193" s="1"/>
      <c r="I193" s="1"/>
      <c r="J193" s="1">
        <f>IF($F193="","",IF($H193="","Not rated",IF(OR($H193=Lists!$B$3,$H193=Lists!$B$5),IF(AND(LEFT(SUBSTITUTE($I193," ",""),LEN($F193)+1)=$F193&amp;"-",LEN(SUBSTITUTE($I193," ",""))&gt;LEN($F193)+1),"OK","Comment required"),"OK")))</f>
      </c>
    </row>
    <row r="194" spans="1:10" x14ac:dyDescent="0.25">
      <c r="A194" s="1"/>
      <c r="B194" s="20"/>
      <c r="C194" s="1"/>
      <c r="D194" s="1"/>
      <c r="E194" s="1"/>
      <c r="F194" s="1"/>
      <c r="G194" s="1"/>
      <c r="H194" s="1"/>
      <c r="I194" s="1"/>
      <c r="J194" s="1">
        <f>IF($F194="","",IF($H194="","Not rated",IF(OR($H194=Lists!$B$3,$H194=Lists!$B$5),IF(AND(LEFT(SUBSTITUTE($I194," ",""),LEN($F194)+1)=$F194&amp;"-",LEN(SUBSTITUTE($I194," ",""))&gt;LEN($F194)+1),"OK","Comment required"),"OK")))</f>
      </c>
    </row>
    <row r="195" spans="1:10" x14ac:dyDescent="0.25">
      <c r="A195" s="1"/>
      <c r="B195" s="20"/>
      <c r="C195" s="1"/>
      <c r="D195" s="1"/>
      <c r="E195" s="1"/>
      <c r="F195" s="1"/>
      <c r="G195" s="1"/>
      <c r="H195" s="1"/>
      <c r="I195" s="1"/>
      <c r="J195" s="1">
        <f>IF($F195="","",IF($H195="","Not rated",IF(OR($H195=Lists!$B$3,$H195=Lists!$B$5),IF(AND(LEFT(SUBSTITUTE($I195," ",""),LEN($F195)+1)=$F195&amp;"-",LEN(SUBSTITUTE($I195," ",""))&gt;LEN($F195)+1),"OK","Comment required"),"OK")))</f>
      </c>
    </row>
    <row r="196" spans="1:10" x14ac:dyDescent="0.25">
      <c r="A196" s="1"/>
      <c r="B196" s="20"/>
      <c r="C196" s="1"/>
      <c r="D196" s="1"/>
      <c r="E196" s="1"/>
      <c r="F196" s="1"/>
      <c r="G196" s="1"/>
      <c r="H196" s="1"/>
      <c r="I196" s="1"/>
      <c r="J196" s="1">
        <f>IF($F196="","",IF($H196="","Not rated",IF(OR($H196=Lists!$B$3,$H196=Lists!$B$5),IF(AND(LEFT(SUBSTITUTE($I196," ",""),LEN($F196)+1)=$F196&amp;"-",LEN(SUBSTITUTE($I196," ",""))&gt;LEN($F196)+1),"OK","Comment required"),"OK")))</f>
      </c>
    </row>
    <row r="197" spans="1:10" x14ac:dyDescent="0.25">
      <c r="A197" s="1"/>
      <c r="B197" s="20"/>
      <c r="C197" s="1"/>
      <c r="D197" s="1"/>
      <c r="E197" s="1"/>
      <c r="F197" s="1"/>
      <c r="G197" s="1"/>
      <c r="H197" s="1"/>
      <c r="I197" s="1"/>
      <c r="J197" s="1">
        <f>IF($F197="","",IF($H197="","Not rated",IF(OR($H197=Lists!$B$3,$H197=Lists!$B$5),IF(AND(LEFT(SUBSTITUTE($I197," ",""),LEN($F197)+1)=$F197&amp;"-",LEN(SUBSTITUTE($I197," ",""))&gt;LEN($F197)+1),"OK","Comment required"),"OK")))</f>
      </c>
    </row>
    <row r="198" spans="1:10" x14ac:dyDescent="0.25">
      <c r="A198" s="1"/>
      <c r="B198" s="20"/>
      <c r="C198" s="1"/>
      <c r="D198" s="1"/>
      <c r="E198" s="1"/>
      <c r="F198" s="1"/>
      <c r="G198" s="1"/>
      <c r="H198" s="1"/>
      <c r="I198" s="1"/>
      <c r="J198" s="1">
        <f>IF($F198="","",IF($H198="","Not rated",IF(OR($H198=Lists!$B$3,$H198=Lists!$B$5),IF(AND(LEFT(SUBSTITUTE($I198," ",""),LEN($F198)+1)=$F198&amp;"-",LEN(SUBSTITUTE($I198," ",""))&gt;LEN($F198)+1),"OK","Comment required"),"OK")))</f>
      </c>
    </row>
    <row r="199" spans="1:10" x14ac:dyDescent="0.25">
      <c r="A199" s="1"/>
      <c r="B199" s="20"/>
      <c r="C199" s="1"/>
      <c r="D199" s="1"/>
      <c r="E199" s="1"/>
      <c r="F199" s="1"/>
      <c r="G199" s="1"/>
      <c r="H199" s="1"/>
      <c r="I199" s="1"/>
      <c r="J199" s="1">
        <f>IF($F199="","",IF($H199="","Not rated",IF(OR($H199=Lists!$B$3,$H199=Lists!$B$5),IF(AND(LEFT(SUBSTITUTE($I199," ",""),LEN($F199)+1)=$F199&amp;"-",LEN(SUBSTITUTE($I199," ",""))&gt;LEN($F199)+1),"OK","Comment required"),"OK")))</f>
      </c>
    </row>
    <row r="200" spans="1:10" x14ac:dyDescent="0.25">
      <c r="A200" s="1"/>
      <c r="B200" s="20"/>
      <c r="C200" s="1"/>
      <c r="D200" s="1"/>
      <c r="E200" s="1"/>
      <c r="F200" s="1"/>
      <c r="G200" s="1"/>
      <c r="H200" s="1"/>
      <c r="I200" s="1"/>
      <c r="J200" s="1">
        <f>IF($F200="","",IF($H200="","Not rated",IF(OR($H200=Lists!$B$3,$H200=Lists!$B$5),IF(AND(LEFT(SUBSTITUTE($I200," ",""),LEN($F200)+1)=$F200&amp;"-",LEN(SUBSTITUTE($I200," ",""))&gt;LEN($F200)+1),"OK","Comment required"),"OK")))</f>
      </c>
    </row>
    <row r="201" spans="1:10" x14ac:dyDescent="0.25">
      <c r="A201" s="1"/>
      <c r="B201" s="20"/>
      <c r="C201" s="1"/>
      <c r="D201" s="1"/>
      <c r="E201" s="1"/>
      <c r="F201" s="1"/>
      <c r="G201" s="1"/>
      <c r="H201" s="1"/>
      <c r="I201" s="1"/>
      <c r="J201" s="1">
        <f>IF($F201="","",IF($H201="","Not rated",IF(OR($H201=Lists!$B$3,$H201=Lists!$B$5),IF(AND(LEFT(SUBSTITUTE($I201," ",""),LEN($F201)+1)=$F201&amp;"-",LEN(SUBSTITUTE($I201," ",""))&gt;LEN($F201)+1),"OK","Comment required"),"OK")))</f>
      </c>
    </row>
    <row r="202" spans="1:10" x14ac:dyDescent="0.25">
      <c r="A202" s="1"/>
      <c r="B202" s="20"/>
      <c r="C202" s="1"/>
      <c r="D202" s="1"/>
      <c r="E202" s="1"/>
      <c r="F202" s="1"/>
      <c r="G202" s="1"/>
      <c r="H202" s="1"/>
      <c r="I202" s="1"/>
      <c r="J202" s="1">
        <f>IF($F202="","",IF($H202="","Not rated",IF(OR($H202=Lists!$B$3,$H202=Lists!$B$5),IF(AND(LEFT(SUBSTITUTE($I202," ",""),LEN($F202)+1)=$F202&amp;"-",LEN(SUBSTITUTE($I202," ",""))&gt;LEN($F202)+1),"OK","Comment required"),"OK")))</f>
      </c>
    </row>
    <row r="203" spans="1:10" x14ac:dyDescent="0.25">
      <c r="A203" s="1"/>
      <c r="B203" s="20"/>
      <c r="C203" s="1"/>
      <c r="D203" s="1"/>
      <c r="E203" s="1"/>
      <c r="F203" s="1"/>
      <c r="G203" s="1"/>
      <c r="H203" s="1"/>
      <c r="I203" s="1"/>
      <c r="J203" s="1">
        <f>IF($F203="","",IF($H203="","Not rated",IF(OR($H203=Lists!$B$3,$H203=Lists!$B$5),IF(AND(LEFT(SUBSTITUTE($I203," ",""),LEN($F203)+1)=$F203&amp;"-",LEN(SUBSTITUTE($I203," ",""))&gt;LEN($F203)+1),"OK","Comment required"),"OK")))</f>
      </c>
    </row>
    <row r="204" spans="1:10" x14ac:dyDescent="0.25">
      <c r="A204" s="1"/>
      <c r="B204" s="20"/>
      <c r="C204" s="1"/>
      <c r="D204" s="1"/>
      <c r="E204" s="1"/>
      <c r="F204" s="1"/>
      <c r="G204" s="1"/>
      <c r="H204" s="1"/>
      <c r="I204" s="1"/>
      <c r="J204" s="1">
        <f>IF($F204="","",IF($H204="","Not rated",IF(OR($H204=Lists!$B$3,$H204=Lists!$B$5),IF(AND(LEFT(SUBSTITUTE($I204," ",""),LEN($F204)+1)=$F204&amp;"-",LEN(SUBSTITUTE($I204," ",""))&gt;LEN($F204)+1),"OK","Comment required"),"OK")))</f>
      </c>
    </row>
    <row r="205" spans="1:10" x14ac:dyDescent="0.25">
      <c r="A205" s="1"/>
      <c r="B205" s="20"/>
      <c r="C205" s="1"/>
      <c r="D205" s="1"/>
      <c r="E205" s="1"/>
      <c r="F205" s="1"/>
      <c r="G205" s="1"/>
      <c r="H205" s="1"/>
      <c r="I205" s="1"/>
      <c r="J205" s="1">
        <f>IF($F205="","",IF($H205="","Not rated",IF(OR($H205=Lists!$B$3,$H205=Lists!$B$5),IF(AND(LEFT(SUBSTITUTE($I205," ",""),LEN($F205)+1)=$F205&amp;"-",LEN(SUBSTITUTE($I205," ",""))&gt;LEN($F205)+1),"OK","Comment required"),"OK")))</f>
      </c>
    </row>
    <row r="206" spans="1:10" x14ac:dyDescent="0.25">
      <c r="A206" s="1"/>
      <c r="B206" s="20"/>
      <c r="C206" s="1"/>
      <c r="D206" s="1"/>
      <c r="E206" s="1"/>
      <c r="F206" s="1"/>
      <c r="G206" s="1"/>
      <c r="H206" s="1"/>
      <c r="I206" s="1"/>
      <c r="J206" s="1">
        <f>IF($F206="","",IF($H206="","Not rated",IF(OR($H206=Lists!$B$3,$H206=Lists!$B$5),IF(AND(LEFT(SUBSTITUTE($I206," ",""),LEN($F206)+1)=$F206&amp;"-",LEN(SUBSTITUTE($I206," ",""))&gt;LEN($F206)+1),"OK","Comment required"),"OK")))</f>
      </c>
    </row>
    <row r="207" spans="1:10" x14ac:dyDescent="0.25">
      <c r="A207" s="1"/>
      <c r="B207" s="20"/>
      <c r="C207" s="1"/>
      <c r="D207" s="1"/>
      <c r="E207" s="1"/>
      <c r="F207" s="1"/>
      <c r="G207" s="1"/>
      <c r="H207" s="1"/>
      <c r="I207" s="1"/>
      <c r="J207" s="1">
        <f>IF($F207="","",IF($H207="","Not rated",IF(OR($H207=Lists!$B$3,$H207=Lists!$B$5),IF(AND(LEFT(SUBSTITUTE($I207," ",""),LEN($F207)+1)=$F207&amp;"-",LEN(SUBSTITUTE($I207," ",""))&gt;LEN($F207)+1),"OK","Comment required"),"OK")))</f>
      </c>
    </row>
    <row r="208" spans="1:10" x14ac:dyDescent="0.25">
      <c r="A208" s="1"/>
      <c r="B208" s="20"/>
      <c r="C208" s="1"/>
      <c r="D208" s="1"/>
      <c r="E208" s="1"/>
      <c r="F208" s="1"/>
      <c r="G208" s="1"/>
      <c r="H208" s="1"/>
      <c r="I208" s="1"/>
      <c r="J208" s="1">
        <f>IF($F208="","",IF($H208="","Not rated",IF(OR($H208=Lists!$B$3,$H208=Lists!$B$5),IF(AND(LEFT(SUBSTITUTE($I208," ",""),LEN($F208)+1)=$F208&amp;"-",LEN(SUBSTITUTE($I208," ",""))&gt;LEN($F208)+1),"OK","Comment required"),"OK")))</f>
      </c>
    </row>
    <row r="209" spans="1:10" x14ac:dyDescent="0.25">
      <c r="A209" s="1"/>
      <c r="B209" s="20"/>
      <c r="C209" s="1"/>
      <c r="D209" s="1"/>
      <c r="E209" s="1"/>
      <c r="F209" s="1"/>
      <c r="G209" s="1"/>
      <c r="H209" s="1"/>
      <c r="I209" s="1"/>
      <c r="J209" s="1">
        <f>IF($F209="","",IF($H209="","Not rated",IF(OR($H209=Lists!$B$3,$H209=Lists!$B$5),IF(AND(LEFT(SUBSTITUTE($I209," ",""),LEN($F209)+1)=$F209&amp;"-",LEN(SUBSTITUTE($I209," ",""))&gt;LEN($F209)+1),"OK","Comment required"),"OK")))</f>
      </c>
    </row>
    <row r="210" spans="1:10" x14ac:dyDescent="0.25">
      <c r="A210" s="1"/>
      <c r="B210" s="20"/>
      <c r="C210" s="1"/>
      <c r="D210" s="1"/>
      <c r="E210" s="1"/>
      <c r="F210" s="1"/>
      <c r="G210" s="1"/>
      <c r="H210" s="1"/>
      <c r="I210" s="1"/>
      <c r="J210" s="1">
        <f>IF($F210="","",IF($H210="","Not rated",IF(OR($H210=Lists!$B$3,$H210=Lists!$B$5),IF(AND(LEFT(SUBSTITUTE($I210," ",""),LEN($F210)+1)=$F210&amp;"-",LEN(SUBSTITUTE($I210," ",""))&gt;LEN($F210)+1),"OK","Comment required"),"OK")))</f>
      </c>
    </row>
    <row r="211" spans="1:10" x14ac:dyDescent="0.25">
      <c r="A211" s="1"/>
      <c r="B211" s="20"/>
      <c r="C211" s="1"/>
      <c r="D211" s="1"/>
      <c r="E211" s="1"/>
      <c r="F211" s="1"/>
      <c r="G211" s="1"/>
      <c r="H211" s="1"/>
      <c r="I211" s="1"/>
      <c r="J211" s="1">
        <f>IF($F211="","",IF($H211="","Not rated",IF(OR($H211=Lists!$B$3,$H211=Lists!$B$5),IF(AND(LEFT(SUBSTITUTE($I211," ",""),LEN($F211)+1)=$F211&amp;"-",LEN(SUBSTITUTE($I211," ",""))&gt;LEN($F211)+1),"OK","Comment required"),"OK")))</f>
      </c>
    </row>
    <row r="212" spans="1:10" x14ac:dyDescent="0.25">
      <c r="A212" s="1"/>
      <c r="B212" s="20"/>
      <c r="C212" s="1"/>
      <c r="D212" s="1"/>
      <c r="E212" s="1"/>
      <c r="F212" s="1"/>
      <c r="G212" s="1"/>
      <c r="H212" s="1"/>
      <c r="I212" s="1"/>
      <c r="J212" s="1">
        <f>IF($F212="","",IF($H212="","Not rated",IF(OR($H212=Lists!$B$3,$H212=Lists!$B$5),IF(AND(LEFT(SUBSTITUTE($I212," ",""),LEN($F212)+1)=$F212&amp;"-",LEN(SUBSTITUTE($I212," ",""))&gt;LEN($F212)+1),"OK","Comment required"),"OK")))</f>
      </c>
    </row>
    <row r="213" spans="1:10" x14ac:dyDescent="0.25">
      <c r="A213" s="1"/>
      <c r="B213" s="20"/>
      <c r="C213" s="1"/>
      <c r="D213" s="1"/>
      <c r="E213" s="1"/>
      <c r="F213" s="1"/>
      <c r="G213" s="1"/>
      <c r="H213" s="1"/>
      <c r="I213" s="1"/>
      <c r="J213" s="1">
        <f>IF($F213="","",IF($H213="","Not rated",IF(OR($H213=Lists!$B$3,$H213=Lists!$B$5),IF(AND(LEFT(SUBSTITUTE($I213," ",""),LEN($F213)+1)=$F213&amp;"-",LEN(SUBSTITUTE($I213," ",""))&gt;LEN($F213)+1),"OK","Comment required"),"OK")))</f>
      </c>
    </row>
    <row r="214" spans="1:10" x14ac:dyDescent="0.25">
      <c r="A214" s="1"/>
      <c r="B214" s="20"/>
      <c r="C214" s="1"/>
      <c r="D214" s="1"/>
      <c r="E214" s="1"/>
      <c r="F214" s="1"/>
      <c r="G214" s="1"/>
      <c r="H214" s="1"/>
      <c r="I214" s="1"/>
      <c r="J214" s="1">
        <f>IF($F214="","",IF($H214="","Not rated",IF(OR($H214=Lists!$B$3,$H214=Lists!$B$5),IF(AND(LEFT(SUBSTITUTE($I214," ",""),LEN($F214)+1)=$F214&amp;"-",LEN(SUBSTITUTE($I214," ",""))&gt;LEN($F214)+1),"OK","Comment required"),"OK")))</f>
      </c>
    </row>
    <row r="215" spans="1:10" x14ac:dyDescent="0.25">
      <c r="A215" s="1"/>
      <c r="B215" s="20"/>
      <c r="C215" s="1"/>
      <c r="D215" s="1"/>
      <c r="E215" s="1"/>
      <c r="F215" s="1"/>
      <c r="G215" s="1"/>
      <c r="H215" s="1"/>
      <c r="I215" s="1"/>
      <c r="J215" s="1">
        <f>IF($F215="","",IF($H215="","Not rated",IF(OR($H215=Lists!$B$3,$H215=Lists!$B$5),IF(AND(LEFT(SUBSTITUTE($I215," ",""),LEN($F215)+1)=$F215&amp;"-",LEN(SUBSTITUTE($I215," ",""))&gt;LEN($F215)+1),"OK","Comment required"),"OK")))</f>
      </c>
    </row>
    <row r="216" spans="1:10" x14ac:dyDescent="0.25">
      <c r="A216" s="1"/>
      <c r="B216" s="20"/>
      <c r="C216" s="1"/>
      <c r="D216" s="1"/>
      <c r="E216" s="1"/>
      <c r="F216" s="1"/>
      <c r="G216" s="1"/>
      <c r="H216" s="1"/>
      <c r="I216" s="1"/>
      <c r="J216" s="1">
        <f>IF($F216="","",IF($H216="","Not rated",IF(OR($H216=Lists!$B$3,$H216=Lists!$B$5),IF(AND(LEFT(SUBSTITUTE($I216," ",""),LEN($F216)+1)=$F216&amp;"-",LEN(SUBSTITUTE($I216," ",""))&gt;LEN($F216)+1),"OK","Comment required"),"OK")))</f>
      </c>
    </row>
    <row r="217" spans="1:10" x14ac:dyDescent="0.25">
      <c r="A217" s="1"/>
      <c r="B217" s="20"/>
      <c r="C217" s="1"/>
      <c r="D217" s="1"/>
      <c r="E217" s="1"/>
      <c r="F217" s="1"/>
      <c r="G217" s="1"/>
      <c r="H217" s="1"/>
      <c r="I217" s="1"/>
      <c r="J217" s="1">
        <f>IF($F217="","",IF($H217="","Not rated",IF(OR($H217=Lists!$B$3,$H217=Lists!$B$5),IF(AND(LEFT(SUBSTITUTE($I217," ",""),LEN($F217)+1)=$F217&amp;"-",LEN(SUBSTITUTE($I217," ",""))&gt;LEN($F217)+1),"OK","Comment required"),"OK")))</f>
      </c>
    </row>
    <row r="218" spans="1:10" x14ac:dyDescent="0.25">
      <c r="A218" s="1"/>
      <c r="B218" s="20"/>
      <c r="C218" s="1"/>
      <c r="D218" s="1"/>
      <c r="E218" s="1"/>
      <c r="F218" s="1"/>
      <c r="G218" s="1"/>
      <c r="H218" s="1"/>
      <c r="I218" s="1"/>
      <c r="J218" s="1">
        <f>IF($F218="","",IF($H218="","Not rated",IF(OR($H218=Lists!$B$3,$H218=Lists!$B$5),IF(AND(LEFT(SUBSTITUTE($I218," ",""),LEN($F218)+1)=$F218&amp;"-",LEN(SUBSTITUTE($I218," ",""))&gt;LEN($F218)+1),"OK","Comment required"),"OK")))</f>
      </c>
    </row>
    <row r="219" spans="1:10" x14ac:dyDescent="0.25">
      <c r="A219" s="1"/>
      <c r="B219" s="20"/>
      <c r="C219" s="1"/>
      <c r="D219" s="1"/>
      <c r="E219" s="1"/>
      <c r="F219" s="1"/>
      <c r="G219" s="1"/>
      <c r="H219" s="1"/>
      <c r="I219" s="1"/>
      <c r="J219" s="1">
        <f>IF($F219="","",IF($H219="","Not rated",IF(OR($H219=Lists!$B$3,$H219=Lists!$B$5),IF(AND(LEFT(SUBSTITUTE($I219," ",""),LEN($F219)+1)=$F219&amp;"-",LEN(SUBSTITUTE($I219," ",""))&gt;LEN($F219)+1),"OK","Comment required"),"OK")))</f>
      </c>
    </row>
    <row r="220" spans="1:10" x14ac:dyDescent="0.25">
      <c r="A220" s="1"/>
      <c r="B220" s="20"/>
      <c r="C220" s="1"/>
      <c r="D220" s="1"/>
      <c r="E220" s="1"/>
      <c r="F220" s="1"/>
      <c r="G220" s="1"/>
      <c r="H220" s="1"/>
      <c r="I220" s="1"/>
      <c r="J220" s="1">
        <f>IF($F220="","",IF($H220="","Not rated",IF(OR($H220=Lists!$B$3,$H220=Lists!$B$5),IF(AND(LEFT(SUBSTITUTE($I220," ",""),LEN($F220)+1)=$F220&amp;"-",LEN(SUBSTITUTE($I220," ",""))&gt;LEN($F220)+1),"OK","Comment required"),"OK")))</f>
      </c>
    </row>
    <row r="221" spans="1:10" x14ac:dyDescent="0.25">
      <c r="A221" s="1"/>
      <c r="B221" s="20"/>
      <c r="C221" s="1"/>
      <c r="D221" s="1"/>
      <c r="E221" s="1"/>
      <c r="F221" s="1"/>
      <c r="G221" s="1"/>
      <c r="H221" s="1"/>
      <c r="I221" s="1"/>
      <c r="J221" s="1">
        <f>IF($F221="","",IF($H221="","Not rated",IF(OR($H221=Lists!$B$3,$H221=Lists!$B$5),IF(AND(LEFT(SUBSTITUTE($I221," ",""),LEN($F221)+1)=$F221&amp;"-",LEN(SUBSTITUTE($I221," ",""))&gt;LEN($F221)+1),"OK","Comment required"),"OK")))</f>
      </c>
    </row>
    <row r="222" spans="1:10" x14ac:dyDescent="0.25">
      <c r="A222" s="1"/>
      <c r="B222" s="20"/>
      <c r="C222" s="1"/>
      <c r="D222" s="1"/>
      <c r="E222" s="1"/>
      <c r="F222" s="1"/>
      <c r="G222" s="1"/>
      <c r="H222" s="1"/>
      <c r="I222" s="1"/>
      <c r="J222" s="1">
        <f>IF($F222="","",IF($H222="","Not rated",IF(OR($H222=Lists!$B$3,$H222=Lists!$B$5),IF(AND(LEFT(SUBSTITUTE($I222," ",""),LEN($F222)+1)=$F222&amp;"-",LEN(SUBSTITUTE($I222," ",""))&gt;LEN($F222)+1),"OK","Comment required"),"OK")))</f>
      </c>
    </row>
    <row r="223" spans="1:10" x14ac:dyDescent="0.25">
      <c r="A223" s="1"/>
      <c r="B223" s="20"/>
      <c r="C223" s="1"/>
      <c r="D223" s="1"/>
      <c r="E223" s="1"/>
      <c r="F223" s="1"/>
      <c r="G223" s="1"/>
      <c r="H223" s="1"/>
      <c r="I223" s="1"/>
      <c r="J223" s="1">
        <f>IF($F223="","",IF($H223="","Not rated",IF(OR($H223=Lists!$B$3,$H223=Lists!$B$5),IF(AND(LEFT(SUBSTITUTE($I223," ",""),LEN($F223)+1)=$F223&amp;"-",LEN(SUBSTITUTE($I223," ",""))&gt;LEN($F223)+1),"OK","Comment required"),"OK")))</f>
      </c>
    </row>
    <row r="224" spans="1:10" x14ac:dyDescent="0.25">
      <c r="A224" s="1"/>
      <c r="B224" s="20"/>
      <c r="C224" s="1"/>
      <c r="D224" s="1"/>
      <c r="E224" s="1"/>
      <c r="F224" s="1"/>
      <c r="G224" s="1"/>
      <c r="H224" s="1"/>
      <c r="I224" s="1"/>
      <c r="J224" s="1">
        <f>IF($F224="","",IF($H224="","Not rated",IF(OR($H224=Lists!$B$3,$H224=Lists!$B$5),IF(AND(LEFT(SUBSTITUTE($I224," ",""),LEN($F224)+1)=$F224&amp;"-",LEN(SUBSTITUTE($I224," ",""))&gt;LEN($F224)+1),"OK","Comment required"),"OK")))</f>
      </c>
    </row>
    <row r="225" spans="1:10" x14ac:dyDescent="0.25">
      <c r="A225" s="1"/>
      <c r="B225" s="20"/>
      <c r="C225" s="1"/>
      <c r="D225" s="1"/>
      <c r="E225" s="1"/>
      <c r="F225" s="1"/>
      <c r="G225" s="1"/>
      <c r="H225" s="1"/>
      <c r="I225" s="1"/>
      <c r="J225" s="1">
        <f>IF($F225="","",IF($H225="","Not rated",IF(OR($H225=Lists!$B$3,$H225=Lists!$B$5),IF(AND(LEFT(SUBSTITUTE($I225," ",""),LEN($F225)+1)=$F225&amp;"-",LEN(SUBSTITUTE($I225," ",""))&gt;LEN($F225)+1),"OK","Comment required"),"OK")))</f>
      </c>
    </row>
    <row r="226" spans="1:10" x14ac:dyDescent="0.25">
      <c r="A226" s="1"/>
      <c r="B226" s="20"/>
      <c r="C226" s="1"/>
      <c r="D226" s="1"/>
      <c r="E226" s="1"/>
      <c r="F226" s="1"/>
      <c r="G226" s="1"/>
      <c r="H226" s="1"/>
      <c r="I226" s="1"/>
      <c r="J226" s="1">
        <f>IF($F226="","",IF($H226="","Not rated",IF(OR($H226=Lists!$B$3,$H226=Lists!$B$5),IF(AND(LEFT(SUBSTITUTE($I226," ",""),LEN($F226)+1)=$F226&amp;"-",LEN(SUBSTITUTE($I226," ",""))&gt;LEN($F226)+1),"OK","Comment required"),"OK")))</f>
      </c>
    </row>
    <row r="227" spans="1:10" x14ac:dyDescent="0.25">
      <c r="A227" s="1"/>
      <c r="B227" s="20"/>
      <c r="C227" s="1"/>
      <c r="D227" s="1"/>
      <c r="E227" s="1"/>
      <c r="F227" s="1"/>
      <c r="G227" s="1"/>
      <c r="H227" s="1"/>
      <c r="I227" s="1"/>
      <c r="J227" s="1">
        <f>IF($F227="","",IF($H227="","Not rated",IF(OR($H227=Lists!$B$3,$H227=Lists!$B$5),IF(AND(LEFT(SUBSTITUTE($I227," ",""),LEN($F227)+1)=$F227&amp;"-",LEN(SUBSTITUTE($I227," ",""))&gt;LEN($F227)+1),"OK","Comment required"),"OK")))</f>
      </c>
    </row>
    <row r="228" spans="1:10" x14ac:dyDescent="0.25">
      <c r="A228" s="1"/>
      <c r="B228" s="20"/>
      <c r="C228" s="1"/>
      <c r="D228" s="1"/>
      <c r="E228" s="1"/>
      <c r="F228" s="1"/>
      <c r="G228" s="1"/>
      <c r="H228" s="1"/>
      <c r="I228" s="1"/>
      <c r="J228" s="1">
        <f>IF($F228="","",IF($H228="","Not rated",IF(OR($H228=Lists!$B$3,$H228=Lists!$B$5),IF(AND(LEFT(SUBSTITUTE($I228," ",""),LEN($F228)+1)=$F228&amp;"-",LEN(SUBSTITUTE($I228," ",""))&gt;LEN($F228)+1),"OK","Comment required"),"OK")))</f>
      </c>
    </row>
    <row r="229" spans="1:10" x14ac:dyDescent="0.25">
      <c r="A229" s="1"/>
      <c r="B229" s="20"/>
      <c r="C229" s="1"/>
      <c r="D229" s="1"/>
      <c r="E229" s="1"/>
      <c r="F229" s="1"/>
      <c r="G229" s="1"/>
      <c r="H229" s="1"/>
      <c r="I229" s="1"/>
      <c r="J229" s="1">
        <f>IF($F229="","",IF($H229="","Not rated",IF(OR($H229=Lists!$B$3,$H229=Lists!$B$5),IF(AND(LEFT(SUBSTITUTE($I229," ",""),LEN($F229)+1)=$F229&amp;"-",LEN(SUBSTITUTE($I229," ",""))&gt;LEN($F229)+1),"OK","Comment required"),"OK")))</f>
      </c>
    </row>
    <row r="230" spans="1:10" x14ac:dyDescent="0.25">
      <c r="A230" s="1"/>
      <c r="B230" s="20"/>
      <c r="C230" s="1"/>
      <c r="D230" s="1"/>
      <c r="E230" s="1"/>
      <c r="F230" s="1"/>
      <c r="G230" s="1"/>
      <c r="H230" s="1"/>
      <c r="I230" s="1"/>
      <c r="J230" s="1">
        <f>IF($F230="","",IF($H230="","Not rated",IF(OR($H230=Lists!$B$3,$H230=Lists!$B$5),IF(AND(LEFT(SUBSTITUTE($I230," ",""),LEN($F230)+1)=$F230&amp;"-",LEN(SUBSTITUTE($I230," ",""))&gt;LEN($F230)+1),"OK","Comment required"),"OK")))</f>
      </c>
    </row>
    <row r="231" spans="1:10" x14ac:dyDescent="0.25">
      <c r="A231" s="1"/>
      <c r="B231" s="20"/>
      <c r="C231" s="1"/>
      <c r="D231" s="1"/>
      <c r="E231" s="1"/>
      <c r="F231" s="1"/>
      <c r="G231" s="1"/>
      <c r="H231" s="1"/>
      <c r="I231" s="1"/>
      <c r="J231" s="1">
        <f>IF($F231="","",IF($H231="","Not rated",IF(OR($H231=Lists!$B$3,$H231=Lists!$B$5),IF(AND(LEFT(SUBSTITUTE($I231," ",""),LEN($F231)+1)=$F231&amp;"-",LEN(SUBSTITUTE($I231," ",""))&gt;LEN($F231)+1),"OK","Comment required"),"OK")))</f>
      </c>
    </row>
    <row r="232" spans="1:10" x14ac:dyDescent="0.25">
      <c r="A232" s="1"/>
      <c r="B232" s="20"/>
      <c r="C232" s="1"/>
      <c r="D232" s="1"/>
      <c r="E232" s="1"/>
      <c r="F232" s="1"/>
      <c r="G232" s="1"/>
      <c r="H232" s="1"/>
      <c r="I232" s="1"/>
      <c r="J232" s="1">
        <f>IF($F232="","",IF($H232="","Not rated",IF(OR($H232=Lists!$B$3,$H232=Lists!$B$5),IF(AND(LEFT(SUBSTITUTE($I232," ",""),LEN($F232)+1)=$F232&amp;"-",LEN(SUBSTITUTE($I232," ",""))&gt;LEN($F232)+1),"OK","Comment required"),"OK")))</f>
      </c>
    </row>
    <row r="233" spans="1:10" x14ac:dyDescent="0.25">
      <c r="A233" s="1"/>
      <c r="B233" s="20"/>
      <c r="C233" s="1"/>
      <c r="D233" s="1"/>
      <c r="E233" s="1"/>
      <c r="F233" s="1"/>
      <c r="G233" s="1"/>
      <c r="H233" s="1"/>
      <c r="I233" s="1"/>
      <c r="J233" s="1">
        <f>IF($F233="","",IF($H233="","Not rated",IF(OR($H233=Lists!$B$3,$H233=Lists!$B$5),IF(AND(LEFT(SUBSTITUTE($I233," ",""),LEN($F233)+1)=$F233&amp;"-",LEN(SUBSTITUTE($I233," ",""))&gt;LEN($F233)+1),"OK","Comment required"),"OK")))</f>
      </c>
    </row>
    <row r="234" spans="1:10" x14ac:dyDescent="0.25">
      <c r="A234" s="1"/>
      <c r="B234" s="20"/>
      <c r="C234" s="1"/>
      <c r="D234" s="1"/>
      <c r="E234" s="1"/>
      <c r="F234" s="1"/>
      <c r="G234" s="1"/>
      <c r="H234" s="1"/>
      <c r="I234" s="1"/>
      <c r="J234" s="1">
        <f>IF($F234="","",IF($H234="","Not rated",IF(OR($H234=Lists!$B$3,$H234=Lists!$B$5),IF(AND(LEFT(SUBSTITUTE($I234," ",""),LEN($F234)+1)=$F234&amp;"-",LEN(SUBSTITUTE($I234," ",""))&gt;LEN($F234)+1),"OK","Comment required"),"OK")))</f>
      </c>
    </row>
    <row r="235" spans="1:10" x14ac:dyDescent="0.25">
      <c r="A235" s="1"/>
      <c r="B235" s="20"/>
      <c r="C235" s="1"/>
      <c r="D235" s="1"/>
      <c r="E235" s="1"/>
      <c r="F235" s="1"/>
      <c r="G235" s="1"/>
      <c r="H235" s="1"/>
      <c r="I235" s="1"/>
      <c r="J235" s="1">
        <f>IF($F235="","",IF($H235="","Not rated",IF(OR($H235=Lists!$B$3,$H235=Lists!$B$5),IF(AND(LEFT(SUBSTITUTE($I235," ",""),LEN($F235)+1)=$F235&amp;"-",LEN(SUBSTITUTE($I235," ",""))&gt;LEN($F235)+1),"OK","Comment required"),"OK")))</f>
      </c>
    </row>
    <row r="236" spans="1:10" x14ac:dyDescent="0.25">
      <c r="A236" s="1"/>
      <c r="B236" s="20"/>
      <c r="C236" s="1"/>
      <c r="D236" s="1"/>
      <c r="E236" s="1"/>
      <c r="F236" s="1"/>
      <c r="G236" s="1"/>
      <c r="H236" s="1"/>
      <c r="I236" s="1"/>
      <c r="J236" s="1">
        <f>IF($F236="","",IF($H236="","Not rated",IF(OR($H236=Lists!$B$3,$H236=Lists!$B$5),IF(AND(LEFT(SUBSTITUTE($I236," ",""),LEN($F236)+1)=$F236&amp;"-",LEN(SUBSTITUTE($I236," ",""))&gt;LEN($F236)+1),"OK","Comment required"),"OK")))</f>
      </c>
    </row>
    <row r="237" spans="1:10" x14ac:dyDescent="0.25">
      <c r="A237" s="1"/>
      <c r="B237" s="20"/>
      <c r="C237" s="1"/>
      <c r="D237" s="1"/>
      <c r="E237" s="1"/>
      <c r="F237" s="1"/>
      <c r="G237" s="1"/>
      <c r="H237" s="1"/>
      <c r="I237" s="1"/>
      <c r="J237" s="1">
        <f>IF($F237="","",IF($H237="","Not rated",IF(OR($H237=Lists!$B$3,$H237=Lists!$B$5),IF(AND(LEFT(SUBSTITUTE($I237," ",""),LEN($F237)+1)=$F237&amp;"-",LEN(SUBSTITUTE($I237," ",""))&gt;LEN($F237)+1),"OK","Comment required"),"OK")))</f>
      </c>
    </row>
    <row r="238" spans="1:10" x14ac:dyDescent="0.25">
      <c r="A238" s="1"/>
      <c r="B238" s="20"/>
      <c r="C238" s="1"/>
      <c r="D238" s="1"/>
      <c r="E238" s="1"/>
      <c r="F238" s="1"/>
      <c r="G238" s="1"/>
      <c r="H238" s="1"/>
      <c r="I238" s="1"/>
      <c r="J238" s="1">
        <f>IF($F238="","",IF($H238="","Not rated",IF(OR($H238=Lists!$B$3,$H238=Lists!$B$5),IF(AND(LEFT(SUBSTITUTE($I238," ",""),LEN($F238)+1)=$F238&amp;"-",LEN(SUBSTITUTE($I238," ",""))&gt;LEN($F238)+1),"OK","Comment required"),"OK")))</f>
      </c>
    </row>
    <row r="239" spans="1:10" x14ac:dyDescent="0.25">
      <c r="A239" s="1"/>
      <c r="B239" s="20"/>
      <c r="C239" s="1"/>
      <c r="D239" s="1"/>
      <c r="E239" s="1"/>
      <c r="F239" s="1"/>
      <c r="G239" s="1"/>
      <c r="H239" s="1"/>
      <c r="I239" s="1"/>
      <c r="J239" s="1">
        <f>IF($F239="","",IF($H239="","Not rated",IF(OR($H239=Lists!$B$3,$H239=Lists!$B$5),IF(AND(LEFT(SUBSTITUTE($I239," ",""),LEN($F239)+1)=$F239&amp;"-",LEN(SUBSTITUTE($I239," ",""))&gt;LEN($F239)+1),"OK","Comment required"),"OK")))</f>
      </c>
    </row>
    <row r="240" spans="1:10" x14ac:dyDescent="0.25">
      <c r="A240" s="1"/>
      <c r="B240" s="20"/>
      <c r="C240" s="1"/>
      <c r="D240" s="1"/>
      <c r="E240" s="1"/>
      <c r="F240" s="1"/>
      <c r="G240" s="1"/>
      <c r="H240" s="1"/>
      <c r="I240" s="1"/>
      <c r="J240" s="1">
        <f>IF($F240="","",IF($H240="","Not rated",IF(OR($H240=Lists!$B$3,$H240=Lists!$B$5),IF(AND(LEFT(SUBSTITUTE($I240," ",""),LEN($F240)+1)=$F240&amp;"-",LEN(SUBSTITUTE($I240," ",""))&gt;LEN($F240)+1),"OK","Comment required"),"OK")))</f>
      </c>
    </row>
    <row r="241" spans="1:10" x14ac:dyDescent="0.25">
      <c r="A241" s="1"/>
      <c r="B241" s="20"/>
      <c r="C241" s="1"/>
      <c r="D241" s="1"/>
      <c r="E241" s="1"/>
      <c r="F241" s="1"/>
      <c r="G241" s="1"/>
      <c r="H241" s="1"/>
      <c r="I241" s="1"/>
      <c r="J241" s="1">
        <f>IF($F241="","",IF($H241="","Not rated",IF(OR($H241=Lists!$B$3,$H241=Lists!$B$5),IF(AND(LEFT(SUBSTITUTE($I241," ",""),LEN($F241)+1)=$F241&amp;"-",LEN(SUBSTITUTE($I241," ",""))&gt;LEN($F241)+1),"OK","Comment required"),"OK")))</f>
      </c>
    </row>
    <row r="242" spans="1:10" x14ac:dyDescent="0.25">
      <c r="A242" s="1"/>
      <c r="B242" s="20"/>
      <c r="C242" s="1"/>
      <c r="D242" s="1"/>
      <c r="E242" s="1"/>
      <c r="F242" s="1"/>
      <c r="G242" s="1"/>
      <c r="H242" s="1"/>
      <c r="I242" s="1"/>
      <c r="J242" s="1">
        <f>IF($F242="","",IF($H242="","Not rated",IF(OR($H242=Lists!$B$3,$H242=Lists!$B$5),IF(AND(LEFT(SUBSTITUTE($I242," ",""),LEN($F242)+1)=$F242&amp;"-",LEN(SUBSTITUTE($I242," ",""))&gt;LEN($F242)+1),"OK","Comment required"),"OK")))</f>
      </c>
    </row>
    <row r="243" spans="1:10" x14ac:dyDescent="0.25">
      <c r="A243" s="1"/>
      <c r="B243" s="20"/>
      <c r="C243" s="1"/>
      <c r="D243" s="1"/>
      <c r="E243" s="1"/>
      <c r="F243" s="1"/>
      <c r="G243" s="1"/>
      <c r="H243" s="1"/>
      <c r="I243" s="1"/>
      <c r="J243" s="1">
        <f>IF($F243="","",IF($H243="","Not rated",IF(OR($H243=Lists!$B$3,$H243=Lists!$B$5),IF(AND(LEFT(SUBSTITUTE($I243," ",""),LEN($F243)+1)=$F243&amp;"-",LEN(SUBSTITUTE($I243," ",""))&gt;LEN($F243)+1),"OK","Comment required"),"OK")))</f>
      </c>
    </row>
    <row r="244" spans="1:10" x14ac:dyDescent="0.25">
      <c r="A244" s="1"/>
      <c r="B244" s="20"/>
      <c r="C244" s="1"/>
      <c r="D244" s="1"/>
      <c r="E244" s="1"/>
      <c r="F244" s="1"/>
      <c r="G244" s="1"/>
      <c r="H244" s="1"/>
      <c r="I244" s="1"/>
      <c r="J244" s="1">
        <f>IF($F244="","",IF($H244="","Not rated",IF(OR($H244=Lists!$B$3,$H244=Lists!$B$5),IF(AND(LEFT(SUBSTITUTE($I244," ",""),LEN($F244)+1)=$F244&amp;"-",LEN(SUBSTITUTE($I244," ",""))&gt;LEN($F244)+1),"OK","Comment required"),"OK")))</f>
      </c>
    </row>
    <row r="245" spans="1:10" x14ac:dyDescent="0.25">
      <c r="A245" s="1"/>
      <c r="B245" s="20"/>
      <c r="C245" s="1"/>
      <c r="D245" s="1"/>
      <c r="E245" s="1"/>
      <c r="F245" s="1"/>
      <c r="G245" s="1"/>
      <c r="H245" s="1"/>
      <c r="I245" s="1"/>
      <c r="J245" s="1">
        <f>IF($F245="","",IF($H245="","Not rated",IF(OR($H245=Lists!$B$3,$H245=Lists!$B$5),IF(AND(LEFT(SUBSTITUTE($I245," ",""),LEN($F245)+1)=$F245&amp;"-",LEN(SUBSTITUTE($I245," ",""))&gt;LEN($F245)+1),"OK","Comment required"),"OK")))</f>
      </c>
    </row>
    <row r="246" spans="1:10" x14ac:dyDescent="0.25">
      <c r="A246" s="1"/>
      <c r="B246" s="20"/>
      <c r="C246" s="1"/>
      <c r="D246" s="1"/>
      <c r="E246" s="1"/>
      <c r="F246" s="1"/>
      <c r="G246" s="1"/>
      <c r="H246" s="1"/>
      <c r="I246" s="1"/>
      <c r="J246" s="1">
        <f>IF($F246="","",IF($H246="","Not rated",IF(OR($H246=Lists!$B$3,$H246=Lists!$B$5),IF(AND(LEFT(SUBSTITUTE($I246," ",""),LEN($F246)+1)=$F246&amp;"-",LEN(SUBSTITUTE($I246," ",""))&gt;LEN($F246)+1),"OK","Comment required"),"OK")))</f>
      </c>
    </row>
    <row r="247" spans="1:10" x14ac:dyDescent="0.25">
      <c r="A247" s="1"/>
      <c r="B247" s="20"/>
      <c r="C247" s="1"/>
      <c r="D247" s="1"/>
      <c r="E247" s="1"/>
      <c r="F247" s="1"/>
      <c r="G247" s="1"/>
      <c r="H247" s="1"/>
      <c r="I247" s="1"/>
      <c r="J247" s="1">
        <f>IF($F247="","",IF($H247="","Not rated",IF(OR($H247=Lists!$B$3,$H247=Lists!$B$5),IF(AND(LEFT(SUBSTITUTE($I247," ",""),LEN($F247)+1)=$F247&amp;"-",LEN(SUBSTITUTE($I247," ",""))&gt;LEN($F247)+1),"OK","Comment required"),"OK")))</f>
      </c>
    </row>
    <row r="248" spans="1:10" x14ac:dyDescent="0.25">
      <c r="A248" s="1"/>
      <c r="B248" s="20"/>
      <c r="C248" s="1"/>
      <c r="D248" s="1"/>
      <c r="E248" s="1"/>
      <c r="F248" s="1"/>
      <c r="G248" s="1"/>
      <c r="H248" s="1"/>
      <c r="I248" s="1"/>
      <c r="J248" s="1">
        <f>IF($F248="","",IF($H248="","Not rated",IF(OR($H248=Lists!$B$3,$H248=Lists!$B$5),IF(AND(LEFT(SUBSTITUTE($I248," ",""),LEN($F248)+1)=$F248&amp;"-",LEN(SUBSTITUTE($I248," ",""))&gt;LEN($F248)+1),"OK","Comment required"),"OK")))</f>
      </c>
    </row>
    <row r="249" spans="1:10" x14ac:dyDescent="0.25">
      <c r="A249" s="1"/>
      <c r="B249" s="20"/>
      <c r="C249" s="1"/>
      <c r="D249" s="1"/>
      <c r="E249" s="1"/>
      <c r="F249" s="1"/>
      <c r="G249" s="1"/>
      <c r="H249" s="1"/>
      <c r="I249" s="1"/>
      <c r="J249" s="1">
        <f>IF($F249="","",IF($H249="","Not rated",IF(OR($H249=Lists!$B$3,$H249=Lists!$B$5),IF(AND(LEFT(SUBSTITUTE($I249," ",""),LEN($F249)+1)=$F249&amp;"-",LEN(SUBSTITUTE($I249," ",""))&gt;LEN($F249)+1),"OK","Comment required"),"OK")))</f>
      </c>
    </row>
    <row r="250" spans="1:10" x14ac:dyDescent="0.25">
      <c r="A250" s="1"/>
      <c r="B250" s="20"/>
      <c r="C250" s="1"/>
      <c r="D250" s="1"/>
      <c r="E250" s="1"/>
      <c r="F250" s="1"/>
      <c r="G250" s="1"/>
      <c r="H250" s="1"/>
      <c r="I250" s="1"/>
      <c r="J250" s="1">
        <f>IF($F250="","",IF($H250="","Not rated",IF(OR($H250=Lists!$B$3,$H250=Lists!$B$5),IF(AND(LEFT(SUBSTITUTE($I250," ",""),LEN($F250)+1)=$F250&amp;"-",LEN(SUBSTITUTE($I250," ",""))&gt;LEN($F250)+1),"OK","Comment required"),"OK")))</f>
      </c>
    </row>
    <row r="251" spans="1:10" x14ac:dyDescent="0.25">
      <c r="A251" s="1"/>
      <c r="B251" s="20"/>
      <c r="C251" s="1"/>
      <c r="D251" s="1"/>
      <c r="E251" s="1"/>
      <c r="F251" s="1"/>
      <c r="G251" s="1"/>
      <c r="H251" s="1"/>
      <c r="I251" s="1"/>
      <c r="J251" s="1">
        <f>IF($F251="","",IF($H251="","Not rated",IF(OR($H251=Lists!$B$3,$H251=Lists!$B$5),IF(AND(LEFT(SUBSTITUTE($I251," ",""),LEN($F251)+1)=$F251&amp;"-",LEN(SUBSTITUTE($I251," ",""))&gt;LEN($F251)+1),"OK","Comment required"),"OK")))</f>
      </c>
    </row>
    <row r="252" spans="1:10" x14ac:dyDescent="0.25">
      <c r="A252" s="1"/>
      <c r="B252" s="20"/>
      <c r="C252" s="1"/>
      <c r="D252" s="1"/>
      <c r="E252" s="1"/>
      <c r="F252" s="1"/>
      <c r="G252" s="1"/>
      <c r="H252" s="1"/>
      <c r="I252" s="1"/>
      <c r="J252" s="1">
        <f>IF($F252="","",IF($H252="","Not rated",IF(OR($H252=Lists!$B$3,$H252=Lists!$B$5),IF(AND(LEFT(SUBSTITUTE($I252," ",""),LEN($F252)+1)=$F252&amp;"-",LEN(SUBSTITUTE($I252," ",""))&gt;LEN($F252)+1),"OK","Comment required"),"OK")))</f>
      </c>
    </row>
    <row r="253" spans="1:10" x14ac:dyDescent="0.25">
      <c r="A253" s="1"/>
      <c r="B253" s="20"/>
      <c r="C253" s="1"/>
      <c r="D253" s="1"/>
      <c r="E253" s="1"/>
      <c r="F253" s="1"/>
      <c r="G253" s="1"/>
      <c r="H253" s="1"/>
      <c r="I253" s="1"/>
      <c r="J253" s="1">
        <f>IF($F253="","",IF($H253="","Not rated",IF(OR($H253=Lists!$B$3,$H253=Lists!$B$5),IF(AND(LEFT(SUBSTITUTE($I253," ",""),LEN($F253)+1)=$F253&amp;"-",LEN(SUBSTITUTE($I253," ",""))&gt;LEN($F253)+1),"OK","Comment required"),"OK")))</f>
      </c>
    </row>
    <row r="254" spans="1:10" x14ac:dyDescent="0.25">
      <c r="A254" s="1"/>
      <c r="B254" s="20"/>
      <c r="C254" s="1"/>
      <c r="D254" s="1"/>
      <c r="E254" s="1"/>
      <c r="F254" s="1"/>
      <c r="G254" s="1"/>
      <c r="H254" s="1"/>
      <c r="I254" s="1"/>
      <c r="J254" s="1">
        <f>IF($F254="","",IF($H254="","Not rated",IF(OR($H254=Lists!$B$3,$H254=Lists!$B$5),IF(AND(LEFT(SUBSTITUTE($I254," ",""),LEN($F254)+1)=$F254&amp;"-",LEN(SUBSTITUTE($I254," ",""))&gt;LEN($F254)+1),"OK","Comment required"),"OK")))</f>
      </c>
    </row>
    <row r="255" spans="1:10" x14ac:dyDescent="0.25">
      <c r="A255" s="1"/>
      <c r="B255" s="20"/>
      <c r="C255" s="1"/>
      <c r="D255" s="1"/>
      <c r="E255" s="1"/>
      <c r="F255" s="1"/>
      <c r="G255" s="1"/>
      <c r="H255" s="1"/>
      <c r="I255" s="1"/>
      <c r="J255" s="1">
        <f>IF($F255="","",IF($H255="","Not rated",IF(OR($H255=Lists!$B$3,$H255=Lists!$B$5),IF(AND(LEFT(SUBSTITUTE($I255," ",""),LEN($F255)+1)=$F255&amp;"-",LEN(SUBSTITUTE($I255," ",""))&gt;LEN($F255)+1),"OK","Comment required"),"OK")))</f>
      </c>
    </row>
    <row r="256" spans="1:10" x14ac:dyDescent="0.25">
      <c r="A256" s="1"/>
      <c r="B256" s="20"/>
      <c r="C256" s="1"/>
      <c r="D256" s="1"/>
      <c r="E256" s="1"/>
      <c r="F256" s="1"/>
      <c r="G256" s="1"/>
      <c r="H256" s="1"/>
      <c r="I256" s="1"/>
      <c r="J256" s="1">
        <f>IF($F256="","",IF($H256="","Not rated",IF(OR($H256=Lists!$B$3,$H256=Lists!$B$5),IF(AND(LEFT(SUBSTITUTE($I256," ",""),LEN($F256)+1)=$F256&amp;"-",LEN(SUBSTITUTE($I256," ",""))&gt;LEN($F256)+1),"OK","Comment required"),"OK")))</f>
      </c>
    </row>
    <row r="257" spans="1:10" x14ac:dyDescent="0.25">
      <c r="A257" s="1"/>
      <c r="B257" s="20"/>
      <c r="C257" s="1"/>
      <c r="D257" s="1"/>
      <c r="E257" s="1"/>
      <c r="F257" s="1"/>
      <c r="G257" s="1"/>
      <c r="H257" s="1"/>
      <c r="I257" s="1"/>
      <c r="J257" s="1">
        <f>IF($F257="","",IF($H257="","Not rated",IF(OR($H257=Lists!$B$3,$H257=Lists!$B$5),IF(AND(LEFT(SUBSTITUTE($I257," ",""),LEN($F257)+1)=$F257&amp;"-",LEN(SUBSTITUTE($I257," ",""))&gt;LEN($F257)+1),"OK","Comment required"),"OK")))</f>
      </c>
    </row>
    <row r="258" spans="1:10" x14ac:dyDescent="0.25">
      <c r="A258" s="1"/>
      <c r="B258" s="20"/>
      <c r="C258" s="1"/>
      <c r="D258" s="1"/>
      <c r="E258" s="1"/>
      <c r="F258" s="1"/>
      <c r="G258" s="1"/>
      <c r="H258" s="1"/>
      <c r="I258" s="1"/>
      <c r="J258" s="1">
        <f>IF($F258="","",IF($H258="","Not rated",IF(OR($H258=Lists!$B$3,$H258=Lists!$B$5),IF(AND(LEFT(SUBSTITUTE($I258," ",""),LEN($F258)+1)=$F258&amp;"-",LEN(SUBSTITUTE($I258," ",""))&gt;LEN($F258)+1),"OK","Comment required"),"OK")))</f>
      </c>
    </row>
    <row r="259" spans="1:10" x14ac:dyDescent="0.25">
      <c r="A259" s="1"/>
      <c r="B259" s="20"/>
      <c r="C259" s="1"/>
      <c r="D259" s="1"/>
      <c r="E259" s="1"/>
      <c r="F259" s="1"/>
      <c r="G259" s="1"/>
      <c r="H259" s="1"/>
      <c r="I259" s="1"/>
      <c r="J259" s="1">
        <f>IF($F259="","",IF($H259="","Not rated",IF(OR($H259=Lists!$B$3,$H259=Lists!$B$5),IF(AND(LEFT(SUBSTITUTE($I259," ",""),LEN($F259)+1)=$F259&amp;"-",LEN(SUBSTITUTE($I259," ",""))&gt;LEN($F259)+1),"OK","Comment required"),"OK")))</f>
      </c>
    </row>
    <row r="260" spans="1:10" x14ac:dyDescent="0.25">
      <c r="A260" s="1"/>
      <c r="B260" s="20"/>
      <c r="C260" s="1"/>
      <c r="D260" s="1"/>
      <c r="E260" s="1"/>
      <c r="F260" s="1"/>
      <c r="G260" s="1"/>
      <c r="H260" s="1"/>
      <c r="I260" s="1"/>
      <c r="J260" s="1">
        <f>IF($F260="","",IF($H260="","Not rated",IF(OR($H260=Lists!$B$3,$H260=Lists!$B$5),IF(AND(LEFT(SUBSTITUTE($I260," ",""),LEN($F260)+1)=$F260&amp;"-",LEN(SUBSTITUTE($I260," ",""))&gt;LEN($F260)+1),"OK","Comment required"),"OK")))</f>
      </c>
    </row>
    <row r="261" spans="1:10" x14ac:dyDescent="0.25">
      <c r="A261" s="1"/>
      <c r="B261" s="20"/>
      <c r="C261" s="1"/>
      <c r="D261" s="1"/>
      <c r="E261" s="1"/>
      <c r="F261" s="1"/>
      <c r="G261" s="1"/>
      <c r="H261" s="1"/>
      <c r="I261" s="1"/>
      <c r="J261" s="1">
        <f>IF($F261="","",IF($H261="","Not rated",IF(OR($H261=Lists!$B$3,$H261=Lists!$B$5),IF(AND(LEFT(SUBSTITUTE($I261," ",""),LEN($F261)+1)=$F261&amp;"-",LEN(SUBSTITUTE($I261," ",""))&gt;LEN($F261)+1),"OK","Comment required"),"OK")))</f>
      </c>
    </row>
    <row r="262" spans="1:10" x14ac:dyDescent="0.25">
      <c r="A262" s="1"/>
      <c r="B262" s="20"/>
      <c r="C262" s="1"/>
      <c r="D262" s="1"/>
      <c r="E262" s="1"/>
      <c r="F262" s="1"/>
      <c r="G262" s="1"/>
      <c r="H262" s="1"/>
      <c r="I262" s="1"/>
      <c r="J262" s="1">
        <f>IF($F262="","",IF($H262="","Not rated",IF(OR($H262=Lists!$B$3,$H262=Lists!$B$5),IF(AND(LEFT(SUBSTITUTE($I262," ",""),LEN($F262)+1)=$F262&amp;"-",LEN(SUBSTITUTE($I262," ",""))&gt;LEN($F262)+1),"OK","Comment required"),"OK")))</f>
      </c>
    </row>
    <row r="263" spans="1:10" x14ac:dyDescent="0.25">
      <c r="A263" s="1"/>
      <c r="B263" s="20"/>
      <c r="C263" s="1"/>
      <c r="D263" s="1"/>
      <c r="E263" s="1"/>
      <c r="F263" s="1"/>
      <c r="G263" s="1"/>
      <c r="H263" s="1"/>
      <c r="I263" s="1"/>
      <c r="J263" s="1">
        <f>IF($F263="","",IF($H263="","Not rated",IF(OR($H263=Lists!$B$3,$H263=Lists!$B$5),IF(AND(LEFT(SUBSTITUTE($I263," ",""),LEN($F263)+1)=$F263&amp;"-",LEN(SUBSTITUTE($I263," ",""))&gt;LEN($F263)+1),"OK","Comment required"),"OK")))</f>
      </c>
    </row>
    <row r="264" spans="1:10" x14ac:dyDescent="0.25">
      <c r="A264" s="1"/>
      <c r="B264" s="20"/>
      <c r="C264" s="1"/>
      <c r="D264" s="1"/>
      <c r="E264" s="1"/>
      <c r="F264" s="1"/>
      <c r="G264" s="1"/>
      <c r="H264" s="1"/>
      <c r="I264" s="1"/>
      <c r="J264" s="1">
        <f>IF($F264="","",IF($H264="","Not rated",IF(OR($H264=Lists!$B$3,$H264=Lists!$B$5),IF(AND(LEFT(SUBSTITUTE($I264," ",""),LEN($F264)+1)=$F264&amp;"-",LEN(SUBSTITUTE($I264," ",""))&gt;LEN($F264)+1),"OK","Comment required"),"OK")))</f>
      </c>
    </row>
    <row r="265" spans="1:10" x14ac:dyDescent="0.25">
      <c r="A265" s="1"/>
      <c r="B265" s="20"/>
      <c r="C265" s="1"/>
      <c r="D265" s="1"/>
      <c r="E265" s="1"/>
      <c r="F265" s="1"/>
      <c r="G265" s="1"/>
      <c r="H265" s="1"/>
      <c r="I265" s="1"/>
      <c r="J265" s="1">
        <f>IF($F265="","",IF($H265="","Not rated",IF(OR($H265=Lists!$B$3,$H265=Lists!$B$5),IF(AND(LEFT(SUBSTITUTE($I265," ",""),LEN($F265)+1)=$F265&amp;"-",LEN(SUBSTITUTE($I265," ",""))&gt;LEN($F265)+1),"OK","Comment required"),"OK")))</f>
      </c>
    </row>
    <row r="266" spans="1:10" x14ac:dyDescent="0.25">
      <c r="A266" s="1"/>
      <c r="B266" s="20"/>
      <c r="C266" s="1"/>
      <c r="D266" s="1"/>
      <c r="E266" s="1"/>
      <c r="F266" s="1"/>
      <c r="G266" s="1"/>
      <c r="H266" s="1"/>
      <c r="I266" s="1"/>
      <c r="J266" s="1">
        <f>IF($F266="","",IF($H266="","Not rated",IF(OR($H266=Lists!$B$3,$H266=Lists!$B$5),IF(AND(LEFT(SUBSTITUTE($I266," ",""),LEN($F266)+1)=$F266&amp;"-",LEN(SUBSTITUTE($I266," ",""))&gt;LEN($F266)+1),"OK","Comment required"),"OK")))</f>
      </c>
    </row>
    <row r="267" spans="1:10" x14ac:dyDescent="0.25">
      <c r="A267" s="1"/>
      <c r="B267" s="20"/>
      <c r="C267" s="1"/>
      <c r="D267" s="1"/>
      <c r="E267" s="1"/>
      <c r="F267" s="1"/>
      <c r="G267" s="1"/>
      <c r="H267" s="1"/>
      <c r="I267" s="1"/>
      <c r="J267" s="1">
        <f>IF($F267="","",IF($H267="","Not rated",IF(OR($H267=Lists!$B$3,$H267=Lists!$B$5),IF(AND(LEFT(SUBSTITUTE($I267," ",""),LEN($F267)+1)=$F267&amp;"-",LEN(SUBSTITUTE($I267," ",""))&gt;LEN($F267)+1),"OK","Comment required"),"OK")))</f>
      </c>
    </row>
    <row r="268" spans="1:10" x14ac:dyDescent="0.25">
      <c r="A268" s="1"/>
      <c r="B268" s="20"/>
      <c r="C268" s="1"/>
      <c r="D268" s="1"/>
      <c r="E268" s="1"/>
      <c r="F268" s="1"/>
      <c r="G268" s="1"/>
      <c r="H268" s="1"/>
      <c r="I268" s="1"/>
      <c r="J268" s="1">
        <f>IF($F268="","",IF($H268="","Not rated",IF(OR($H268=Lists!$B$3,$H268=Lists!$B$5),IF(AND(LEFT(SUBSTITUTE($I268," ",""),LEN($F268)+1)=$F268&amp;"-",LEN(SUBSTITUTE($I268," ",""))&gt;LEN($F268)+1),"OK","Comment required"),"OK")))</f>
      </c>
    </row>
    <row r="269" spans="1:10" x14ac:dyDescent="0.25">
      <c r="A269" s="1"/>
      <c r="B269" s="20"/>
      <c r="C269" s="1"/>
      <c r="D269" s="1"/>
      <c r="E269" s="1"/>
      <c r="F269" s="1"/>
      <c r="G269" s="1"/>
      <c r="H269" s="1"/>
      <c r="I269" s="1"/>
      <c r="J269" s="1">
        <f>IF($F269="","",IF($H269="","Not rated",IF(OR($H269=Lists!$B$3,$H269=Lists!$B$5),IF(AND(LEFT(SUBSTITUTE($I269," ",""),LEN($F269)+1)=$F269&amp;"-",LEN(SUBSTITUTE($I269," ",""))&gt;LEN($F269)+1),"OK","Comment required"),"OK")))</f>
      </c>
    </row>
    <row r="270" spans="1:10" x14ac:dyDescent="0.25">
      <c r="A270" s="1"/>
      <c r="B270" s="20"/>
      <c r="C270" s="1"/>
      <c r="D270" s="1"/>
      <c r="E270" s="1"/>
      <c r="F270" s="1"/>
      <c r="G270" s="1"/>
      <c r="H270" s="1"/>
      <c r="I270" s="1"/>
      <c r="J270" s="1">
        <f>IF($F270="","",IF($H270="","Not rated",IF(OR($H270=Lists!$B$3,$H270=Lists!$B$5),IF(AND(LEFT(SUBSTITUTE($I270," ",""),LEN($F270)+1)=$F270&amp;"-",LEN(SUBSTITUTE($I270," ",""))&gt;LEN($F270)+1),"OK","Comment required"),"OK")))</f>
      </c>
    </row>
    <row r="271" spans="1:10" x14ac:dyDescent="0.25">
      <c r="A271" s="1"/>
      <c r="B271" s="20"/>
      <c r="C271" s="1"/>
      <c r="D271" s="1"/>
      <c r="E271" s="1"/>
      <c r="F271" s="1"/>
      <c r="G271" s="1"/>
      <c r="H271" s="1"/>
      <c r="I271" s="1"/>
      <c r="J271" s="1">
        <f>IF($F271="","",IF($H271="","Not rated",IF(OR($H271=Lists!$B$3,$H271=Lists!$B$5),IF(AND(LEFT(SUBSTITUTE($I271," ",""),LEN($F271)+1)=$F271&amp;"-",LEN(SUBSTITUTE($I271," ",""))&gt;LEN($F271)+1),"OK","Comment required"),"OK")))</f>
      </c>
    </row>
    <row r="272" spans="1:10" x14ac:dyDescent="0.25">
      <c r="A272" s="1"/>
      <c r="B272" s="20"/>
      <c r="C272" s="1"/>
      <c r="D272" s="1"/>
      <c r="E272" s="1"/>
      <c r="F272" s="1"/>
      <c r="G272" s="1"/>
      <c r="H272" s="1"/>
      <c r="I272" s="1"/>
      <c r="J272" s="1">
        <f>IF($F272="","",IF($H272="","Not rated",IF(OR($H272=Lists!$B$3,$H272=Lists!$B$5),IF(AND(LEFT(SUBSTITUTE($I272," ",""),LEN($F272)+1)=$F272&amp;"-",LEN(SUBSTITUTE($I272," ",""))&gt;LEN($F272)+1),"OK","Comment required"),"OK")))</f>
      </c>
    </row>
    <row r="273" spans="1:10" x14ac:dyDescent="0.25">
      <c r="A273" s="1"/>
      <c r="B273" s="20"/>
      <c r="C273" s="1"/>
      <c r="D273" s="1"/>
      <c r="E273" s="1"/>
      <c r="F273" s="1"/>
      <c r="G273" s="1"/>
      <c r="H273" s="1"/>
      <c r="I273" s="1"/>
      <c r="J273" s="1">
        <f>IF($F273="","",IF($H273="","Not rated",IF(OR($H273=Lists!$B$3,$H273=Lists!$B$5),IF(AND(LEFT(SUBSTITUTE($I273," ",""),LEN($F273)+1)=$F273&amp;"-",LEN(SUBSTITUTE($I273," ",""))&gt;LEN($F273)+1),"OK","Comment required"),"OK")))</f>
      </c>
    </row>
    <row r="274" spans="1:10" x14ac:dyDescent="0.25">
      <c r="A274" s="1"/>
      <c r="B274" s="20"/>
      <c r="C274" s="1"/>
      <c r="D274" s="1"/>
      <c r="E274" s="1"/>
      <c r="F274" s="1"/>
      <c r="G274" s="1"/>
      <c r="H274" s="1"/>
      <c r="I274" s="1"/>
      <c r="J274" s="1">
        <f>IF($F274="","",IF($H274="","Not rated",IF(OR($H274=Lists!$B$3,$H274=Lists!$B$5),IF(AND(LEFT(SUBSTITUTE($I274," ",""),LEN($F274)+1)=$F274&amp;"-",LEN(SUBSTITUTE($I274," ",""))&gt;LEN($F274)+1),"OK","Comment required"),"OK")))</f>
      </c>
    </row>
    <row r="275" spans="1:10" x14ac:dyDescent="0.25">
      <c r="A275" s="1"/>
      <c r="B275" s="20"/>
      <c r="C275" s="1"/>
      <c r="D275" s="1"/>
      <c r="E275" s="1"/>
      <c r="F275" s="1"/>
      <c r="G275" s="1"/>
      <c r="H275" s="1"/>
      <c r="I275" s="1"/>
      <c r="J275" s="1">
        <f>IF($F275="","",IF($H275="","Not rated",IF(OR($H275=Lists!$B$3,$H275=Lists!$B$5),IF(AND(LEFT(SUBSTITUTE($I275," ",""),LEN($F275)+1)=$F275&amp;"-",LEN(SUBSTITUTE($I275," ",""))&gt;LEN($F275)+1),"OK","Comment required"),"OK")))</f>
      </c>
    </row>
    <row r="276" spans="1:10" x14ac:dyDescent="0.25">
      <c r="A276" s="1"/>
      <c r="B276" s="20"/>
      <c r="C276" s="1"/>
      <c r="D276" s="1"/>
      <c r="E276" s="1"/>
      <c r="F276" s="1"/>
      <c r="G276" s="1"/>
      <c r="H276" s="1"/>
      <c r="I276" s="1"/>
      <c r="J276" s="1">
        <f>IF($F276="","",IF($H276="","Not rated",IF(OR($H276=Lists!$B$3,$H276=Lists!$B$5),IF(AND(LEFT(SUBSTITUTE($I276," ",""),LEN($F276)+1)=$F276&amp;"-",LEN(SUBSTITUTE($I276," ",""))&gt;LEN($F276)+1),"OK","Comment required"),"OK")))</f>
      </c>
    </row>
    <row r="277" spans="1:10" x14ac:dyDescent="0.25">
      <c r="A277" s="1"/>
      <c r="B277" s="20"/>
      <c r="C277" s="1"/>
      <c r="D277" s="1"/>
      <c r="E277" s="1"/>
      <c r="F277" s="1"/>
      <c r="G277" s="1"/>
      <c r="H277" s="1"/>
      <c r="I277" s="1"/>
      <c r="J277" s="1">
        <f>IF($F277="","",IF($H277="","Not rated",IF(OR($H277=Lists!$B$3,$H277=Lists!$B$5),IF(AND(LEFT(SUBSTITUTE($I277," ",""),LEN($F277)+1)=$F277&amp;"-",LEN(SUBSTITUTE($I277," ",""))&gt;LEN($F277)+1),"OK","Comment required"),"OK")))</f>
      </c>
    </row>
    <row r="278" spans="1:10" x14ac:dyDescent="0.25">
      <c r="A278" s="1"/>
      <c r="B278" s="20"/>
      <c r="C278" s="1"/>
      <c r="D278" s="1"/>
      <c r="E278" s="1"/>
      <c r="F278" s="1"/>
      <c r="G278" s="1"/>
      <c r="H278" s="1"/>
      <c r="I278" s="1"/>
      <c r="J278" s="1">
        <f>IF($F278="","",IF($H278="","Not rated",IF(OR($H278=Lists!$B$3,$H278=Lists!$B$5),IF(AND(LEFT(SUBSTITUTE($I278," ",""),LEN($F278)+1)=$F278&amp;"-",LEN(SUBSTITUTE($I278," ",""))&gt;LEN($F278)+1),"OK","Comment required"),"OK")))</f>
      </c>
    </row>
    <row r="279" spans="1:10" x14ac:dyDescent="0.25">
      <c r="A279" s="1"/>
      <c r="B279" s="20"/>
      <c r="C279" s="1"/>
      <c r="D279" s="1"/>
      <c r="E279" s="1"/>
      <c r="F279" s="1"/>
      <c r="G279" s="1"/>
      <c r="H279" s="1"/>
      <c r="I279" s="1"/>
      <c r="J279" s="1">
        <f>IF($F279="","",IF($H279="","Not rated",IF(OR($H279=Lists!$B$3,$H279=Lists!$B$5),IF(AND(LEFT(SUBSTITUTE($I279," ",""),LEN($F279)+1)=$F279&amp;"-",LEN(SUBSTITUTE($I279," ",""))&gt;LEN($F279)+1),"OK","Comment required"),"OK")))</f>
      </c>
    </row>
    <row r="280" spans="1:10" x14ac:dyDescent="0.25">
      <c r="A280" s="1"/>
      <c r="B280" s="20"/>
      <c r="C280" s="1"/>
      <c r="D280" s="1"/>
      <c r="E280" s="1"/>
      <c r="F280" s="1"/>
      <c r="G280" s="1"/>
      <c r="H280" s="1"/>
      <c r="I280" s="1"/>
      <c r="J280" s="1">
        <f>IF($F280="","",IF($H280="","Not rated",IF(OR($H280=Lists!$B$3,$H280=Lists!$B$5),IF(AND(LEFT(SUBSTITUTE($I280," ",""),LEN($F280)+1)=$F280&amp;"-",LEN(SUBSTITUTE($I280," ",""))&gt;LEN($F280)+1),"OK","Comment required"),"OK")))</f>
      </c>
    </row>
    <row r="281" spans="1:10" x14ac:dyDescent="0.25">
      <c r="A281" s="1"/>
      <c r="B281" s="20"/>
      <c r="C281" s="1"/>
      <c r="D281" s="1"/>
      <c r="E281" s="1"/>
      <c r="F281" s="1"/>
      <c r="G281" s="1"/>
      <c r="H281" s="1"/>
      <c r="I281" s="1"/>
      <c r="J281" s="1">
        <f>IF($F281="","",IF($H281="","Not rated",IF(OR($H281=Lists!$B$3,$H281=Lists!$B$5),IF(AND(LEFT(SUBSTITUTE($I281," ",""),LEN($F281)+1)=$F281&amp;"-",LEN(SUBSTITUTE($I281," ",""))&gt;LEN($F281)+1),"OK","Comment required"),"OK")))</f>
      </c>
    </row>
    <row r="282" spans="1:10" x14ac:dyDescent="0.25">
      <c r="A282" s="1"/>
      <c r="B282" s="20"/>
      <c r="C282" s="1"/>
      <c r="D282" s="1"/>
      <c r="E282" s="1"/>
      <c r="F282" s="1"/>
      <c r="G282" s="1"/>
      <c r="H282" s="1"/>
      <c r="I282" s="1"/>
      <c r="J282" s="1">
        <f>IF($F282="","",IF($H282="","Not rated",IF(OR($H282=Lists!$B$3,$H282=Lists!$B$5),IF(AND(LEFT(SUBSTITUTE($I282," ",""),LEN($F282)+1)=$F282&amp;"-",LEN(SUBSTITUTE($I282," ",""))&gt;LEN($F282)+1),"OK","Comment required"),"OK")))</f>
      </c>
    </row>
    <row r="283" spans="1:10" x14ac:dyDescent="0.25">
      <c r="A283" s="1"/>
      <c r="B283" s="20"/>
      <c r="C283" s="1"/>
      <c r="D283" s="1"/>
      <c r="E283" s="1"/>
      <c r="F283" s="1"/>
      <c r="G283" s="1"/>
      <c r="H283" s="1"/>
      <c r="I283" s="1"/>
      <c r="J283" s="1">
        <f>IF($F283="","",IF($H283="","Not rated",IF(OR($H283=Lists!$B$3,$H283=Lists!$B$5),IF(AND(LEFT(SUBSTITUTE($I283," ",""),LEN($F283)+1)=$F283&amp;"-",LEN(SUBSTITUTE($I283," ",""))&gt;LEN($F283)+1),"OK","Comment required"),"OK")))</f>
      </c>
    </row>
    <row r="284" spans="1:10" x14ac:dyDescent="0.25">
      <c r="A284" s="1"/>
      <c r="B284" s="20"/>
      <c r="C284" s="1"/>
      <c r="D284" s="1"/>
      <c r="E284" s="1"/>
      <c r="F284" s="1"/>
      <c r="G284" s="1"/>
      <c r="H284" s="1"/>
      <c r="I284" s="1"/>
      <c r="J284" s="1">
        <f>IF($F284="","",IF($H284="","Not rated",IF(OR($H284=Lists!$B$3,$H284=Lists!$B$5),IF(AND(LEFT(SUBSTITUTE($I284," ",""),LEN($F284)+1)=$F284&amp;"-",LEN(SUBSTITUTE($I284," ",""))&gt;LEN($F284)+1),"OK","Comment required"),"OK")))</f>
      </c>
    </row>
    <row r="285" spans="1:10" x14ac:dyDescent="0.25">
      <c r="A285" s="1"/>
      <c r="B285" s="20"/>
      <c r="C285" s="1"/>
      <c r="D285" s="1"/>
      <c r="E285" s="1"/>
      <c r="F285" s="1"/>
      <c r="G285" s="1"/>
      <c r="H285" s="1"/>
      <c r="I285" s="1"/>
      <c r="J285" s="1">
        <f>IF($F285="","",IF($H285="","Not rated",IF(OR($H285=Lists!$B$3,$H285=Lists!$B$5),IF(AND(LEFT(SUBSTITUTE($I285," ",""),LEN($F285)+1)=$F285&amp;"-",LEN(SUBSTITUTE($I285," ",""))&gt;LEN($F285)+1),"OK","Comment required"),"OK")))</f>
      </c>
    </row>
    <row r="286" spans="1:10" x14ac:dyDescent="0.25">
      <c r="A286" s="1"/>
      <c r="B286" s="20"/>
      <c r="C286" s="1"/>
      <c r="D286" s="1"/>
      <c r="E286" s="1"/>
      <c r="F286" s="1"/>
      <c r="G286" s="1"/>
      <c r="H286" s="1"/>
      <c r="I286" s="1"/>
      <c r="J286" s="1">
        <f>IF($F286="","",IF($H286="","Not rated",IF(OR($H286=Lists!$B$3,$H286=Lists!$B$5),IF(AND(LEFT(SUBSTITUTE($I286," ",""),LEN($F286)+1)=$F286&amp;"-",LEN(SUBSTITUTE($I286," ",""))&gt;LEN($F286)+1),"OK","Comment required"),"OK")))</f>
      </c>
    </row>
    <row r="287" spans="1:10" x14ac:dyDescent="0.25">
      <c r="A287" s="1"/>
      <c r="B287" s="20"/>
      <c r="C287" s="1"/>
      <c r="D287" s="1"/>
      <c r="E287" s="1"/>
      <c r="F287" s="1"/>
      <c r="G287" s="1"/>
      <c r="H287" s="1"/>
      <c r="I287" s="1"/>
      <c r="J287" s="1">
        <f>IF($F287="","",IF($H287="","Not rated",IF(OR($H287=Lists!$B$3,$H287=Lists!$B$5),IF(AND(LEFT(SUBSTITUTE($I287," ",""),LEN($F287)+1)=$F287&amp;"-",LEN(SUBSTITUTE($I287," ",""))&gt;LEN($F287)+1),"OK","Comment required"),"OK")))</f>
      </c>
    </row>
    <row r="288" spans="1:10" x14ac:dyDescent="0.25">
      <c r="A288" s="1"/>
      <c r="B288" s="20"/>
      <c r="C288" s="1"/>
      <c r="D288" s="1"/>
      <c r="E288" s="1"/>
      <c r="F288" s="1"/>
      <c r="G288" s="1"/>
      <c r="H288" s="1"/>
      <c r="I288" s="1"/>
      <c r="J288" s="1">
        <f>IF($F288="","",IF($H288="","Not rated",IF(OR($H288=Lists!$B$3,$H288=Lists!$B$5),IF(AND(LEFT(SUBSTITUTE($I288," ",""),LEN($F288)+1)=$F288&amp;"-",LEN(SUBSTITUTE($I288," ",""))&gt;LEN($F288)+1),"OK","Comment required"),"OK")))</f>
      </c>
    </row>
    <row r="289" spans="1:10" x14ac:dyDescent="0.25">
      <c r="A289" s="1"/>
      <c r="B289" s="20"/>
      <c r="C289" s="1"/>
      <c r="D289" s="1"/>
      <c r="E289" s="1"/>
      <c r="F289" s="1"/>
      <c r="G289" s="1"/>
      <c r="H289" s="1"/>
      <c r="I289" s="1"/>
      <c r="J289" s="1">
        <f>IF($F289="","",IF($H289="","Not rated",IF(OR($H289=Lists!$B$3,$H289=Lists!$B$5),IF(AND(LEFT(SUBSTITUTE($I289," ",""),LEN($F289)+1)=$F289&amp;"-",LEN(SUBSTITUTE($I289," ",""))&gt;LEN($F289)+1),"OK","Comment required"),"OK")))</f>
      </c>
    </row>
    <row r="290" spans="1:10" x14ac:dyDescent="0.25">
      <c r="A290" s="1"/>
      <c r="B290" s="20"/>
      <c r="C290" s="1"/>
      <c r="D290" s="1"/>
      <c r="E290" s="1"/>
      <c r="F290" s="1"/>
      <c r="G290" s="1"/>
      <c r="H290" s="1"/>
      <c r="I290" s="1"/>
      <c r="J290" s="1">
        <f>IF($F290="","",IF($H290="","Not rated",IF(OR($H290=Lists!$B$3,$H290=Lists!$B$5),IF(AND(LEFT(SUBSTITUTE($I290," ",""),LEN($F290)+1)=$F290&amp;"-",LEN(SUBSTITUTE($I290," ",""))&gt;LEN($F290)+1),"OK","Comment required"),"OK")))</f>
      </c>
    </row>
    <row r="291" spans="1:10" x14ac:dyDescent="0.25">
      <c r="A291" s="1"/>
      <c r="B291" s="20"/>
      <c r="C291" s="1"/>
      <c r="D291" s="1"/>
      <c r="E291" s="1"/>
      <c r="F291" s="1"/>
      <c r="G291" s="1"/>
      <c r="H291" s="1"/>
      <c r="I291" s="1"/>
      <c r="J291" s="1">
        <f>IF($F291="","",IF($H291="","Not rated",IF(OR($H291=Lists!$B$3,$H291=Lists!$B$5),IF(AND(LEFT(SUBSTITUTE($I291," ",""),LEN($F291)+1)=$F291&amp;"-",LEN(SUBSTITUTE($I291," ",""))&gt;LEN($F291)+1),"OK","Comment required"),"OK")))</f>
      </c>
    </row>
    <row r="292" spans="1:10" x14ac:dyDescent="0.25">
      <c r="A292" s="1"/>
      <c r="B292" s="20"/>
      <c r="C292" s="1"/>
      <c r="D292" s="1"/>
      <c r="E292" s="1"/>
      <c r="F292" s="1"/>
      <c r="G292" s="1"/>
      <c r="H292" s="1"/>
      <c r="I292" s="1"/>
      <c r="J292" s="1">
        <f>IF($F292="","",IF($H292="","Not rated",IF(OR($H292=Lists!$B$3,$H292=Lists!$B$5),IF(AND(LEFT(SUBSTITUTE($I292," ",""),LEN($F292)+1)=$F292&amp;"-",LEN(SUBSTITUTE($I292," ",""))&gt;LEN($F292)+1),"OK","Comment required"),"OK")))</f>
      </c>
    </row>
    <row r="293" spans="1:10" x14ac:dyDescent="0.25">
      <c r="A293" s="1"/>
      <c r="B293" s="20"/>
      <c r="C293" s="1"/>
      <c r="D293" s="1"/>
      <c r="E293" s="1"/>
      <c r="F293" s="1"/>
      <c r="G293" s="1"/>
      <c r="H293" s="1"/>
      <c r="I293" s="1"/>
      <c r="J293" s="1">
        <f>IF($F293="","",IF($H293="","Not rated",IF(OR($H293=Lists!$B$3,$H293=Lists!$B$5),IF(AND(LEFT(SUBSTITUTE($I293," ",""),LEN($F293)+1)=$F293&amp;"-",LEN(SUBSTITUTE($I293," ",""))&gt;LEN($F293)+1),"OK","Comment required"),"OK")))</f>
      </c>
    </row>
    <row r="294" spans="1:10" x14ac:dyDescent="0.25">
      <c r="A294" s="1"/>
      <c r="B294" s="20"/>
      <c r="C294" s="1"/>
      <c r="D294" s="1"/>
      <c r="E294" s="1"/>
      <c r="F294" s="1"/>
      <c r="G294" s="1"/>
      <c r="H294" s="1"/>
      <c r="I294" s="1"/>
      <c r="J294" s="1">
        <f>IF($F294="","",IF($H294="","Not rated",IF(OR($H294=Lists!$B$3,$H294=Lists!$B$5),IF(AND(LEFT(SUBSTITUTE($I294," ",""),LEN($F294)+1)=$F294&amp;"-",LEN(SUBSTITUTE($I294," ",""))&gt;LEN($F294)+1),"OK","Comment required"),"OK")))</f>
      </c>
    </row>
    <row r="295" spans="1:10" x14ac:dyDescent="0.25">
      <c r="A295" s="1"/>
      <c r="B295" s="20"/>
      <c r="C295" s="1"/>
      <c r="D295" s="1"/>
      <c r="E295" s="1"/>
      <c r="F295" s="1"/>
      <c r="G295" s="1"/>
      <c r="H295" s="1"/>
      <c r="I295" s="1"/>
      <c r="J295" s="1">
        <f>IF($F295="","",IF($H295="","Not rated",IF(OR($H295=Lists!$B$3,$H295=Lists!$B$5),IF(AND(LEFT(SUBSTITUTE($I295," ",""),LEN($F295)+1)=$F295&amp;"-",LEN(SUBSTITUTE($I295," ",""))&gt;LEN($F295)+1),"OK","Comment required"),"OK")))</f>
      </c>
    </row>
    <row r="296" spans="1:10" x14ac:dyDescent="0.25">
      <c r="A296" s="1"/>
      <c r="B296" s="20"/>
      <c r="C296" s="1"/>
      <c r="D296" s="1"/>
      <c r="E296" s="1"/>
      <c r="F296" s="1"/>
      <c r="G296" s="1"/>
      <c r="H296" s="1"/>
      <c r="I296" s="1"/>
      <c r="J296" s="1">
        <f>IF($F296="","",IF($H296="","Not rated",IF(OR($H296=Lists!$B$3,$H296=Lists!$B$5),IF(AND(LEFT(SUBSTITUTE($I296," ",""),LEN($F296)+1)=$F296&amp;"-",LEN(SUBSTITUTE($I296," ",""))&gt;LEN($F296)+1),"OK","Comment required"),"OK")))</f>
      </c>
    </row>
    <row r="297" spans="1:10" x14ac:dyDescent="0.25">
      <c r="A297" s="1"/>
      <c r="B297" s="20"/>
      <c r="C297" s="1"/>
      <c r="D297" s="1"/>
      <c r="E297" s="1"/>
      <c r="F297" s="1"/>
      <c r="G297" s="1"/>
      <c r="H297" s="1"/>
      <c r="I297" s="1"/>
      <c r="J297" s="1">
        <f>IF($F297="","",IF($H297="","Not rated",IF(OR($H297=Lists!$B$3,$H297=Lists!$B$5),IF(AND(LEFT(SUBSTITUTE($I297," ",""),LEN($F297)+1)=$F297&amp;"-",LEN(SUBSTITUTE($I297," ",""))&gt;LEN($F297)+1),"OK","Comment required"),"OK")))</f>
      </c>
    </row>
    <row r="298" spans="1:10" x14ac:dyDescent="0.25">
      <c r="A298" s="1"/>
      <c r="B298" s="20"/>
      <c r="C298" s="1"/>
      <c r="D298" s="1"/>
      <c r="E298" s="1"/>
      <c r="F298" s="1"/>
      <c r="G298" s="1"/>
      <c r="H298" s="1"/>
      <c r="I298" s="1"/>
      <c r="J298" s="1">
        <f>IF($F298="","",IF($H298="","Not rated",IF(OR($H298=Lists!$B$3,$H298=Lists!$B$5),IF(AND(LEFT(SUBSTITUTE($I298," ",""),LEN($F298)+1)=$F298&amp;"-",LEN(SUBSTITUTE($I298," ",""))&gt;LEN($F298)+1),"OK","Comment required"),"OK")))</f>
      </c>
    </row>
    <row r="299" spans="1:10" x14ac:dyDescent="0.25">
      <c r="A299" s="1"/>
      <c r="B299" s="20"/>
      <c r="C299" s="1"/>
      <c r="D299" s="1"/>
      <c r="E299" s="1"/>
      <c r="F299" s="1"/>
      <c r="G299" s="1"/>
      <c r="H299" s="1"/>
      <c r="I299" s="1"/>
      <c r="J299" s="1">
        <f>IF($F299="","",IF($H299="","Not rated",IF(OR($H299=Lists!$B$3,$H299=Lists!$B$5),IF(AND(LEFT(SUBSTITUTE($I299," ",""),LEN($F299)+1)=$F299&amp;"-",LEN(SUBSTITUTE($I299," ",""))&gt;LEN($F299)+1),"OK","Comment required"),"OK")))</f>
      </c>
    </row>
    <row r="300" spans="1:10" x14ac:dyDescent="0.25">
      <c r="A300" s="1"/>
      <c r="B300" s="20"/>
      <c r="C300" s="1"/>
      <c r="D300" s="1"/>
      <c r="E300" s="1"/>
      <c r="F300" s="1"/>
      <c r="G300" s="1"/>
      <c r="H300" s="1"/>
      <c r="I300" s="1"/>
      <c r="J300" s="1">
        <f>IF($F300="","",IF($H300="","Not rated",IF(OR($H300=Lists!$B$3,$H300=Lists!$B$5),IF(AND(LEFT(SUBSTITUTE($I300," ",""),LEN($F300)+1)=$F300&amp;"-",LEN(SUBSTITUTE($I300," ",""))&gt;LEN($F300)+1),"OK","Comment required"),"OK")))</f>
      </c>
    </row>
    <row r="301" spans="1:10" x14ac:dyDescent="0.25">
      <c r="A301" s="1"/>
      <c r="B301" s="20"/>
      <c r="C301" s="1"/>
      <c r="D301" s="1"/>
      <c r="E301" s="1"/>
      <c r="F301" s="1"/>
      <c r="G301" s="1"/>
      <c r="H301" s="1"/>
      <c r="I301" s="1"/>
      <c r="J301" s="1">
        <f>IF($F301="","",IF($H301="","Not rated",IF(OR($H301=Lists!$B$3,$H301=Lists!$B$5),IF(AND(LEFT(SUBSTITUTE($I301," ",""),LEN($F301)+1)=$F301&amp;"-",LEN(SUBSTITUTE($I301," ",""))&gt;LEN($F301)+1),"OK","Comment required"),"OK")))</f>
      </c>
    </row>
    <row r="302" spans="1:10" x14ac:dyDescent="0.25">
      <c r="A302" s="1"/>
      <c r="B302" s="20"/>
      <c r="C302" s="1"/>
      <c r="D302" s="1"/>
      <c r="E302" s="1"/>
      <c r="F302" s="1"/>
      <c r="G302" s="1"/>
      <c r="H302" s="1"/>
      <c r="I302" s="1"/>
      <c r="J302" s="1">
        <f>IF($F302="","",IF($H302="","Not rated",IF(OR($H302=Lists!$B$3,$H302=Lists!$B$5),IF(AND(LEFT(SUBSTITUTE($I302," ",""),LEN($F302)+1)=$F302&amp;"-",LEN(SUBSTITUTE($I302," ",""))&gt;LEN($F302)+1),"OK","Comment required"),"OK")))</f>
      </c>
    </row>
    <row r="303" spans="1:10" x14ac:dyDescent="0.25">
      <c r="A303" s="1"/>
      <c r="B303" s="20"/>
      <c r="C303" s="1"/>
      <c r="D303" s="1"/>
      <c r="E303" s="1"/>
      <c r="F303" s="1"/>
      <c r="G303" s="1"/>
      <c r="H303" s="1"/>
      <c r="I303" s="1"/>
      <c r="J303" s="1">
        <f>IF($F303="","",IF($H303="","Not rated",IF(OR($H303=Lists!$B$3,$H303=Lists!$B$5),IF(AND(LEFT(SUBSTITUTE($I303," ",""),LEN($F303)+1)=$F303&amp;"-",LEN(SUBSTITUTE($I303," ",""))&gt;LEN($F303)+1),"OK","Comment required"),"OK")))</f>
      </c>
    </row>
    <row r="304" spans="1:10" x14ac:dyDescent="0.25">
      <c r="A304" s="1"/>
      <c r="B304" s="20"/>
      <c r="C304" s="1"/>
      <c r="D304" s="1"/>
      <c r="E304" s="1"/>
      <c r="F304" s="1"/>
      <c r="G304" s="1"/>
      <c r="H304" s="1"/>
      <c r="I304" s="1"/>
      <c r="J304" s="1">
        <f>IF($F304="","",IF($H304="","Not rated",IF(OR($H304=Lists!$B$3,$H304=Lists!$B$5),IF(AND(LEFT(SUBSTITUTE($I304," ",""),LEN($F304)+1)=$F304&amp;"-",LEN(SUBSTITUTE($I304," ",""))&gt;LEN($F304)+1),"OK","Comment required"),"OK")))</f>
      </c>
    </row>
    <row r="305" spans="1:10" x14ac:dyDescent="0.25">
      <c r="A305" s="1"/>
      <c r="B305" s="20"/>
      <c r="C305" s="1"/>
      <c r="D305" s="1"/>
      <c r="E305" s="1"/>
      <c r="F305" s="1"/>
      <c r="G305" s="1"/>
      <c r="H305" s="1"/>
      <c r="I305" s="1"/>
      <c r="J305" s="1">
        <f>IF($F305="","",IF($H305="","Not rated",IF(OR($H305=Lists!$B$3,$H305=Lists!$B$5),IF(AND(LEFT(SUBSTITUTE($I305," ",""),LEN($F305)+1)=$F305&amp;"-",LEN(SUBSTITUTE($I305," ",""))&gt;LEN($F305)+1),"OK","Comment required"),"OK")))</f>
      </c>
    </row>
    <row r="306" spans="1:10" x14ac:dyDescent="0.25">
      <c r="A306" s="1"/>
      <c r="B306" s="20"/>
      <c r="C306" s="1"/>
      <c r="D306" s="1"/>
      <c r="E306" s="1"/>
      <c r="F306" s="1"/>
      <c r="G306" s="1"/>
      <c r="H306" s="1"/>
      <c r="I306" s="1"/>
      <c r="J306" s="1">
        <f>IF($F306="","",IF($H306="","Not rated",IF(OR($H306=Lists!$B$3,$H306=Lists!$B$5),IF(AND(LEFT(SUBSTITUTE($I306," ",""),LEN($F306)+1)=$F306&amp;"-",LEN(SUBSTITUTE($I306," ",""))&gt;LEN($F306)+1),"OK","Comment required"),"OK")))</f>
      </c>
    </row>
    <row r="307" spans="1:10" x14ac:dyDescent="0.25">
      <c r="A307" s="1"/>
      <c r="B307" s="20"/>
      <c r="C307" s="1"/>
      <c r="D307" s="1"/>
      <c r="E307" s="1"/>
      <c r="F307" s="1"/>
      <c r="G307" s="1"/>
      <c r="H307" s="1"/>
      <c r="I307" s="1"/>
      <c r="J307" s="1">
        <f>IF($F307="","",IF($H307="","Not rated",IF(OR($H307=Lists!$B$3,$H307=Lists!$B$5),IF(AND(LEFT(SUBSTITUTE($I307," ",""),LEN($F307)+1)=$F307&amp;"-",LEN(SUBSTITUTE($I307," ",""))&gt;LEN($F307)+1),"OK","Comment required"),"OK")))</f>
      </c>
    </row>
    <row r="308" spans="1:10" x14ac:dyDescent="0.25">
      <c r="A308" s="1"/>
      <c r="B308" s="20"/>
      <c r="C308" s="1"/>
      <c r="D308" s="1"/>
      <c r="E308" s="1"/>
      <c r="F308" s="1"/>
      <c r="G308" s="1"/>
      <c r="H308" s="1"/>
      <c r="I308" s="1"/>
      <c r="J308" s="1">
        <f>IF($F308="","",IF($H308="","Not rated",IF(OR($H308=Lists!$B$3,$H308=Lists!$B$5),IF(AND(LEFT(SUBSTITUTE($I308," ",""),LEN($F308)+1)=$F308&amp;"-",LEN(SUBSTITUTE($I308," ",""))&gt;LEN($F308)+1),"OK","Comment required"),"OK")))</f>
      </c>
    </row>
    <row r="309" spans="1:10" x14ac:dyDescent="0.25">
      <c r="A309" s="1"/>
      <c r="B309" s="20"/>
      <c r="C309" s="1"/>
      <c r="D309" s="1"/>
      <c r="E309" s="1"/>
      <c r="F309" s="1"/>
      <c r="G309" s="1"/>
      <c r="H309" s="1"/>
      <c r="I309" s="1"/>
      <c r="J309" s="1">
        <f>IF($F309="","",IF($H309="","Not rated",IF(OR($H309=Lists!$B$3,$H309=Lists!$B$5),IF(AND(LEFT(SUBSTITUTE($I309," ",""),LEN($F309)+1)=$F309&amp;"-",LEN(SUBSTITUTE($I309," ",""))&gt;LEN($F309)+1),"OK","Comment required"),"OK")))</f>
      </c>
    </row>
    <row r="310" spans="1:10" x14ac:dyDescent="0.25">
      <c r="A310" s="1"/>
      <c r="B310" s="20"/>
      <c r="C310" s="1"/>
      <c r="D310" s="1"/>
      <c r="E310" s="1"/>
      <c r="F310" s="1"/>
      <c r="G310" s="1"/>
      <c r="H310" s="1"/>
      <c r="I310" s="1"/>
      <c r="J310" s="1">
        <f>IF($F310="","",IF($H310="","Not rated",IF(OR($H310=Lists!$B$3,$H310=Lists!$B$5),IF(AND(LEFT(SUBSTITUTE($I310," ",""),LEN($F310)+1)=$F310&amp;"-",LEN(SUBSTITUTE($I310," ",""))&gt;LEN($F310)+1),"OK","Comment required"),"OK")))</f>
      </c>
    </row>
    <row r="311" spans="1:10" x14ac:dyDescent="0.25">
      <c r="A311" s="1"/>
      <c r="B311" s="20"/>
      <c r="C311" s="1"/>
      <c r="D311" s="1"/>
      <c r="E311" s="1"/>
      <c r="F311" s="1"/>
      <c r="G311" s="1"/>
      <c r="H311" s="1"/>
      <c r="I311" s="1"/>
      <c r="J311" s="1">
        <f>IF($F311="","",IF($H311="","Not rated",IF(OR($H311=Lists!$B$3,$H311=Lists!$B$5),IF(AND(LEFT(SUBSTITUTE($I311," ",""),LEN($F311)+1)=$F311&amp;"-",LEN(SUBSTITUTE($I311," ",""))&gt;LEN($F311)+1),"OK","Comment required"),"OK")))</f>
      </c>
    </row>
    <row r="312" spans="1:10" x14ac:dyDescent="0.25">
      <c r="A312" s="1"/>
      <c r="B312" s="20"/>
      <c r="C312" s="1"/>
      <c r="D312" s="1"/>
      <c r="E312" s="1"/>
      <c r="F312" s="1"/>
      <c r="G312" s="1"/>
      <c r="H312" s="1"/>
      <c r="I312" s="1"/>
      <c r="J312" s="1">
        <f>IF($F312="","",IF($H312="","Not rated",IF(OR($H312=Lists!$B$3,$H312=Lists!$B$5),IF(AND(LEFT(SUBSTITUTE($I312," ",""),LEN($F312)+1)=$F312&amp;"-",LEN(SUBSTITUTE($I312," ",""))&gt;LEN($F312)+1),"OK","Comment required"),"OK")))</f>
      </c>
    </row>
    <row r="313" spans="1:10" x14ac:dyDescent="0.25">
      <c r="A313" s="1"/>
      <c r="B313" s="20"/>
      <c r="C313" s="1"/>
      <c r="D313" s="1"/>
      <c r="E313" s="1"/>
      <c r="F313" s="1"/>
      <c r="G313" s="1"/>
      <c r="H313" s="1"/>
      <c r="I313" s="1"/>
      <c r="J313" s="1">
        <f>IF($F313="","",IF($H313="","Not rated",IF(OR($H313=Lists!$B$3,$H313=Lists!$B$5),IF(AND(LEFT(SUBSTITUTE($I313," ",""),LEN($F313)+1)=$F313&amp;"-",LEN(SUBSTITUTE($I313," ",""))&gt;LEN($F313)+1),"OK","Comment required"),"OK")))</f>
      </c>
    </row>
    <row r="314" spans="1:10" x14ac:dyDescent="0.25">
      <c r="A314" s="1"/>
      <c r="B314" s="20"/>
      <c r="C314" s="1"/>
      <c r="D314" s="1"/>
      <c r="E314" s="1"/>
      <c r="F314" s="1"/>
      <c r="G314" s="1"/>
      <c r="H314" s="1"/>
      <c r="I314" s="1"/>
      <c r="J314" s="1">
        <f>IF($F314="","",IF($H314="","Not rated",IF(OR($H314=Lists!$B$3,$H314=Lists!$B$5),IF(AND(LEFT(SUBSTITUTE($I314," ",""),LEN($F314)+1)=$F314&amp;"-",LEN(SUBSTITUTE($I314," ",""))&gt;LEN($F314)+1),"OK","Comment required"),"OK")))</f>
      </c>
    </row>
    <row r="315" spans="1:10" x14ac:dyDescent="0.25">
      <c r="A315" s="1"/>
      <c r="B315" s="20"/>
      <c r="C315" s="1"/>
      <c r="D315" s="1"/>
      <c r="E315" s="1"/>
      <c r="F315" s="1"/>
      <c r="G315" s="1"/>
      <c r="H315" s="1"/>
      <c r="I315" s="1"/>
      <c r="J315" s="1">
        <f>IF($F315="","",IF($H315="","Not rated",IF(OR($H315=Lists!$B$3,$H315=Lists!$B$5),IF(AND(LEFT(SUBSTITUTE($I315," ",""),LEN($F315)+1)=$F315&amp;"-",LEN(SUBSTITUTE($I315," ",""))&gt;LEN($F315)+1),"OK","Comment required"),"OK")))</f>
      </c>
    </row>
    <row r="316" spans="1:10" x14ac:dyDescent="0.25">
      <c r="A316" s="1"/>
      <c r="B316" s="20"/>
      <c r="C316" s="1"/>
      <c r="D316" s="1"/>
      <c r="E316" s="1"/>
      <c r="F316" s="1"/>
      <c r="G316" s="1"/>
      <c r="H316" s="1"/>
      <c r="I316" s="1"/>
      <c r="J316" s="1">
        <f>IF($F316="","",IF($H316="","Not rated",IF(OR($H316=Lists!$B$3,$H316=Lists!$B$5),IF(AND(LEFT(SUBSTITUTE($I316," ",""),LEN($F316)+1)=$F316&amp;"-",LEN(SUBSTITUTE($I316," ",""))&gt;LEN($F316)+1),"OK","Comment required"),"OK")))</f>
      </c>
    </row>
    <row r="317" spans="1:10" x14ac:dyDescent="0.25">
      <c r="A317" s="1"/>
      <c r="B317" s="20"/>
      <c r="C317" s="1"/>
      <c r="D317" s="1"/>
      <c r="E317" s="1"/>
      <c r="F317" s="1"/>
      <c r="G317" s="1"/>
      <c r="H317" s="1"/>
      <c r="I317" s="1"/>
      <c r="J317" s="1">
        <f>IF($F317="","",IF($H317="","Not rated",IF(OR($H317=Lists!$B$3,$H317=Lists!$B$5),IF(AND(LEFT(SUBSTITUTE($I317," ",""),LEN($F317)+1)=$F317&amp;"-",LEN(SUBSTITUTE($I317," ",""))&gt;LEN($F317)+1),"OK","Comment required"),"OK")))</f>
      </c>
    </row>
    <row r="318" spans="1:10" x14ac:dyDescent="0.25">
      <c r="A318" s="1"/>
      <c r="B318" s="20"/>
      <c r="C318" s="1"/>
      <c r="D318" s="1"/>
      <c r="E318" s="1"/>
      <c r="F318" s="1"/>
      <c r="G318" s="1"/>
      <c r="H318" s="1"/>
      <c r="I318" s="1"/>
      <c r="J318" s="1">
        <f>IF($F318="","",IF($H318="","Not rated",IF(OR($H318=Lists!$B$3,$H318=Lists!$B$5),IF(AND(LEFT(SUBSTITUTE($I318," ",""),LEN($F318)+1)=$F318&amp;"-",LEN(SUBSTITUTE($I318," ",""))&gt;LEN($F318)+1),"OK","Comment required"),"OK")))</f>
      </c>
    </row>
    <row r="319" spans="1:10" x14ac:dyDescent="0.25">
      <c r="A319" s="1"/>
      <c r="B319" s="20"/>
      <c r="C319" s="1"/>
      <c r="D319" s="1"/>
      <c r="E319" s="1"/>
      <c r="F319" s="1"/>
      <c r="G319" s="1"/>
      <c r="H319" s="1"/>
      <c r="I319" s="1"/>
      <c r="J319" s="1">
        <f>IF($F319="","",IF($H319="","Not rated",IF(OR($H319=Lists!$B$3,$H319=Lists!$B$5),IF(AND(LEFT(SUBSTITUTE($I319," ",""),LEN($F319)+1)=$F319&amp;"-",LEN(SUBSTITUTE($I319," ",""))&gt;LEN($F319)+1),"OK","Comment required"),"OK")))</f>
      </c>
    </row>
    <row r="320" spans="1:10" x14ac:dyDescent="0.25">
      <c r="A320" s="1"/>
      <c r="B320" s="20"/>
      <c r="C320" s="1"/>
      <c r="D320" s="1"/>
      <c r="E320" s="1"/>
      <c r="F320" s="1"/>
      <c r="G320" s="1"/>
      <c r="H320" s="1"/>
      <c r="I320" s="1"/>
      <c r="J320" s="1">
        <f>IF($F320="","",IF($H320="","Not rated",IF(OR($H320=Lists!$B$3,$H320=Lists!$B$5),IF(AND(LEFT(SUBSTITUTE($I320," ",""),LEN($F320)+1)=$F320&amp;"-",LEN(SUBSTITUTE($I320," ",""))&gt;LEN($F320)+1),"OK","Comment required"),"OK")))</f>
      </c>
    </row>
    <row r="321" spans="1:10" x14ac:dyDescent="0.25">
      <c r="A321" s="1"/>
      <c r="B321" s="20"/>
      <c r="C321" s="1"/>
      <c r="D321" s="1"/>
      <c r="E321" s="1"/>
      <c r="F321" s="1"/>
      <c r="G321" s="1"/>
      <c r="H321" s="1"/>
      <c r="I321" s="1"/>
      <c r="J321" s="1">
        <f>IF($F321="","",IF($H321="","Not rated",IF(OR($H321=Lists!$B$3,$H321=Lists!$B$5),IF(AND(LEFT(SUBSTITUTE($I321," ",""),LEN($F321)+1)=$F321&amp;"-",LEN(SUBSTITUTE($I321," ",""))&gt;LEN($F321)+1),"OK","Comment required"),"OK")))</f>
      </c>
    </row>
    <row r="322" spans="1:10" x14ac:dyDescent="0.25">
      <c r="A322" s="1"/>
      <c r="B322" s="20"/>
      <c r="C322" s="1"/>
      <c r="D322" s="1"/>
      <c r="E322" s="1"/>
      <c r="F322" s="1"/>
      <c r="G322" s="1"/>
      <c r="H322" s="1"/>
      <c r="I322" s="1"/>
      <c r="J322" s="1">
        <f>IF($F322="","",IF($H322="","Not rated",IF(OR($H322=Lists!$B$3,$H322=Lists!$B$5),IF(AND(LEFT(SUBSTITUTE($I322," ",""),LEN($F322)+1)=$F322&amp;"-",LEN(SUBSTITUTE($I322," ",""))&gt;LEN($F322)+1),"OK","Comment required"),"OK")))</f>
      </c>
    </row>
    <row r="323" spans="1:10" x14ac:dyDescent="0.25">
      <c r="A323" s="1"/>
      <c r="B323" s="20"/>
      <c r="C323" s="1"/>
      <c r="D323" s="1"/>
      <c r="E323" s="1"/>
      <c r="F323" s="1"/>
      <c r="G323" s="1"/>
      <c r="H323" s="1"/>
      <c r="I323" s="1"/>
      <c r="J323" s="1">
        <f>IF($F323="","",IF($H323="","Not rated",IF(OR($H323=Lists!$B$3,$H323=Lists!$B$5),IF(AND(LEFT(SUBSTITUTE($I323," ",""),LEN($F323)+1)=$F323&amp;"-",LEN(SUBSTITUTE($I323," ",""))&gt;LEN($F323)+1),"OK","Comment required"),"OK")))</f>
      </c>
    </row>
    <row r="324" spans="1:10" x14ac:dyDescent="0.25">
      <c r="A324" s="1"/>
      <c r="B324" s="20"/>
      <c r="C324" s="1"/>
      <c r="D324" s="1"/>
      <c r="E324" s="1"/>
      <c r="F324" s="1"/>
      <c r="G324" s="1"/>
      <c r="H324" s="1"/>
      <c r="I324" s="1"/>
      <c r="J324" s="1">
        <f>IF($F324="","",IF($H324="","Not rated",IF(OR($H324=Lists!$B$3,$H324=Lists!$B$5),IF(AND(LEFT(SUBSTITUTE($I324," ",""),LEN($F324)+1)=$F324&amp;"-",LEN(SUBSTITUTE($I324," ",""))&gt;LEN($F324)+1),"OK","Comment required"),"OK")))</f>
      </c>
    </row>
    <row r="325" spans="1:10" x14ac:dyDescent="0.25">
      <c r="A325" s="1"/>
      <c r="B325" s="20"/>
      <c r="C325" s="1"/>
      <c r="D325" s="1"/>
      <c r="E325" s="1"/>
      <c r="F325" s="1"/>
      <c r="G325" s="1"/>
      <c r="H325" s="1"/>
      <c r="I325" s="1"/>
      <c r="J325" s="1">
        <f>IF($F325="","",IF($H325="","Not rated",IF(OR($H325=Lists!$B$3,$H325=Lists!$B$5),IF(AND(LEFT(SUBSTITUTE($I325," ",""),LEN($F325)+1)=$F325&amp;"-",LEN(SUBSTITUTE($I325," ",""))&gt;LEN($F325)+1),"OK","Comment required"),"OK")))</f>
      </c>
    </row>
    <row r="326" spans="1:10" x14ac:dyDescent="0.25">
      <c r="A326" s="1"/>
      <c r="B326" s="20"/>
      <c r="C326" s="1"/>
      <c r="D326" s="1"/>
      <c r="E326" s="1"/>
      <c r="F326" s="1"/>
      <c r="G326" s="1"/>
      <c r="H326" s="1"/>
      <c r="I326" s="1"/>
      <c r="J326" s="1">
        <f>IF($F326="","",IF($H326="","Not rated",IF(OR($H326=Lists!$B$3,$H326=Lists!$B$5),IF(AND(LEFT(SUBSTITUTE($I326," ",""),LEN($F326)+1)=$F326&amp;"-",LEN(SUBSTITUTE($I326," ",""))&gt;LEN($F326)+1),"OK","Comment required"),"OK")))</f>
      </c>
    </row>
    <row r="327" spans="1:10" x14ac:dyDescent="0.25">
      <c r="A327" s="1"/>
      <c r="B327" s="20"/>
      <c r="C327" s="1"/>
      <c r="D327" s="1"/>
      <c r="E327" s="1"/>
      <c r="F327" s="1"/>
      <c r="G327" s="1"/>
      <c r="H327" s="1"/>
      <c r="I327" s="1"/>
      <c r="J327" s="1">
        <f>IF($F327="","",IF($H327="","Not rated",IF(OR($H327=Lists!$B$3,$H327=Lists!$B$5),IF(AND(LEFT(SUBSTITUTE($I327," ",""),LEN($F327)+1)=$F327&amp;"-",LEN(SUBSTITUTE($I327," ",""))&gt;LEN($F327)+1),"OK","Comment required"),"OK")))</f>
      </c>
    </row>
    <row r="328" spans="1:10" x14ac:dyDescent="0.25">
      <c r="A328" s="1"/>
      <c r="B328" s="20"/>
      <c r="C328" s="1"/>
      <c r="D328" s="1"/>
      <c r="E328" s="1"/>
      <c r="F328" s="1"/>
      <c r="G328" s="1"/>
      <c r="H328" s="1"/>
      <c r="I328" s="1"/>
      <c r="J328" s="1">
        <f>IF($F328="","",IF($H328="","Not rated",IF(OR($H328=Lists!$B$3,$H328=Lists!$B$5),IF(AND(LEFT(SUBSTITUTE($I328," ",""),LEN($F328)+1)=$F328&amp;"-",LEN(SUBSTITUTE($I328," ",""))&gt;LEN($F328)+1),"OK","Comment required"),"OK")))</f>
      </c>
    </row>
    <row r="329" spans="1:10" x14ac:dyDescent="0.25">
      <c r="A329" s="1"/>
      <c r="B329" s="20"/>
      <c r="C329" s="1"/>
      <c r="D329" s="1"/>
      <c r="E329" s="1"/>
      <c r="F329" s="1"/>
      <c r="G329" s="1"/>
      <c r="H329" s="1"/>
      <c r="I329" s="1"/>
      <c r="J329" s="1">
        <f>IF($F329="","",IF($H329="","Not rated",IF(OR($H329=Lists!$B$3,$H329=Lists!$B$5),IF(AND(LEFT(SUBSTITUTE($I329," ",""),LEN($F329)+1)=$F329&amp;"-",LEN(SUBSTITUTE($I329," ",""))&gt;LEN($F329)+1),"OK","Comment required"),"OK")))</f>
      </c>
    </row>
    <row r="330" spans="1:10" x14ac:dyDescent="0.25">
      <c r="A330" s="1"/>
      <c r="B330" s="20"/>
      <c r="C330" s="1"/>
      <c r="D330" s="1"/>
      <c r="E330" s="1"/>
      <c r="F330" s="1"/>
      <c r="G330" s="1"/>
      <c r="H330" s="1"/>
      <c r="I330" s="1"/>
      <c r="J330" s="1">
        <f>IF($F330="","",IF($H330="","Not rated",IF(OR($H330=Lists!$B$3,$H330=Lists!$B$5),IF(AND(LEFT(SUBSTITUTE($I330," ",""),LEN($F330)+1)=$F330&amp;"-",LEN(SUBSTITUTE($I330," ",""))&gt;LEN($F330)+1),"OK","Comment required"),"OK")))</f>
      </c>
    </row>
    <row r="331" spans="1:10" x14ac:dyDescent="0.25">
      <c r="A331" s="1"/>
      <c r="B331" s="20"/>
      <c r="C331" s="1"/>
      <c r="D331" s="1"/>
      <c r="E331" s="1"/>
      <c r="F331" s="1"/>
      <c r="G331" s="1"/>
      <c r="H331" s="1"/>
      <c r="I331" s="1"/>
      <c r="J331" s="1">
        <f>IF($F331="","",IF($H331="","Not rated",IF(OR($H331=Lists!$B$3,$H331=Lists!$B$5),IF(AND(LEFT(SUBSTITUTE($I331," ",""),LEN($F331)+1)=$F331&amp;"-",LEN(SUBSTITUTE($I331," ",""))&gt;LEN($F331)+1),"OK","Comment required"),"OK")))</f>
      </c>
    </row>
    <row r="332" spans="1:10" x14ac:dyDescent="0.25">
      <c r="A332" s="1"/>
      <c r="B332" s="20"/>
      <c r="C332" s="1"/>
      <c r="D332" s="1"/>
      <c r="E332" s="1"/>
      <c r="F332" s="1"/>
      <c r="G332" s="1"/>
      <c r="H332" s="1"/>
      <c r="I332" s="1"/>
      <c r="J332" s="1">
        <f>IF($F332="","",IF($H332="","Not rated",IF(OR($H332=Lists!$B$3,$H332=Lists!$B$5),IF(AND(LEFT(SUBSTITUTE($I332," ",""),LEN($F332)+1)=$F332&amp;"-",LEN(SUBSTITUTE($I332," ",""))&gt;LEN($F332)+1),"OK","Comment required"),"OK")))</f>
      </c>
    </row>
    <row r="333" spans="1:10" x14ac:dyDescent="0.25">
      <c r="A333" s="1"/>
      <c r="B333" s="20"/>
      <c r="C333" s="1"/>
      <c r="D333" s="1"/>
      <c r="E333" s="1"/>
      <c r="F333" s="1"/>
      <c r="G333" s="1"/>
      <c r="H333" s="1"/>
      <c r="I333" s="1"/>
      <c r="J333" s="1">
        <f>IF($F333="","",IF($H333="","Not rated",IF(OR($H333=Lists!$B$3,$H333=Lists!$B$5),IF(AND(LEFT(SUBSTITUTE($I333," ",""),LEN($F333)+1)=$F333&amp;"-",LEN(SUBSTITUTE($I333," ",""))&gt;LEN($F333)+1),"OK","Comment required"),"OK")))</f>
      </c>
    </row>
    <row r="334" spans="1:10" x14ac:dyDescent="0.25">
      <c r="A334" s="1"/>
      <c r="B334" s="20"/>
      <c r="C334" s="1"/>
      <c r="D334" s="1"/>
      <c r="E334" s="1"/>
      <c r="F334" s="1"/>
      <c r="G334" s="1"/>
      <c r="H334" s="1"/>
      <c r="I334" s="1"/>
      <c r="J334" s="1">
        <f>IF($F334="","",IF($H334="","Not rated",IF(OR($H334=Lists!$B$3,$H334=Lists!$B$5),IF(AND(LEFT(SUBSTITUTE($I334," ",""),LEN($F334)+1)=$F334&amp;"-",LEN(SUBSTITUTE($I334," ",""))&gt;LEN($F334)+1),"OK","Comment required"),"OK")))</f>
      </c>
    </row>
    <row r="335" spans="1:10" x14ac:dyDescent="0.25">
      <c r="A335" s="1"/>
      <c r="B335" s="20"/>
      <c r="C335" s="1"/>
      <c r="D335" s="1"/>
      <c r="E335" s="1"/>
      <c r="F335" s="1"/>
      <c r="G335" s="1"/>
      <c r="H335" s="1"/>
      <c r="I335" s="1"/>
      <c r="J335" s="1">
        <f>IF($F335="","",IF($H335="","Not rated",IF(OR($H335=Lists!$B$3,$H335=Lists!$B$5),IF(AND(LEFT(SUBSTITUTE($I335," ",""),LEN($F335)+1)=$F335&amp;"-",LEN(SUBSTITUTE($I335," ",""))&gt;LEN($F335)+1),"OK","Comment required"),"OK")))</f>
      </c>
    </row>
    <row r="336" spans="1:10" x14ac:dyDescent="0.25">
      <c r="A336" s="1"/>
      <c r="B336" s="20"/>
      <c r="C336" s="1"/>
      <c r="D336" s="1"/>
      <c r="E336" s="1"/>
      <c r="F336" s="1"/>
      <c r="G336" s="1"/>
      <c r="H336" s="1"/>
      <c r="I336" s="1"/>
      <c r="J336" s="1">
        <f>IF($F336="","",IF($H336="","Not rated",IF(OR($H336=Lists!$B$3,$H336=Lists!$B$5),IF(AND(LEFT(SUBSTITUTE($I336," ",""),LEN($F336)+1)=$F336&amp;"-",LEN(SUBSTITUTE($I336," ",""))&gt;LEN($F336)+1),"OK","Comment required"),"OK")))</f>
      </c>
    </row>
    <row r="337" spans="1:10" x14ac:dyDescent="0.25">
      <c r="A337" s="1"/>
      <c r="B337" s="20"/>
      <c r="C337" s="1"/>
      <c r="D337" s="1"/>
      <c r="E337" s="1"/>
      <c r="F337" s="1"/>
      <c r="G337" s="1"/>
      <c r="H337" s="1"/>
      <c r="I337" s="1"/>
      <c r="J337" s="1">
        <f>IF($F337="","",IF($H337="","Not rated",IF(OR($H337=Lists!$B$3,$H337=Lists!$B$5),IF(AND(LEFT(SUBSTITUTE($I337," ",""),LEN($F337)+1)=$F337&amp;"-",LEN(SUBSTITUTE($I337," ",""))&gt;LEN($F337)+1),"OK","Comment required"),"OK")))</f>
      </c>
    </row>
    <row r="338" spans="1:10" x14ac:dyDescent="0.25">
      <c r="A338" s="1"/>
      <c r="B338" s="20"/>
      <c r="C338" s="1"/>
      <c r="D338" s="1"/>
      <c r="E338" s="1"/>
      <c r="F338" s="1"/>
      <c r="G338" s="1"/>
      <c r="H338" s="1"/>
      <c r="I338" s="1"/>
      <c r="J338" s="1">
        <f>IF($F338="","",IF($H338="","Not rated",IF(OR($H338=Lists!$B$3,$H338=Lists!$B$5),IF(AND(LEFT(SUBSTITUTE($I338," ",""),LEN($F338)+1)=$F338&amp;"-",LEN(SUBSTITUTE($I338," ",""))&gt;LEN($F338)+1),"OK","Comment required"),"OK")))</f>
      </c>
    </row>
    <row r="339" spans="1:10" x14ac:dyDescent="0.25">
      <c r="A339" s="1"/>
      <c r="B339" s="20"/>
      <c r="C339" s="1"/>
      <c r="D339" s="1"/>
      <c r="E339" s="1"/>
      <c r="F339" s="1"/>
      <c r="G339" s="1"/>
      <c r="H339" s="1"/>
      <c r="I339" s="1"/>
      <c r="J339" s="1">
        <f>IF($F339="","",IF($H339="","Not rated",IF(OR($H339=Lists!$B$3,$H339=Lists!$B$5),IF(AND(LEFT(SUBSTITUTE($I339," ",""),LEN($F339)+1)=$F339&amp;"-",LEN(SUBSTITUTE($I339," ",""))&gt;LEN($F339)+1),"OK","Comment required"),"OK")))</f>
      </c>
    </row>
    <row r="340" spans="1:10" x14ac:dyDescent="0.25">
      <c r="A340" s="1"/>
      <c r="B340" s="20"/>
      <c r="C340" s="1"/>
      <c r="D340" s="1"/>
      <c r="E340" s="1"/>
      <c r="F340" s="1"/>
      <c r="G340" s="1"/>
      <c r="H340" s="1"/>
      <c r="I340" s="1"/>
      <c r="J340" s="1">
        <f>IF($F340="","",IF($H340="","Not rated",IF(OR($H340=Lists!$B$3,$H340=Lists!$B$5),IF(AND(LEFT(SUBSTITUTE($I340," ",""),LEN($F340)+1)=$F340&amp;"-",LEN(SUBSTITUTE($I340," ",""))&gt;LEN($F340)+1),"OK","Comment required"),"OK")))</f>
      </c>
    </row>
    <row r="341" spans="1:10" x14ac:dyDescent="0.25">
      <c r="A341" s="1"/>
      <c r="B341" s="20"/>
      <c r="C341" s="1"/>
      <c r="D341" s="1"/>
      <c r="E341" s="1"/>
      <c r="F341" s="1"/>
      <c r="G341" s="1"/>
      <c r="H341" s="1"/>
      <c r="I341" s="1"/>
      <c r="J341" s="1">
        <f>IF($F341="","",IF($H341="","Not rated",IF(OR($H341=Lists!$B$3,$H341=Lists!$B$5),IF(AND(LEFT(SUBSTITUTE($I341," ",""),LEN($F341)+1)=$F341&amp;"-",LEN(SUBSTITUTE($I341," ",""))&gt;LEN($F341)+1),"OK","Comment required"),"OK")))</f>
      </c>
    </row>
    <row r="342" spans="1:10" x14ac:dyDescent="0.25">
      <c r="A342" s="1"/>
      <c r="B342" s="20"/>
      <c r="C342" s="1"/>
      <c r="D342" s="1"/>
      <c r="E342" s="1"/>
      <c r="F342" s="1"/>
      <c r="G342" s="1"/>
      <c r="H342" s="1"/>
      <c r="I342" s="1"/>
      <c r="J342" s="1">
        <f>IF($F342="","",IF($H342="","Not rated",IF(OR($H342=Lists!$B$3,$H342=Lists!$B$5),IF(AND(LEFT(SUBSTITUTE($I342," ",""),LEN($F342)+1)=$F342&amp;"-",LEN(SUBSTITUTE($I342," ",""))&gt;LEN($F342)+1),"OK","Comment required"),"OK")))</f>
      </c>
    </row>
    <row r="343" spans="1:10" x14ac:dyDescent="0.25">
      <c r="A343" s="1"/>
      <c r="B343" s="20"/>
      <c r="C343" s="1"/>
      <c r="D343" s="1"/>
      <c r="E343" s="1"/>
      <c r="F343" s="1"/>
      <c r="G343" s="1"/>
      <c r="H343" s="1"/>
      <c r="I343" s="1"/>
      <c r="J343" s="1">
        <f>IF($F343="","",IF($H343="","Not rated",IF(OR($H343=Lists!$B$3,$H343=Lists!$B$5),IF(AND(LEFT(SUBSTITUTE($I343," ",""),LEN($F343)+1)=$F343&amp;"-",LEN(SUBSTITUTE($I343," ",""))&gt;LEN($F343)+1),"OK","Comment required"),"OK")))</f>
      </c>
    </row>
    <row r="344" spans="1:10" x14ac:dyDescent="0.25">
      <c r="A344" s="1"/>
      <c r="B344" s="20"/>
      <c r="C344" s="1"/>
      <c r="D344" s="1"/>
      <c r="E344" s="1"/>
      <c r="F344" s="1"/>
      <c r="G344" s="1"/>
      <c r="H344" s="1"/>
      <c r="I344" s="1"/>
      <c r="J344" s="1">
        <f>IF($F344="","",IF($H344="","Not rated",IF(OR($H344=Lists!$B$3,$H344=Lists!$B$5),IF(AND(LEFT(SUBSTITUTE($I344," ",""),LEN($F344)+1)=$F344&amp;"-",LEN(SUBSTITUTE($I344," ",""))&gt;LEN($F344)+1),"OK","Comment required"),"OK")))</f>
      </c>
    </row>
    <row r="345" spans="1:10" x14ac:dyDescent="0.25">
      <c r="A345" s="1"/>
      <c r="B345" s="20"/>
      <c r="C345" s="1"/>
      <c r="D345" s="1"/>
      <c r="E345" s="1"/>
      <c r="F345" s="1"/>
      <c r="G345" s="1"/>
      <c r="H345" s="1"/>
      <c r="I345" s="1"/>
      <c r="J345" s="1">
        <f>IF($F345="","",IF($H345="","Not rated",IF(OR($H345=Lists!$B$3,$H345=Lists!$B$5),IF(AND(LEFT(SUBSTITUTE($I345," ",""),LEN($F345)+1)=$F345&amp;"-",LEN(SUBSTITUTE($I345," ",""))&gt;LEN($F345)+1),"OK","Comment required"),"OK")))</f>
      </c>
    </row>
    <row r="346" spans="1:10" x14ac:dyDescent="0.25">
      <c r="A346" s="1"/>
      <c r="B346" s="20"/>
      <c r="C346" s="1"/>
      <c r="D346" s="1"/>
      <c r="E346" s="1"/>
      <c r="F346" s="1"/>
      <c r="G346" s="1"/>
      <c r="H346" s="1"/>
      <c r="I346" s="1"/>
      <c r="J346" s="1">
        <f>IF($F346="","",IF($H346="","Not rated",IF(OR($H346=Lists!$B$3,$H346=Lists!$B$5),IF(AND(LEFT(SUBSTITUTE($I346," ",""),LEN($F346)+1)=$F346&amp;"-",LEN(SUBSTITUTE($I346," ",""))&gt;LEN($F346)+1),"OK","Comment required"),"OK")))</f>
      </c>
    </row>
    <row r="347" spans="1:10" x14ac:dyDescent="0.25">
      <c r="A347" s="1"/>
      <c r="B347" s="20"/>
      <c r="C347" s="1"/>
      <c r="D347" s="1"/>
      <c r="E347" s="1"/>
      <c r="F347" s="1"/>
      <c r="G347" s="1"/>
      <c r="H347" s="1"/>
      <c r="I347" s="1"/>
      <c r="J347" s="1">
        <f>IF($F347="","",IF($H347="","Not rated",IF(OR($H347=Lists!$B$3,$H347=Lists!$B$5),IF(AND(LEFT(SUBSTITUTE($I347," ",""),LEN($F347)+1)=$F347&amp;"-",LEN(SUBSTITUTE($I347," ",""))&gt;LEN($F347)+1),"OK","Comment required"),"OK")))</f>
      </c>
    </row>
    <row r="348" spans="1:10" x14ac:dyDescent="0.25">
      <c r="A348" s="1"/>
      <c r="B348" s="20"/>
      <c r="C348" s="1"/>
      <c r="D348" s="1"/>
      <c r="E348" s="1"/>
      <c r="F348" s="1"/>
      <c r="G348" s="1"/>
      <c r="H348" s="1"/>
      <c r="I348" s="1"/>
      <c r="J348" s="1">
        <f>IF($F348="","",IF($H348="","Not rated",IF(OR($H348=Lists!$B$3,$H348=Lists!$B$5),IF(AND(LEFT(SUBSTITUTE($I348," ",""),LEN($F348)+1)=$F348&amp;"-",LEN(SUBSTITUTE($I348," ",""))&gt;LEN($F348)+1),"OK","Comment required"),"OK")))</f>
      </c>
    </row>
    <row r="349" spans="1:10" x14ac:dyDescent="0.25">
      <c r="A349" s="1"/>
      <c r="B349" s="20"/>
      <c r="C349" s="1"/>
      <c r="D349" s="1"/>
      <c r="E349" s="1"/>
      <c r="F349" s="1"/>
      <c r="G349" s="1"/>
      <c r="H349" s="1"/>
      <c r="I349" s="1"/>
      <c r="J349" s="1">
        <f>IF($F349="","",IF($H349="","Not rated",IF(OR($H349=Lists!$B$3,$H349=Lists!$B$5),IF(AND(LEFT(SUBSTITUTE($I349," ",""),LEN($F349)+1)=$F349&amp;"-",LEN(SUBSTITUTE($I349," ",""))&gt;LEN($F349)+1),"OK","Comment required"),"OK")))</f>
      </c>
    </row>
    <row r="350" spans="1:10" x14ac:dyDescent="0.25">
      <c r="A350" s="1"/>
      <c r="B350" s="20"/>
      <c r="C350" s="1"/>
      <c r="D350" s="1"/>
      <c r="E350" s="1"/>
      <c r="F350" s="1"/>
      <c r="G350" s="1"/>
      <c r="H350" s="1"/>
      <c r="I350" s="1"/>
      <c r="J350" s="1">
        <f>IF($F350="","",IF($H350="","Not rated",IF(OR($H350=Lists!$B$3,$H350=Lists!$B$5),IF(AND(LEFT(SUBSTITUTE($I350," ",""),LEN($F350)+1)=$F350&amp;"-",LEN(SUBSTITUTE($I350," ",""))&gt;LEN($F350)+1),"OK","Comment required"),"OK")))</f>
      </c>
    </row>
    <row r="351" spans="1:10" x14ac:dyDescent="0.25">
      <c r="A351" s="1"/>
      <c r="B351" s="20"/>
      <c r="C351" s="1"/>
      <c r="D351" s="1"/>
      <c r="E351" s="1"/>
      <c r="F351" s="1"/>
      <c r="G351" s="1"/>
      <c r="H351" s="1"/>
      <c r="I351" s="1"/>
      <c r="J351" s="1">
        <f>IF($F351="","",IF($H351="","Not rated",IF(OR($H351=Lists!$B$3,$H351=Lists!$B$5),IF(AND(LEFT(SUBSTITUTE($I351," ",""),LEN($F351)+1)=$F351&amp;"-",LEN(SUBSTITUTE($I351," ",""))&gt;LEN($F351)+1),"OK","Comment required"),"OK")))</f>
      </c>
    </row>
    <row r="352" spans="1:10" x14ac:dyDescent="0.25">
      <c r="A352" s="1"/>
      <c r="B352" s="20"/>
      <c r="C352" s="1"/>
      <c r="D352" s="1"/>
      <c r="E352" s="1"/>
      <c r="F352" s="1"/>
      <c r="G352" s="1"/>
      <c r="H352" s="1"/>
      <c r="I352" s="1"/>
      <c r="J352" s="1">
        <f>IF($F352="","",IF($H352="","Not rated",IF(OR($H352=Lists!$B$3,$H352=Lists!$B$5),IF(AND(LEFT(SUBSTITUTE($I352," ",""),LEN($F352)+1)=$F352&amp;"-",LEN(SUBSTITUTE($I352," ",""))&gt;LEN($F352)+1),"OK","Comment required"),"OK")))</f>
      </c>
    </row>
    <row r="353" spans="1:10" x14ac:dyDescent="0.25">
      <c r="A353" s="1"/>
      <c r="B353" s="20"/>
      <c r="C353" s="1"/>
      <c r="D353" s="1"/>
      <c r="E353" s="1"/>
      <c r="F353" s="1"/>
      <c r="G353" s="1"/>
      <c r="H353" s="1"/>
      <c r="I353" s="1"/>
      <c r="J353" s="1">
        <f>IF($F353="","",IF($H353="","Not rated",IF(OR($H353=Lists!$B$3,$H353=Lists!$B$5),IF(AND(LEFT(SUBSTITUTE($I353," ",""),LEN($F353)+1)=$F353&amp;"-",LEN(SUBSTITUTE($I353," ",""))&gt;LEN($F353)+1),"OK","Comment required"),"OK")))</f>
      </c>
    </row>
    <row r="354" spans="1:10" x14ac:dyDescent="0.25">
      <c r="A354" s="1"/>
      <c r="B354" s="20"/>
      <c r="C354" s="1"/>
      <c r="D354" s="1"/>
      <c r="E354" s="1"/>
      <c r="F354" s="1"/>
      <c r="G354" s="1"/>
      <c r="H354" s="1"/>
      <c r="I354" s="1"/>
      <c r="J354" s="1">
        <f>IF($F354="","",IF($H354="","Not rated",IF(OR($H354=Lists!$B$3,$H354=Lists!$B$5),IF(AND(LEFT(SUBSTITUTE($I354," ",""),LEN($F354)+1)=$F354&amp;"-",LEN(SUBSTITUTE($I354," ",""))&gt;LEN($F354)+1),"OK","Comment required"),"OK")))</f>
      </c>
    </row>
    <row r="355" spans="1:10" x14ac:dyDescent="0.25">
      <c r="A355" s="1"/>
      <c r="B355" s="20"/>
      <c r="C355" s="1"/>
      <c r="D355" s="1"/>
      <c r="E355" s="1"/>
      <c r="F355" s="1"/>
      <c r="G355" s="1"/>
      <c r="H355" s="1"/>
      <c r="I355" s="1"/>
      <c r="J355" s="1">
        <f>IF($F355="","",IF($H355="","Not rated",IF(OR($H355=Lists!$B$3,$H355=Lists!$B$5),IF(AND(LEFT(SUBSTITUTE($I355," ",""),LEN($F355)+1)=$F355&amp;"-",LEN(SUBSTITUTE($I355," ",""))&gt;LEN($F355)+1),"OK","Comment required"),"OK")))</f>
      </c>
    </row>
    <row r="356" spans="1:10" x14ac:dyDescent="0.25">
      <c r="A356" s="1"/>
      <c r="B356" s="20"/>
      <c r="C356" s="1"/>
      <c r="D356" s="1"/>
      <c r="E356" s="1"/>
      <c r="F356" s="1"/>
      <c r="G356" s="1"/>
      <c r="H356" s="1"/>
      <c r="I356" s="1"/>
      <c r="J356" s="1">
        <f>IF($F356="","",IF($H356="","Not rated",IF(OR($H356=Lists!$B$3,$H356=Lists!$B$5),IF(AND(LEFT(SUBSTITUTE($I356," ",""),LEN($F356)+1)=$F356&amp;"-",LEN(SUBSTITUTE($I356," ",""))&gt;LEN($F356)+1),"OK","Comment required"),"OK")))</f>
      </c>
    </row>
    <row r="357" spans="1:10" x14ac:dyDescent="0.25">
      <c r="A357" s="1"/>
      <c r="B357" s="20"/>
      <c r="C357" s="1"/>
      <c r="D357" s="1"/>
      <c r="E357" s="1"/>
      <c r="F357" s="1"/>
      <c r="G357" s="1"/>
      <c r="H357" s="1"/>
      <c r="I357" s="1"/>
      <c r="J357" s="1">
        <f>IF($F357="","",IF($H357="","Not rated",IF(OR($H357=Lists!$B$3,$H357=Lists!$B$5),IF(AND(LEFT(SUBSTITUTE($I357," ",""),LEN($F357)+1)=$F357&amp;"-",LEN(SUBSTITUTE($I357," ",""))&gt;LEN($F357)+1),"OK","Comment required"),"OK")))</f>
      </c>
    </row>
    <row r="358" spans="1:10" x14ac:dyDescent="0.25">
      <c r="A358" s="1"/>
      <c r="B358" s="20"/>
      <c r="C358" s="1"/>
      <c r="D358" s="1"/>
      <c r="E358" s="1"/>
      <c r="F358" s="1"/>
      <c r="G358" s="1"/>
      <c r="H358" s="1"/>
      <c r="I358" s="1"/>
      <c r="J358" s="1">
        <f>IF($F358="","",IF($H358="","Not rated",IF(OR($H358=Lists!$B$3,$H358=Lists!$B$5),IF(AND(LEFT(SUBSTITUTE($I358," ",""),LEN($F358)+1)=$F358&amp;"-",LEN(SUBSTITUTE($I358," ",""))&gt;LEN($F358)+1),"OK","Comment required"),"OK")))</f>
      </c>
    </row>
    <row r="359" spans="1:10" x14ac:dyDescent="0.25">
      <c r="A359" s="1"/>
      <c r="B359" s="20"/>
      <c r="C359" s="1"/>
      <c r="D359" s="1"/>
      <c r="E359" s="1"/>
      <c r="F359" s="1"/>
      <c r="G359" s="1"/>
      <c r="H359" s="1"/>
      <c r="I359" s="1"/>
      <c r="J359" s="1">
        <f>IF($F359="","",IF($H359="","Not rated",IF(OR($H359=Lists!$B$3,$H359=Lists!$B$5),IF(AND(LEFT(SUBSTITUTE($I359," ",""),LEN($F359)+1)=$F359&amp;"-",LEN(SUBSTITUTE($I359," ",""))&gt;LEN($F359)+1),"OK","Comment required"),"OK")))</f>
      </c>
    </row>
    <row r="360" spans="1:10" x14ac:dyDescent="0.25">
      <c r="A360" s="1"/>
      <c r="B360" s="20"/>
      <c r="C360" s="1"/>
      <c r="D360" s="1"/>
      <c r="E360" s="1"/>
      <c r="F360" s="1"/>
      <c r="G360" s="1"/>
      <c r="H360" s="1"/>
      <c r="I360" s="1"/>
      <c r="J360" s="1">
        <f>IF($F360="","",IF($H360="","Not rated",IF(OR($H360=Lists!$B$3,$H360=Lists!$B$5),IF(AND(LEFT(SUBSTITUTE($I360," ",""),LEN($F360)+1)=$F360&amp;"-",LEN(SUBSTITUTE($I360," ",""))&gt;LEN($F360)+1),"OK","Comment required"),"OK")))</f>
      </c>
    </row>
    <row r="361" spans="1:10" x14ac:dyDescent="0.25">
      <c r="A361" s="1"/>
      <c r="B361" s="20"/>
      <c r="C361" s="1"/>
      <c r="D361" s="1"/>
      <c r="E361" s="1"/>
      <c r="F361" s="1"/>
      <c r="G361" s="1"/>
      <c r="H361" s="1"/>
      <c r="I361" s="1"/>
      <c r="J361" s="1">
        <f>IF($F361="","",IF($H361="","Not rated",IF(OR($H361=Lists!$B$3,$H361=Lists!$B$5),IF(AND(LEFT(SUBSTITUTE($I361," ",""),LEN($F361)+1)=$F361&amp;"-",LEN(SUBSTITUTE($I361," ",""))&gt;LEN($F361)+1),"OK","Comment required"),"OK")))</f>
      </c>
    </row>
    <row r="362" spans="1:10" x14ac:dyDescent="0.25">
      <c r="A362" s="1"/>
      <c r="B362" s="20"/>
      <c r="C362" s="1"/>
      <c r="D362" s="1"/>
      <c r="E362" s="1"/>
      <c r="F362" s="1"/>
      <c r="G362" s="1"/>
      <c r="H362" s="1"/>
      <c r="I362" s="1"/>
      <c r="J362" s="1">
        <f>IF($F362="","",IF($H362="","Not rated",IF(OR($H362=Lists!$B$3,$H362=Lists!$B$5),IF(AND(LEFT(SUBSTITUTE($I362," ",""),LEN($F362)+1)=$F362&amp;"-",LEN(SUBSTITUTE($I362," ",""))&gt;LEN($F362)+1),"OK","Comment required"),"OK")))</f>
      </c>
    </row>
    <row r="363" spans="1:10" x14ac:dyDescent="0.25">
      <c r="A363" s="1"/>
      <c r="B363" s="20"/>
      <c r="C363" s="1"/>
      <c r="D363" s="1"/>
      <c r="E363" s="1"/>
      <c r="F363" s="1"/>
      <c r="G363" s="1"/>
      <c r="H363" s="1"/>
      <c r="I363" s="1"/>
      <c r="J363" s="1">
        <f>IF($F363="","",IF($H363="","Not rated",IF(OR($H363=Lists!$B$3,$H363=Lists!$B$5),IF(AND(LEFT(SUBSTITUTE($I363," ",""),LEN($F363)+1)=$F363&amp;"-",LEN(SUBSTITUTE($I363," ",""))&gt;LEN($F363)+1),"OK","Comment required"),"OK")))</f>
      </c>
    </row>
    <row r="364" spans="1:10" x14ac:dyDescent="0.25">
      <c r="A364" s="1"/>
      <c r="B364" s="20"/>
      <c r="C364" s="1"/>
      <c r="D364" s="1"/>
      <c r="E364" s="1"/>
      <c r="F364" s="1"/>
      <c r="G364" s="1"/>
      <c r="H364" s="1"/>
      <c r="I364" s="1"/>
      <c r="J364" s="1">
        <f>IF($F364="","",IF($H364="","Not rated",IF(OR($H364=Lists!$B$3,$H364=Lists!$B$5),IF(AND(LEFT(SUBSTITUTE($I364," ",""),LEN($F364)+1)=$F364&amp;"-",LEN(SUBSTITUTE($I364," ",""))&gt;LEN($F364)+1),"OK","Comment required"),"OK")))</f>
      </c>
    </row>
    <row r="365" spans="1:10" x14ac:dyDescent="0.25">
      <c r="A365" s="1"/>
      <c r="B365" s="20"/>
      <c r="C365" s="1"/>
      <c r="D365" s="1"/>
      <c r="E365" s="1"/>
      <c r="F365" s="1"/>
      <c r="G365" s="1"/>
      <c r="H365" s="1"/>
      <c r="I365" s="1"/>
      <c r="J365" s="1">
        <f>IF($F365="","",IF($H365="","Not rated",IF(OR($H365=Lists!$B$3,$H365=Lists!$B$5),IF(AND(LEFT(SUBSTITUTE($I365," ",""),LEN($F365)+1)=$F365&amp;"-",LEN(SUBSTITUTE($I365," ",""))&gt;LEN($F365)+1),"OK","Comment required"),"OK")))</f>
      </c>
    </row>
    <row r="366" spans="1:10" x14ac:dyDescent="0.25">
      <c r="A366" s="1"/>
      <c r="B366" s="20"/>
      <c r="C366" s="1"/>
      <c r="D366" s="1"/>
      <c r="E366" s="1"/>
      <c r="F366" s="1"/>
      <c r="G366" s="1"/>
      <c r="H366" s="1"/>
      <c r="I366" s="1"/>
      <c r="J366" s="1">
        <f>IF($F366="","",IF($H366="","Not rated",IF(OR($H366=Lists!$B$3,$H366=Lists!$B$5),IF(AND(LEFT(SUBSTITUTE($I366," ",""),LEN($F366)+1)=$F366&amp;"-",LEN(SUBSTITUTE($I366," ",""))&gt;LEN($F366)+1),"OK","Comment required"),"OK")))</f>
      </c>
    </row>
    <row r="367" spans="1:10" x14ac:dyDescent="0.25">
      <c r="A367" s="1"/>
      <c r="B367" s="20"/>
      <c r="C367" s="1"/>
      <c r="D367" s="1"/>
      <c r="E367" s="1"/>
      <c r="F367" s="1"/>
      <c r="G367" s="1"/>
      <c r="H367" s="1"/>
      <c r="I367" s="1"/>
      <c r="J367" s="1">
        <f>IF($F367="","",IF($H367="","Not rated",IF(OR($H367=Lists!$B$3,$H367=Lists!$B$5),IF(AND(LEFT(SUBSTITUTE($I367," ",""),LEN($F367)+1)=$F367&amp;"-",LEN(SUBSTITUTE($I367," ",""))&gt;LEN($F367)+1),"OK","Comment required"),"OK")))</f>
      </c>
    </row>
    <row r="368" spans="1:10" x14ac:dyDescent="0.25">
      <c r="A368" s="1"/>
      <c r="B368" s="20"/>
      <c r="C368" s="1"/>
      <c r="D368" s="1"/>
      <c r="E368" s="1"/>
      <c r="F368" s="1"/>
      <c r="G368" s="1"/>
      <c r="H368" s="1"/>
      <c r="I368" s="1"/>
      <c r="J368" s="1">
        <f>IF($F368="","",IF($H368="","Not rated",IF(OR($H368=Lists!$B$3,$H368=Lists!$B$5),IF(AND(LEFT(SUBSTITUTE($I368," ",""),LEN($F368)+1)=$F368&amp;"-",LEN(SUBSTITUTE($I368," ",""))&gt;LEN($F368)+1),"OK","Comment required"),"OK")))</f>
      </c>
    </row>
    <row r="369" spans="1:10" x14ac:dyDescent="0.25">
      <c r="A369" s="1"/>
      <c r="B369" s="20"/>
      <c r="C369" s="1"/>
      <c r="D369" s="1"/>
      <c r="E369" s="1"/>
      <c r="F369" s="1"/>
      <c r="G369" s="1"/>
      <c r="H369" s="1"/>
      <c r="I369" s="1"/>
      <c r="J369" s="1">
        <f>IF($F369="","",IF($H369="","Not rated",IF(OR($H369=Lists!$B$3,$H369=Lists!$B$5),IF(AND(LEFT(SUBSTITUTE($I369," ",""),LEN($F369)+1)=$F369&amp;"-",LEN(SUBSTITUTE($I369," ",""))&gt;LEN($F369)+1),"OK","Comment required"),"OK")))</f>
      </c>
    </row>
    <row r="370" spans="1:10" x14ac:dyDescent="0.25">
      <c r="A370" s="1"/>
      <c r="B370" s="20"/>
      <c r="C370" s="1"/>
      <c r="D370" s="1"/>
      <c r="E370" s="1"/>
      <c r="F370" s="1"/>
      <c r="G370" s="1"/>
      <c r="H370" s="1"/>
      <c r="I370" s="1"/>
      <c r="J370" s="1">
        <f>IF($F370="","",IF($H370="","Not rated",IF(OR($H370=Lists!$B$3,$H370=Lists!$B$5),IF(AND(LEFT(SUBSTITUTE($I370," ",""),LEN($F370)+1)=$F370&amp;"-",LEN(SUBSTITUTE($I370," ",""))&gt;LEN($F370)+1),"OK","Comment required"),"OK")))</f>
      </c>
    </row>
    <row r="371" spans="1:10" x14ac:dyDescent="0.25">
      <c r="A371" s="1"/>
      <c r="B371" s="20"/>
      <c r="C371" s="1"/>
      <c r="D371" s="1"/>
      <c r="E371" s="1"/>
      <c r="F371" s="1"/>
      <c r="G371" s="1"/>
      <c r="H371" s="1"/>
      <c r="I371" s="1"/>
      <c r="J371" s="1">
        <f>IF($F371="","",IF($H371="","Not rated",IF(OR($H371=Lists!$B$3,$H371=Lists!$B$5),IF(AND(LEFT(SUBSTITUTE($I371," ",""),LEN($F371)+1)=$F371&amp;"-",LEN(SUBSTITUTE($I371," ",""))&gt;LEN($F371)+1),"OK","Comment required"),"OK")))</f>
      </c>
    </row>
    <row r="372" spans="1:10" x14ac:dyDescent="0.25">
      <c r="A372" s="1"/>
      <c r="B372" s="20"/>
      <c r="C372" s="1"/>
      <c r="D372" s="1"/>
      <c r="E372" s="1"/>
      <c r="F372" s="1"/>
      <c r="G372" s="1"/>
      <c r="H372" s="1"/>
      <c r="I372" s="1"/>
      <c r="J372" s="1">
        <f>IF($F372="","",IF($H372="","Not rated",IF(OR($H372=Lists!$B$3,$H372=Lists!$B$5),IF(AND(LEFT(SUBSTITUTE($I372," ",""),LEN($F372)+1)=$F372&amp;"-",LEN(SUBSTITUTE($I372," ",""))&gt;LEN($F372)+1),"OK","Comment required"),"OK")))</f>
      </c>
    </row>
    <row r="373" spans="1:10" x14ac:dyDescent="0.25">
      <c r="A373" s="1"/>
      <c r="B373" s="20"/>
      <c r="C373" s="1"/>
      <c r="D373" s="1"/>
      <c r="E373" s="1"/>
      <c r="F373" s="1"/>
      <c r="G373" s="1"/>
      <c r="H373" s="1"/>
      <c r="I373" s="1"/>
      <c r="J373" s="1">
        <f>IF($F373="","",IF($H373="","Not rated",IF(OR($H373=Lists!$B$3,$H373=Lists!$B$5),IF(AND(LEFT(SUBSTITUTE($I373," ",""),LEN($F373)+1)=$F373&amp;"-",LEN(SUBSTITUTE($I373," ",""))&gt;LEN($F373)+1),"OK","Comment required"),"OK")))</f>
      </c>
    </row>
    <row r="374" spans="1:10" x14ac:dyDescent="0.25">
      <c r="A374" s="1"/>
      <c r="B374" s="20"/>
      <c r="C374" s="1"/>
      <c r="D374" s="1"/>
      <c r="E374" s="1"/>
      <c r="F374" s="1"/>
      <c r="G374" s="1"/>
      <c r="H374" s="1"/>
      <c r="I374" s="1"/>
      <c r="J374" s="1">
        <f>IF($F374="","",IF($H374="","Not rated",IF(OR($H374=Lists!$B$3,$H374=Lists!$B$5),IF(AND(LEFT(SUBSTITUTE($I374," ",""),LEN($F374)+1)=$F374&amp;"-",LEN(SUBSTITUTE($I374," ",""))&gt;LEN($F374)+1),"OK","Comment required"),"OK")))</f>
      </c>
    </row>
    <row r="375" spans="1:10" x14ac:dyDescent="0.25">
      <c r="A375" s="1"/>
      <c r="B375" s="20"/>
      <c r="C375" s="1"/>
      <c r="D375" s="1"/>
      <c r="E375" s="1"/>
      <c r="F375" s="1"/>
      <c r="G375" s="1"/>
      <c r="H375" s="1"/>
      <c r="I375" s="1"/>
      <c r="J375" s="1">
        <f>IF($F375="","",IF($H375="","Not rated",IF(OR($H375=Lists!$B$3,$H375=Lists!$B$5),IF(AND(LEFT(SUBSTITUTE($I375," ",""),LEN($F375)+1)=$F375&amp;"-",LEN(SUBSTITUTE($I375," ",""))&gt;LEN($F375)+1),"OK","Comment required"),"OK")))</f>
      </c>
    </row>
    <row r="376" spans="1:10" x14ac:dyDescent="0.25">
      <c r="A376" s="1"/>
      <c r="B376" s="20"/>
      <c r="C376" s="1"/>
      <c r="D376" s="1"/>
      <c r="E376" s="1"/>
      <c r="F376" s="1"/>
      <c r="G376" s="1"/>
      <c r="H376" s="1"/>
      <c r="I376" s="1"/>
      <c r="J376" s="1">
        <f>IF($F376="","",IF($H376="","Not rated",IF(OR($H376=Lists!$B$3,$H376=Lists!$B$5),IF(AND(LEFT(SUBSTITUTE($I376," ",""),LEN($F376)+1)=$F376&amp;"-",LEN(SUBSTITUTE($I376," ",""))&gt;LEN($F376)+1),"OK","Comment required"),"OK")))</f>
      </c>
    </row>
    <row r="377" spans="1:10" x14ac:dyDescent="0.25">
      <c r="A377" s="1"/>
      <c r="B377" s="20"/>
      <c r="C377" s="1"/>
      <c r="D377" s="1"/>
      <c r="E377" s="1"/>
      <c r="F377" s="1"/>
      <c r="G377" s="1"/>
      <c r="H377" s="1"/>
      <c r="I377" s="1"/>
      <c r="J377" s="1">
        <f>IF($F377="","",IF($H377="","Not rated",IF(OR($H377=Lists!$B$3,$H377=Lists!$B$5),IF(AND(LEFT(SUBSTITUTE($I377," ",""),LEN($F377)+1)=$F377&amp;"-",LEN(SUBSTITUTE($I377," ",""))&gt;LEN($F377)+1),"OK","Comment required"),"OK")))</f>
      </c>
    </row>
    <row r="378" spans="1:10" x14ac:dyDescent="0.25">
      <c r="A378" s="1"/>
      <c r="B378" s="20"/>
      <c r="C378" s="1"/>
      <c r="D378" s="1"/>
      <c r="E378" s="1"/>
      <c r="F378" s="1"/>
      <c r="G378" s="1"/>
      <c r="H378" s="1"/>
      <c r="I378" s="1"/>
      <c r="J378" s="1">
        <f>IF($F378="","",IF($H378="","Not rated",IF(OR($H378=Lists!$B$3,$H378=Lists!$B$5),IF(AND(LEFT(SUBSTITUTE($I378," ",""),LEN($F378)+1)=$F378&amp;"-",LEN(SUBSTITUTE($I378," ",""))&gt;LEN($F378)+1),"OK","Comment required"),"OK")))</f>
      </c>
    </row>
    <row r="379" spans="1:10" x14ac:dyDescent="0.25">
      <c r="A379" s="1"/>
      <c r="B379" s="20"/>
      <c r="C379" s="1"/>
      <c r="D379" s="1"/>
      <c r="E379" s="1"/>
      <c r="F379" s="1"/>
      <c r="G379" s="1"/>
      <c r="H379" s="1"/>
      <c r="I379" s="1"/>
      <c r="J379" s="1">
        <f>IF($F379="","",IF($H379="","Not rated",IF(OR($H379=Lists!$B$3,$H379=Lists!$B$5),IF(AND(LEFT(SUBSTITUTE($I379," ",""),LEN($F379)+1)=$F379&amp;"-",LEN(SUBSTITUTE($I379," ",""))&gt;LEN($F379)+1),"OK","Comment required"),"OK")))</f>
      </c>
    </row>
    <row r="380" spans="1:10" x14ac:dyDescent="0.25">
      <c r="A380" s="1"/>
      <c r="B380" s="20"/>
      <c r="C380" s="1"/>
      <c r="D380" s="1"/>
      <c r="E380" s="1"/>
      <c r="F380" s="1"/>
      <c r="G380" s="1"/>
      <c r="H380" s="1"/>
      <c r="I380" s="1"/>
      <c r="J380" s="1">
        <f>IF($F380="","",IF($H380="","Not rated",IF(OR($H380=Lists!$B$3,$H380=Lists!$B$5),IF(AND(LEFT(SUBSTITUTE($I380," ",""),LEN($F380)+1)=$F380&amp;"-",LEN(SUBSTITUTE($I380," ",""))&gt;LEN($F380)+1),"OK","Comment required"),"OK")))</f>
      </c>
    </row>
    <row r="381" spans="1:10" x14ac:dyDescent="0.25">
      <c r="A381" s="1"/>
      <c r="B381" s="20"/>
      <c r="C381" s="1"/>
      <c r="D381" s="1"/>
      <c r="E381" s="1"/>
      <c r="F381" s="1"/>
      <c r="G381" s="1"/>
      <c r="H381" s="1"/>
      <c r="I381" s="1"/>
      <c r="J381" s="1">
        <f>IF($F381="","",IF($H381="","Not rated",IF(OR($H381=Lists!$B$3,$H381=Lists!$B$5),IF(AND(LEFT(SUBSTITUTE($I381," ",""),LEN($F381)+1)=$F381&amp;"-",LEN(SUBSTITUTE($I381," ",""))&gt;LEN($F381)+1),"OK","Comment required"),"OK")))</f>
      </c>
    </row>
    <row r="382" spans="1:10" x14ac:dyDescent="0.25">
      <c r="A382" s="1"/>
      <c r="B382" s="20"/>
      <c r="C382" s="1"/>
      <c r="D382" s="1"/>
      <c r="E382" s="1"/>
      <c r="F382" s="1"/>
      <c r="G382" s="1"/>
      <c r="H382" s="1"/>
      <c r="I382" s="1"/>
      <c r="J382" s="1">
        <f>IF($F382="","",IF($H382="","Not rated",IF(OR($H382=Lists!$B$3,$H382=Lists!$B$5),IF(AND(LEFT(SUBSTITUTE($I382," ",""),LEN($F382)+1)=$F382&amp;"-",LEN(SUBSTITUTE($I382," ",""))&gt;LEN($F382)+1),"OK","Comment required"),"OK")))</f>
      </c>
    </row>
    <row r="383" spans="1:10" x14ac:dyDescent="0.25">
      <c r="A383" s="1"/>
      <c r="B383" s="20"/>
      <c r="C383" s="1"/>
      <c r="D383" s="1"/>
      <c r="E383" s="1"/>
      <c r="F383" s="1"/>
      <c r="G383" s="1"/>
      <c r="H383" s="1"/>
      <c r="I383" s="1"/>
      <c r="J383" s="1">
        <f>IF($F383="","",IF($H383="","Not rated",IF(OR($H383=Lists!$B$3,$H383=Lists!$B$5),IF(AND(LEFT(SUBSTITUTE($I383," ",""),LEN($F383)+1)=$F383&amp;"-",LEN(SUBSTITUTE($I383," ",""))&gt;LEN($F383)+1),"OK","Comment required"),"OK")))</f>
      </c>
    </row>
    <row r="384" spans="1:10" x14ac:dyDescent="0.25">
      <c r="A384" s="1"/>
      <c r="B384" s="20"/>
      <c r="C384" s="1"/>
      <c r="D384" s="1"/>
      <c r="E384" s="1"/>
      <c r="F384" s="1"/>
      <c r="G384" s="1"/>
      <c r="H384" s="1"/>
      <c r="I384" s="1"/>
      <c r="J384" s="1">
        <f>IF($F384="","",IF($H384="","Not rated",IF(OR($H384=Lists!$B$3,$H384=Lists!$B$5),IF(AND(LEFT(SUBSTITUTE($I384," ",""),LEN($F384)+1)=$F384&amp;"-",LEN(SUBSTITUTE($I384," ",""))&gt;LEN($F384)+1),"OK","Comment required"),"OK")))</f>
      </c>
    </row>
    <row r="385" spans="1:10" x14ac:dyDescent="0.25">
      <c r="A385" s="1"/>
      <c r="B385" s="20"/>
      <c r="C385" s="1"/>
      <c r="D385" s="1"/>
      <c r="E385" s="1"/>
      <c r="F385" s="1"/>
      <c r="G385" s="1"/>
      <c r="H385" s="1"/>
      <c r="I385" s="1"/>
      <c r="J385" s="1">
        <f>IF($F385="","",IF($H385="","Not rated",IF(OR($H385=Lists!$B$3,$H385=Lists!$B$5),IF(AND(LEFT(SUBSTITUTE($I385," ",""),LEN($F385)+1)=$F385&amp;"-",LEN(SUBSTITUTE($I385," ",""))&gt;LEN($F385)+1),"OK","Comment required"),"OK")))</f>
      </c>
    </row>
    <row r="386" spans="1:10" x14ac:dyDescent="0.25">
      <c r="A386" s="1"/>
      <c r="B386" s="20"/>
      <c r="C386" s="1"/>
      <c r="D386" s="1"/>
      <c r="E386" s="1"/>
      <c r="F386" s="1"/>
      <c r="G386" s="1"/>
      <c r="H386" s="1"/>
      <c r="I386" s="1"/>
      <c r="J386" s="1">
        <f>IF($F386="","",IF($H386="","Not rated",IF(OR($H386=Lists!$B$3,$H386=Lists!$B$5),IF(AND(LEFT(SUBSTITUTE($I386," ",""),LEN($F386)+1)=$F386&amp;"-",LEN(SUBSTITUTE($I386," ",""))&gt;LEN($F386)+1),"OK","Comment required"),"OK")))</f>
      </c>
    </row>
    <row r="387" spans="1:10" x14ac:dyDescent="0.25">
      <c r="A387" s="1"/>
      <c r="B387" s="20"/>
      <c r="C387" s="1"/>
      <c r="D387" s="1"/>
      <c r="E387" s="1"/>
      <c r="F387" s="1"/>
      <c r="G387" s="1"/>
      <c r="H387" s="1"/>
      <c r="I387" s="1"/>
      <c r="J387" s="1">
        <f>IF($F387="","",IF($H387="","Not rated",IF(OR($H387=Lists!$B$3,$H387=Lists!$B$5),IF(AND(LEFT(SUBSTITUTE($I387," ",""),LEN($F387)+1)=$F387&amp;"-",LEN(SUBSTITUTE($I387," ",""))&gt;LEN($F387)+1),"OK","Comment required"),"OK")))</f>
      </c>
    </row>
    <row r="388" spans="1:10" x14ac:dyDescent="0.25">
      <c r="A388" s="1"/>
      <c r="B388" s="20"/>
      <c r="C388" s="1"/>
      <c r="D388" s="1"/>
      <c r="E388" s="1"/>
      <c r="F388" s="1"/>
      <c r="G388" s="1"/>
      <c r="H388" s="1"/>
      <c r="I388" s="1"/>
      <c r="J388" s="1">
        <f>IF($F388="","",IF($H388="","Not rated",IF(OR($H388=Lists!$B$3,$H388=Lists!$B$5),IF(AND(LEFT(SUBSTITUTE($I388," ",""),LEN($F388)+1)=$F388&amp;"-",LEN(SUBSTITUTE($I388," ",""))&gt;LEN($F388)+1),"OK","Comment required"),"OK")))</f>
      </c>
    </row>
    <row r="389" spans="1:10" x14ac:dyDescent="0.25">
      <c r="A389" s="1"/>
      <c r="B389" s="20"/>
      <c r="C389" s="1"/>
      <c r="D389" s="1"/>
      <c r="E389" s="1"/>
      <c r="F389" s="1"/>
      <c r="G389" s="1"/>
      <c r="H389" s="1"/>
      <c r="I389" s="1"/>
      <c r="J389" s="1">
        <f>IF($F389="","",IF($H389="","Not rated",IF(OR($H389=Lists!$B$3,$H389=Lists!$B$5),IF(AND(LEFT(SUBSTITUTE($I389," ",""),LEN($F389)+1)=$F389&amp;"-",LEN(SUBSTITUTE($I389," ",""))&gt;LEN($F389)+1),"OK","Comment required"),"OK")))</f>
      </c>
    </row>
    <row r="390" spans="1:10" x14ac:dyDescent="0.25">
      <c r="A390" s="1"/>
      <c r="B390" s="20"/>
      <c r="C390" s="1"/>
      <c r="D390" s="1"/>
      <c r="E390" s="1"/>
      <c r="F390" s="1"/>
      <c r="G390" s="1"/>
      <c r="H390" s="1"/>
      <c r="I390" s="1"/>
      <c r="J390" s="1">
        <f>IF($F390="","",IF($H390="","Not rated",IF(OR($H390=Lists!$B$3,$H390=Lists!$B$5),IF(AND(LEFT(SUBSTITUTE($I390," ",""),LEN($F390)+1)=$F390&amp;"-",LEN(SUBSTITUTE($I390," ",""))&gt;LEN($F390)+1),"OK","Comment required"),"OK")))</f>
      </c>
    </row>
    <row r="391" spans="1:10" x14ac:dyDescent="0.25">
      <c r="A391" s="1"/>
      <c r="B391" s="20"/>
      <c r="C391" s="1"/>
      <c r="D391" s="1"/>
      <c r="E391" s="1"/>
      <c r="F391" s="1"/>
      <c r="G391" s="1"/>
      <c r="H391" s="1"/>
      <c r="I391" s="1"/>
      <c r="J391" s="1">
        <f>IF($F391="","",IF($H391="","Not rated",IF(OR($H391=Lists!$B$3,$H391=Lists!$B$5),IF(AND(LEFT(SUBSTITUTE($I391," ",""),LEN($F391)+1)=$F391&amp;"-",LEN(SUBSTITUTE($I391," ",""))&gt;LEN($F391)+1),"OK","Comment required"),"OK")))</f>
      </c>
    </row>
    <row r="392" spans="1:10" x14ac:dyDescent="0.25">
      <c r="A392" s="1"/>
      <c r="B392" s="20"/>
      <c r="C392" s="1"/>
      <c r="D392" s="1"/>
      <c r="E392" s="1"/>
      <c r="F392" s="1"/>
      <c r="G392" s="1"/>
      <c r="H392" s="1"/>
      <c r="I392" s="1"/>
      <c r="J392" s="1">
        <f>IF($F392="","",IF($H392="","Not rated",IF(OR($H392=Lists!$B$3,$H392=Lists!$B$5),IF(AND(LEFT(SUBSTITUTE($I392," ",""),LEN($F392)+1)=$F392&amp;"-",LEN(SUBSTITUTE($I392," ",""))&gt;LEN($F392)+1),"OK","Comment required"),"OK")))</f>
      </c>
    </row>
    <row r="393" spans="1:10" x14ac:dyDescent="0.25">
      <c r="A393" s="1"/>
      <c r="B393" s="20"/>
      <c r="C393" s="1"/>
      <c r="D393" s="1"/>
      <c r="E393" s="1"/>
      <c r="F393" s="1"/>
      <c r="G393" s="1"/>
      <c r="H393" s="1"/>
      <c r="I393" s="1"/>
      <c r="J393" s="1">
        <f>IF($F393="","",IF($H393="","Not rated",IF(OR($H393=Lists!$B$3,$H393=Lists!$B$5),IF(AND(LEFT(SUBSTITUTE($I393," ",""),LEN($F393)+1)=$F393&amp;"-",LEN(SUBSTITUTE($I393," ",""))&gt;LEN($F393)+1),"OK","Comment required"),"OK")))</f>
      </c>
    </row>
    <row r="394" spans="1:10" x14ac:dyDescent="0.25">
      <c r="A394" s="1"/>
      <c r="B394" s="20"/>
      <c r="C394" s="1"/>
      <c r="D394" s="1"/>
      <c r="E394" s="1"/>
      <c r="F394" s="1"/>
      <c r="G394" s="1"/>
      <c r="H394" s="1"/>
      <c r="I394" s="1"/>
      <c r="J394" s="1">
        <f>IF($F394="","",IF($H394="","Not rated",IF(OR($H394=Lists!$B$3,$H394=Lists!$B$5),IF(AND(LEFT(SUBSTITUTE($I394," ",""),LEN($F394)+1)=$F394&amp;"-",LEN(SUBSTITUTE($I394," ",""))&gt;LEN($F394)+1),"OK","Comment required"),"OK")))</f>
      </c>
    </row>
    <row r="395" spans="1:10" x14ac:dyDescent="0.25">
      <c r="A395" s="1"/>
      <c r="B395" s="20"/>
      <c r="C395" s="1"/>
      <c r="D395" s="1"/>
      <c r="E395" s="1"/>
      <c r="F395" s="1"/>
      <c r="G395" s="1"/>
      <c r="H395" s="1"/>
      <c r="I395" s="1"/>
      <c r="J395" s="1">
        <f>IF($F395="","",IF($H395="","Not rated",IF(OR($H395=Lists!$B$3,$H395=Lists!$B$5),IF(AND(LEFT(SUBSTITUTE($I395," ",""),LEN($F395)+1)=$F395&amp;"-",LEN(SUBSTITUTE($I395," ",""))&gt;LEN($F395)+1),"OK","Comment required"),"OK")))</f>
      </c>
    </row>
    <row r="396" spans="1:10" x14ac:dyDescent="0.25">
      <c r="A396" s="1"/>
      <c r="B396" s="20"/>
      <c r="C396" s="1"/>
      <c r="D396" s="1"/>
      <c r="E396" s="1"/>
      <c r="F396" s="1"/>
      <c r="G396" s="1"/>
      <c r="H396" s="1"/>
      <c r="I396" s="1"/>
      <c r="J396" s="1">
        <f>IF($F396="","",IF($H396="","Not rated",IF(OR($H396=Lists!$B$3,$H396=Lists!$B$5),IF(AND(LEFT(SUBSTITUTE($I396," ",""),LEN($F396)+1)=$F396&amp;"-",LEN(SUBSTITUTE($I396," ",""))&gt;LEN($F396)+1),"OK","Comment required"),"OK")))</f>
      </c>
    </row>
    <row r="397" spans="1:10" x14ac:dyDescent="0.25">
      <c r="A397" s="1"/>
      <c r="B397" s="20"/>
      <c r="C397" s="1"/>
      <c r="D397" s="1"/>
      <c r="E397" s="1"/>
      <c r="F397" s="1"/>
      <c r="G397" s="1"/>
      <c r="H397" s="1"/>
      <c r="I397" s="1"/>
      <c r="J397" s="1">
        <f>IF($F397="","",IF($H397="","Not rated",IF(OR($H397=Lists!$B$3,$H397=Lists!$B$5),IF(AND(LEFT(SUBSTITUTE($I397," ",""),LEN($F397)+1)=$F397&amp;"-",LEN(SUBSTITUTE($I397," ",""))&gt;LEN($F397)+1),"OK","Comment required"),"OK")))</f>
      </c>
    </row>
    <row r="398" spans="1:10" x14ac:dyDescent="0.25">
      <c r="A398" s="1"/>
      <c r="B398" s="20"/>
      <c r="C398" s="1"/>
      <c r="D398" s="1"/>
      <c r="E398" s="1"/>
      <c r="F398" s="1"/>
      <c r="G398" s="1"/>
      <c r="H398" s="1"/>
      <c r="I398" s="1"/>
      <c r="J398" s="1">
        <f>IF($F398="","",IF($H398="","Not rated",IF(OR($H398=Lists!$B$3,$H398=Lists!$B$5),IF(AND(LEFT(SUBSTITUTE($I398," ",""),LEN($F398)+1)=$F398&amp;"-",LEN(SUBSTITUTE($I398," ",""))&gt;LEN($F398)+1),"OK","Comment required"),"OK")))</f>
      </c>
    </row>
    <row r="399" spans="1:10" x14ac:dyDescent="0.25">
      <c r="A399" s="1"/>
      <c r="B399" s="20"/>
      <c r="C399" s="1"/>
      <c r="D399" s="1"/>
      <c r="E399" s="1"/>
      <c r="F399" s="1"/>
      <c r="G399" s="1"/>
      <c r="H399" s="1"/>
      <c r="I399" s="1"/>
      <c r="J399" s="1">
        <f>IF($F399="","",IF($H399="","Not rated",IF(OR($H399=Lists!$B$3,$H399=Lists!$B$5),IF(AND(LEFT(SUBSTITUTE($I399," ",""),LEN($F399)+1)=$F399&amp;"-",LEN(SUBSTITUTE($I399," ",""))&gt;LEN($F399)+1),"OK","Comment required"),"OK")))</f>
      </c>
    </row>
    <row r="400" spans="1:10" x14ac:dyDescent="0.25">
      <c r="A400" s="1"/>
      <c r="B400" s="20"/>
      <c r="C400" s="1"/>
      <c r="D400" s="1"/>
      <c r="E400" s="1"/>
      <c r="F400" s="1"/>
      <c r="G400" s="1"/>
      <c r="H400" s="1"/>
      <c r="I400" s="1"/>
      <c r="J400" s="1">
        <f>IF($F400="","",IF($H400="","Not rated",IF(OR($H400=Lists!$B$3,$H400=Lists!$B$5),IF(AND(LEFT(SUBSTITUTE($I400," ",""),LEN($F400)+1)=$F400&amp;"-",LEN(SUBSTITUTE($I400," ",""))&gt;LEN($F400)+1),"OK","Comment required"),"OK")))</f>
      </c>
    </row>
    <row r="401" spans="1:10" x14ac:dyDescent="0.25">
      <c r="A401" s="1"/>
      <c r="B401" s="20"/>
      <c r="C401" s="1"/>
      <c r="D401" s="1"/>
      <c r="E401" s="1"/>
      <c r="F401" s="1"/>
      <c r="G401" s="1"/>
      <c r="H401" s="1"/>
      <c r="I401" s="1"/>
      <c r="J401" s="1">
        <f>IF($F401="","",IF($H401="","Not rated",IF(OR($H401=Lists!$B$3,$H401=Lists!$B$5),IF(AND(LEFT(SUBSTITUTE($I401," ",""),LEN($F401)+1)=$F401&amp;"-",LEN(SUBSTITUTE($I401," ",""))&gt;LEN($F401)+1),"OK","Comment required"),"OK")))</f>
      </c>
    </row>
    <row r="402" spans="1:10" x14ac:dyDescent="0.25">
      <c r="A402" s="1"/>
      <c r="B402" s="20"/>
      <c r="C402" s="1"/>
      <c r="D402" s="1"/>
      <c r="E402" s="1"/>
      <c r="F402" s="1"/>
      <c r="G402" s="1"/>
      <c r="H402" s="1"/>
      <c r="I402" s="1"/>
      <c r="J402" s="1">
        <f>IF($F402="","",IF($H402="","Not rated",IF(OR($H402=Lists!$B$3,$H402=Lists!$B$5),IF(AND(LEFT(SUBSTITUTE($I402," ",""),LEN($F402)+1)=$F402&amp;"-",LEN(SUBSTITUTE($I402," ",""))&gt;LEN($F402)+1),"OK","Comment required"),"OK")))</f>
      </c>
    </row>
    <row r="403" spans="1:10" x14ac:dyDescent="0.25">
      <c r="A403" s="1"/>
      <c r="B403" s="20"/>
      <c r="C403" s="1"/>
      <c r="D403" s="1"/>
      <c r="E403" s="1"/>
      <c r="F403" s="1"/>
      <c r="G403" s="1"/>
      <c r="H403" s="1"/>
      <c r="I403" s="1"/>
      <c r="J403" s="1">
        <f>IF($F403="","",IF($H403="","Not rated",IF(OR($H403=Lists!$B$3,$H403=Lists!$B$5),IF(AND(LEFT(SUBSTITUTE($I403," ",""),LEN($F403)+1)=$F403&amp;"-",LEN(SUBSTITUTE($I403," ",""))&gt;LEN($F403)+1),"OK","Comment required"),"OK")))</f>
      </c>
    </row>
    <row r="404" spans="1:10" x14ac:dyDescent="0.25">
      <c r="A404" s="1"/>
      <c r="B404" s="20"/>
      <c r="C404" s="1"/>
      <c r="D404" s="1"/>
      <c r="E404" s="1"/>
      <c r="F404" s="1"/>
      <c r="G404" s="1"/>
      <c r="H404" s="1"/>
      <c r="I404" s="1"/>
      <c r="J404" s="1">
        <f>IF($F404="","",IF($H404="","Not rated",IF(OR($H404=Lists!$B$3,$H404=Lists!$B$5),IF(AND(LEFT(SUBSTITUTE($I404," ",""),LEN($F404)+1)=$F404&amp;"-",LEN(SUBSTITUTE($I404," ",""))&gt;LEN($F404)+1),"OK","Comment required"),"OK")))</f>
      </c>
    </row>
    <row r="405" spans="1:10" x14ac:dyDescent="0.25">
      <c r="A405" s="1"/>
      <c r="B405" s="20"/>
      <c r="C405" s="1"/>
      <c r="D405" s="1"/>
      <c r="E405" s="1"/>
      <c r="F405" s="1"/>
      <c r="G405" s="1"/>
      <c r="H405" s="1"/>
      <c r="I405" s="1"/>
      <c r="J405" s="1">
        <f>IF($F405="","",IF($H405="","Not rated",IF(OR($H405=Lists!$B$3,$H405=Lists!$B$5),IF(AND(LEFT(SUBSTITUTE($I405," ",""),LEN($F405)+1)=$F405&amp;"-",LEN(SUBSTITUTE($I405," ",""))&gt;LEN($F405)+1),"OK","Comment required"),"OK")))</f>
      </c>
    </row>
    <row r="406" spans="1:10" x14ac:dyDescent="0.25">
      <c r="A406" s="1"/>
      <c r="B406" s="20"/>
      <c r="C406" s="1"/>
      <c r="D406" s="1"/>
      <c r="E406" s="1"/>
      <c r="F406" s="1"/>
      <c r="G406" s="1"/>
      <c r="H406" s="1"/>
      <c r="I406" s="1"/>
      <c r="J406" s="1">
        <f>IF($F406="","",IF($H406="","Not rated",IF(OR($H406=Lists!$B$3,$H406=Lists!$B$5),IF(AND(LEFT(SUBSTITUTE($I406," ",""),LEN($F406)+1)=$F406&amp;"-",LEN(SUBSTITUTE($I406," ",""))&gt;LEN($F406)+1),"OK","Comment required"),"OK")))</f>
      </c>
    </row>
    <row r="407" spans="1:10" x14ac:dyDescent="0.25">
      <c r="A407" s="1"/>
      <c r="B407" s="20"/>
      <c r="C407" s="1"/>
      <c r="D407" s="1"/>
      <c r="E407" s="1"/>
      <c r="F407" s="1"/>
      <c r="G407" s="1"/>
      <c r="H407" s="1"/>
      <c r="I407" s="1"/>
      <c r="J407" s="1">
        <f>IF($F407="","",IF($H407="","Not rated",IF(OR($H407=Lists!$B$3,$H407=Lists!$B$5),IF(AND(LEFT(SUBSTITUTE($I407," ",""),LEN($F407)+1)=$F407&amp;"-",LEN(SUBSTITUTE($I407," ",""))&gt;LEN($F407)+1),"OK","Comment required"),"OK")))</f>
      </c>
    </row>
    <row r="408" spans="1:10" x14ac:dyDescent="0.25">
      <c r="A408" s="1"/>
      <c r="B408" s="20"/>
      <c r="C408" s="1"/>
      <c r="D408" s="1"/>
      <c r="E408" s="1"/>
      <c r="F408" s="1"/>
      <c r="G408" s="1"/>
      <c r="H408" s="1"/>
      <c r="I408" s="1"/>
      <c r="J408" s="1">
        <f>IF($F408="","",IF($H408="","Not rated",IF(OR($H408=Lists!$B$3,$H408=Lists!$B$5),IF(AND(LEFT(SUBSTITUTE($I408," ",""),LEN($F408)+1)=$F408&amp;"-",LEN(SUBSTITUTE($I408," ",""))&gt;LEN($F408)+1),"OK","Comment required"),"OK")))</f>
      </c>
    </row>
    <row r="409" spans="1:10" x14ac:dyDescent="0.25">
      <c r="A409" s="1"/>
      <c r="B409" s="20"/>
      <c r="C409" s="1"/>
      <c r="D409" s="1"/>
      <c r="E409" s="1"/>
      <c r="F409" s="1"/>
      <c r="G409" s="1"/>
      <c r="H409" s="1"/>
      <c r="I409" s="1"/>
      <c r="J409" s="1">
        <f>IF($F409="","",IF($H409="","Not rated",IF(OR($H409=Lists!$B$3,$H409=Lists!$B$5),IF(AND(LEFT(SUBSTITUTE($I409," ",""),LEN($F409)+1)=$F409&amp;"-",LEN(SUBSTITUTE($I409," ",""))&gt;LEN($F409)+1),"OK","Comment required"),"OK")))</f>
      </c>
    </row>
    <row r="410" spans="1:10" x14ac:dyDescent="0.25">
      <c r="A410" s="1"/>
      <c r="B410" s="20"/>
      <c r="C410" s="1"/>
      <c r="D410" s="1"/>
      <c r="E410" s="1"/>
      <c r="F410" s="1"/>
      <c r="G410" s="1"/>
      <c r="H410" s="1"/>
      <c r="I410" s="1"/>
      <c r="J410" s="1">
        <f>IF($F410="","",IF($H410="","Not rated",IF(OR($H410=Lists!$B$3,$H410=Lists!$B$5),IF(AND(LEFT(SUBSTITUTE($I410," ",""),LEN($F410)+1)=$F410&amp;"-",LEN(SUBSTITUTE($I410," ",""))&gt;LEN($F410)+1),"OK","Comment required"),"OK")))</f>
      </c>
    </row>
    <row r="411" spans="1:10" x14ac:dyDescent="0.25">
      <c r="A411" s="1"/>
      <c r="B411" s="20"/>
      <c r="C411" s="1"/>
      <c r="D411" s="1"/>
      <c r="E411" s="1"/>
      <c r="F411" s="1"/>
      <c r="G411" s="1"/>
      <c r="H411" s="1"/>
      <c r="I411" s="1"/>
      <c r="J411" s="1">
        <f>IF($F411="","",IF($H411="","Not rated",IF(OR($H411=Lists!$B$3,$H411=Lists!$B$5),IF(AND(LEFT(SUBSTITUTE($I411," ",""),LEN($F411)+1)=$F411&amp;"-",LEN(SUBSTITUTE($I411," ",""))&gt;LEN($F411)+1),"OK","Comment required"),"OK")))</f>
      </c>
    </row>
    <row r="412" spans="1:10" x14ac:dyDescent="0.25">
      <c r="A412" s="1"/>
      <c r="B412" s="20"/>
      <c r="C412" s="1"/>
      <c r="D412" s="1"/>
      <c r="E412" s="1"/>
      <c r="F412" s="1"/>
      <c r="G412" s="1"/>
      <c r="H412" s="1"/>
      <c r="I412" s="1"/>
      <c r="J412" s="1">
        <f>IF($F412="","",IF($H412="","Not rated",IF(OR($H412=Lists!$B$3,$H412=Lists!$B$5),IF(AND(LEFT(SUBSTITUTE($I412," ",""),LEN($F412)+1)=$F412&amp;"-",LEN(SUBSTITUTE($I412," ",""))&gt;LEN($F412)+1),"OK","Comment required"),"OK")))</f>
      </c>
    </row>
    <row r="413" spans="1:10" x14ac:dyDescent="0.25">
      <c r="A413" s="1"/>
      <c r="B413" s="20"/>
      <c r="C413" s="1"/>
      <c r="D413" s="1"/>
      <c r="E413" s="1"/>
      <c r="F413" s="1"/>
      <c r="G413" s="1"/>
      <c r="H413" s="1"/>
      <c r="I413" s="1"/>
      <c r="J413" s="1">
        <f>IF($F413="","",IF($H413="","Not rated",IF(OR($H413=Lists!$B$3,$H413=Lists!$B$5),IF(AND(LEFT(SUBSTITUTE($I413," ",""),LEN($F413)+1)=$F413&amp;"-",LEN(SUBSTITUTE($I413," ",""))&gt;LEN($F413)+1),"OK","Comment required"),"OK")))</f>
      </c>
    </row>
    <row r="414" spans="1:10" x14ac:dyDescent="0.25">
      <c r="A414" s="1"/>
      <c r="B414" s="20"/>
      <c r="C414" s="1"/>
      <c r="D414" s="1"/>
      <c r="E414" s="1"/>
      <c r="F414" s="1"/>
      <c r="G414" s="1"/>
      <c r="H414" s="1"/>
      <c r="I414" s="1"/>
      <c r="J414" s="1">
        <f>IF($F414="","",IF($H414="","Not rated",IF(OR($H414=Lists!$B$3,$H414=Lists!$B$5),IF(AND(LEFT(SUBSTITUTE($I414," ",""),LEN($F414)+1)=$F414&amp;"-",LEN(SUBSTITUTE($I414," ",""))&gt;LEN($F414)+1),"OK","Comment required"),"OK")))</f>
      </c>
    </row>
    <row r="415" spans="1:10" x14ac:dyDescent="0.25">
      <c r="A415" s="1"/>
      <c r="B415" s="20"/>
      <c r="C415" s="1"/>
      <c r="D415" s="1"/>
      <c r="E415" s="1"/>
      <c r="F415" s="1"/>
      <c r="G415" s="1"/>
      <c r="H415" s="1"/>
      <c r="I415" s="1"/>
      <c r="J415" s="1">
        <f>IF($F415="","",IF($H415="","Not rated",IF(OR($H415=Lists!$B$3,$H415=Lists!$B$5),IF(AND(LEFT(SUBSTITUTE($I415," ",""),LEN($F415)+1)=$F415&amp;"-",LEN(SUBSTITUTE($I415," ",""))&gt;LEN($F415)+1),"OK","Comment required"),"OK")))</f>
      </c>
    </row>
    <row r="416" spans="1:10" x14ac:dyDescent="0.25">
      <c r="A416" s="1"/>
      <c r="B416" s="20"/>
      <c r="C416" s="1"/>
      <c r="D416" s="1"/>
      <c r="E416" s="1"/>
      <c r="F416" s="1"/>
      <c r="G416" s="1"/>
      <c r="H416" s="1"/>
      <c r="I416" s="1"/>
      <c r="J416" s="1">
        <f>IF($F416="","",IF($H416="","Not rated",IF(OR($H416=Lists!$B$3,$H416=Lists!$B$5),IF(AND(LEFT(SUBSTITUTE($I416," ",""),LEN($F416)+1)=$F416&amp;"-",LEN(SUBSTITUTE($I416," ",""))&gt;LEN($F416)+1),"OK","Comment required"),"OK")))</f>
      </c>
    </row>
    <row r="417" spans="1:10" x14ac:dyDescent="0.25">
      <c r="A417" s="1"/>
      <c r="B417" s="20"/>
      <c r="C417" s="1"/>
      <c r="D417" s="1"/>
      <c r="E417" s="1"/>
      <c r="F417" s="1"/>
      <c r="G417" s="1"/>
      <c r="H417" s="1"/>
      <c r="I417" s="1"/>
      <c r="J417" s="1">
        <f>IF($F417="","",IF($H417="","Not rated",IF(OR($H417=Lists!$B$3,$H417=Lists!$B$5),IF(AND(LEFT(SUBSTITUTE($I417," ",""),LEN($F417)+1)=$F417&amp;"-",LEN(SUBSTITUTE($I417," ",""))&gt;LEN($F417)+1),"OK","Comment required"),"OK")))</f>
      </c>
    </row>
    <row r="418" spans="1:10" x14ac:dyDescent="0.25">
      <c r="A418" s="1"/>
      <c r="B418" s="20"/>
      <c r="C418" s="1"/>
      <c r="D418" s="1"/>
      <c r="E418" s="1"/>
      <c r="F418" s="1"/>
      <c r="G418" s="1"/>
      <c r="H418" s="1"/>
      <c r="I418" s="1"/>
      <c r="J418" s="1">
        <f>IF($F418="","",IF($H418="","Not rated",IF(OR($H418=Lists!$B$3,$H418=Lists!$B$5),IF(AND(LEFT(SUBSTITUTE($I418," ",""),LEN($F418)+1)=$F418&amp;"-",LEN(SUBSTITUTE($I418," ",""))&gt;LEN($F418)+1),"OK","Comment required"),"OK")))</f>
      </c>
    </row>
    <row r="419" spans="1:10" x14ac:dyDescent="0.25">
      <c r="A419" s="1"/>
      <c r="B419" s="20"/>
      <c r="C419" s="1"/>
      <c r="D419" s="1"/>
      <c r="E419" s="1"/>
      <c r="F419" s="1"/>
      <c r="G419" s="1"/>
      <c r="H419" s="1"/>
      <c r="I419" s="1"/>
      <c r="J419" s="1">
        <f>IF($F419="","",IF($H419="","Not rated",IF(OR($H419=Lists!$B$3,$H419=Lists!$B$5),IF(AND(LEFT(SUBSTITUTE($I419," ",""),LEN($F419)+1)=$F419&amp;"-",LEN(SUBSTITUTE($I419," ",""))&gt;LEN($F419)+1),"OK","Comment required"),"OK")))</f>
      </c>
    </row>
    <row r="420" spans="1:10" x14ac:dyDescent="0.25">
      <c r="A420" s="1"/>
      <c r="B420" s="20"/>
      <c r="C420" s="1"/>
      <c r="D420" s="1"/>
      <c r="E420" s="1"/>
      <c r="F420" s="1"/>
      <c r="G420" s="1"/>
      <c r="H420" s="1"/>
      <c r="I420" s="1"/>
      <c r="J420" s="1">
        <f>IF($F420="","",IF($H420="","Not rated",IF(OR($H420=Lists!$B$3,$H420=Lists!$B$5),IF(AND(LEFT(SUBSTITUTE($I420," ",""),LEN($F420)+1)=$F420&amp;"-",LEN(SUBSTITUTE($I420," ",""))&gt;LEN($F420)+1),"OK","Comment required"),"OK")))</f>
      </c>
    </row>
    <row r="421" spans="1:10" x14ac:dyDescent="0.25">
      <c r="A421" s="1"/>
      <c r="B421" s="20"/>
      <c r="C421" s="1"/>
      <c r="D421" s="1"/>
      <c r="E421" s="1"/>
      <c r="F421" s="1"/>
      <c r="G421" s="1"/>
      <c r="H421" s="1"/>
      <c r="I421" s="1"/>
      <c r="J421" s="1">
        <f>IF($F421="","",IF($H421="","Not rated",IF(OR($H421=Lists!$B$3,$H421=Lists!$B$5),IF(AND(LEFT(SUBSTITUTE($I421," ",""),LEN($F421)+1)=$F421&amp;"-",LEN(SUBSTITUTE($I421," ",""))&gt;LEN($F421)+1),"OK","Comment required"),"OK")))</f>
      </c>
    </row>
    <row r="422" spans="1:10" x14ac:dyDescent="0.25">
      <c r="A422" s="1"/>
      <c r="B422" s="20"/>
      <c r="C422" s="1"/>
      <c r="D422" s="1"/>
      <c r="E422" s="1"/>
      <c r="F422" s="1"/>
      <c r="G422" s="1"/>
      <c r="H422" s="1"/>
      <c r="I422" s="1"/>
      <c r="J422" s="1">
        <f>IF($F422="","",IF($H422="","Not rated",IF(OR($H422=Lists!$B$3,$H422=Lists!$B$5),IF(AND(LEFT(SUBSTITUTE($I422," ",""),LEN($F422)+1)=$F422&amp;"-",LEN(SUBSTITUTE($I422," ",""))&gt;LEN($F422)+1),"OK","Comment required"),"OK")))</f>
      </c>
    </row>
    <row r="423" spans="1:10" x14ac:dyDescent="0.25">
      <c r="A423" s="1"/>
      <c r="B423" s="20"/>
      <c r="C423" s="1"/>
      <c r="D423" s="1"/>
      <c r="E423" s="1"/>
      <c r="F423" s="1"/>
      <c r="G423" s="1"/>
      <c r="H423" s="1"/>
      <c r="I423" s="1"/>
      <c r="J423" s="1">
        <f>IF($F423="","",IF($H423="","Not rated",IF(OR($H423=Lists!$B$3,$H423=Lists!$B$5),IF(AND(LEFT(SUBSTITUTE($I423," ",""),LEN($F423)+1)=$F423&amp;"-",LEN(SUBSTITUTE($I423," ",""))&gt;LEN($F423)+1),"OK","Comment required"),"OK")))</f>
      </c>
    </row>
    <row r="424" spans="1:10" x14ac:dyDescent="0.25">
      <c r="A424" s="1"/>
      <c r="B424" s="20"/>
      <c r="C424" s="1"/>
      <c r="D424" s="1"/>
      <c r="E424" s="1"/>
      <c r="F424" s="1"/>
      <c r="G424" s="1"/>
      <c r="H424" s="1"/>
      <c r="I424" s="1"/>
      <c r="J424" s="1">
        <f>IF($F424="","",IF($H424="","Not rated",IF(OR($H424=Lists!$B$3,$H424=Lists!$B$5),IF(AND(LEFT(SUBSTITUTE($I424," ",""),LEN($F424)+1)=$F424&amp;"-",LEN(SUBSTITUTE($I424," ",""))&gt;LEN($F424)+1),"OK","Comment required"),"OK")))</f>
      </c>
    </row>
    <row r="425" spans="1:10" x14ac:dyDescent="0.25">
      <c r="A425" s="1"/>
      <c r="B425" s="20"/>
      <c r="C425" s="1"/>
      <c r="D425" s="1"/>
      <c r="E425" s="1"/>
      <c r="F425" s="1"/>
      <c r="G425" s="1"/>
      <c r="H425" s="1"/>
      <c r="I425" s="1"/>
      <c r="J425" s="1">
        <f>IF($F425="","",IF($H425="","Not rated",IF(OR($H425=Lists!$B$3,$H425=Lists!$B$5),IF(AND(LEFT(SUBSTITUTE($I425," ",""),LEN($F425)+1)=$F425&amp;"-",LEN(SUBSTITUTE($I425," ",""))&gt;LEN($F425)+1),"OK","Comment required"),"OK")))</f>
      </c>
    </row>
    <row r="426" spans="1:10" x14ac:dyDescent="0.25">
      <c r="A426" s="1"/>
      <c r="B426" s="20"/>
      <c r="C426" s="1"/>
      <c r="D426" s="1"/>
      <c r="E426" s="1"/>
      <c r="F426" s="1"/>
      <c r="G426" s="1"/>
      <c r="H426" s="1"/>
      <c r="I426" s="1"/>
      <c r="J426" s="1">
        <f>IF($F426="","",IF($H426="","Not rated",IF(OR($H426=Lists!$B$3,$H426=Lists!$B$5),IF(AND(LEFT(SUBSTITUTE($I426," ",""),LEN($F426)+1)=$F426&amp;"-",LEN(SUBSTITUTE($I426," ",""))&gt;LEN($F426)+1),"OK","Comment required"),"OK")))</f>
      </c>
    </row>
    <row r="427" spans="1:10" x14ac:dyDescent="0.25">
      <c r="A427" s="1"/>
      <c r="B427" s="20"/>
      <c r="C427" s="1"/>
      <c r="D427" s="1"/>
      <c r="E427" s="1"/>
      <c r="F427" s="1"/>
      <c r="G427" s="1"/>
      <c r="H427" s="1"/>
      <c r="I427" s="1"/>
      <c r="J427" s="1">
        <f>IF($F427="","",IF($H427="","Not rated",IF(OR($H427=Lists!$B$3,$H427=Lists!$B$5),IF(AND(LEFT(SUBSTITUTE($I427," ",""),LEN($F427)+1)=$F427&amp;"-",LEN(SUBSTITUTE($I427," ",""))&gt;LEN($F427)+1),"OK","Comment required"),"OK")))</f>
      </c>
    </row>
    <row r="428" spans="1:10" x14ac:dyDescent="0.25">
      <c r="A428" s="1"/>
      <c r="B428" s="20"/>
      <c r="C428" s="1"/>
      <c r="D428" s="1"/>
      <c r="E428" s="1"/>
      <c r="F428" s="1"/>
      <c r="G428" s="1"/>
      <c r="H428" s="1"/>
      <c r="I428" s="1"/>
      <c r="J428" s="1">
        <f>IF($F428="","",IF($H428="","Not rated",IF(OR($H428=Lists!$B$3,$H428=Lists!$B$5),IF(AND(LEFT(SUBSTITUTE($I428," ",""),LEN($F428)+1)=$F428&amp;"-",LEN(SUBSTITUTE($I428," ",""))&gt;LEN($F428)+1),"OK","Comment required"),"OK")))</f>
      </c>
    </row>
    <row r="429" spans="1:10" x14ac:dyDescent="0.25">
      <c r="A429" s="1"/>
      <c r="B429" s="20"/>
      <c r="C429" s="1"/>
      <c r="D429" s="1"/>
      <c r="E429" s="1"/>
      <c r="F429" s="1"/>
      <c r="G429" s="1"/>
      <c r="H429" s="1"/>
      <c r="I429" s="1"/>
      <c r="J429" s="1">
        <f>IF($F429="","",IF($H429="","Not rated",IF(OR($H429=Lists!$B$3,$H429=Lists!$B$5),IF(AND(LEFT(SUBSTITUTE($I429," ",""),LEN($F429)+1)=$F429&amp;"-",LEN(SUBSTITUTE($I429," ",""))&gt;LEN($F429)+1),"OK","Comment required"),"OK")))</f>
      </c>
    </row>
    <row r="430" spans="1:10" x14ac:dyDescent="0.25">
      <c r="A430" s="1"/>
      <c r="B430" s="20"/>
      <c r="C430" s="1"/>
      <c r="D430" s="1"/>
      <c r="E430" s="1"/>
      <c r="F430" s="1"/>
      <c r="G430" s="1"/>
      <c r="H430" s="1"/>
      <c r="I430" s="1"/>
      <c r="J430" s="1">
        <f>IF($F430="","",IF($H430="","Not rated",IF(OR($H430=Lists!$B$3,$H430=Lists!$B$5),IF(AND(LEFT(SUBSTITUTE($I430," ",""),LEN($F430)+1)=$F430&amp;"-",LEN(SUBSTITUTE($I430," ",""))&gt;LEN($F430)+1),"OK","Comment required"),"OK")))</f>
      </c>
    </row>
    <row r="431" spans="1:10" x14ac:dyDescent="0.25">
      <c r="A431" s="1"/>
      <c r="B431" s="20"/>
      <c r="C431" s="1"/>
      <c r="D431" s="1"/>
      <c r="E431" s="1"/>
      <c r="F431" s="1"/>
      <c r="G431" s="1"/>
      <c r="H431" s="1"/>
      <c r="I431" s="1"/>
      <c r="J431" s="1">
        <f>IF($F431="","",IF($H431="","Not rated",IF(OR($H431=Lists!$B$3,$H431=Lists!$B$5),IF(AND(LEFT(SUBSTITUTE($I431," ",""),LEN($F431)+1)=$F431&amp;"-",LEN(SUBSTITUTE($I431," ",""))&gt;LEN($F431)+1),"OK","Comment required"),"OK")))</f>
      </c>
    </row>
    <row r="432" spans="1:10" x14ac:dyDescent="0.25">
      <c r="A432" s="1"/>
      <c r="B432" s="20"/>
      <c r="C432" s="1"/>
      <c r="D432" s="1"/>
      <c r="E432" s="1"/>
      <c r="F432" s="1"/>
      <c r="G432" s="1"/>
      <c r="H432" s="1"/>
      <c r="I432" s="1"/>
      <c r="J432" s="1">
        <f>IF($F432="","",IF($H432="","Not rated",IF(OR($H432=Lists!$B$3,$H432=Lists!$B$5),IF(AND(LEFT(SUBSTITUTE($I432," ",""),LEN($F432)+1)=$F432&amp;"-",LEN(SUBSTITUTE($I432," ",""))&gt;LEN($F432)+1),"OK","Comment required"),"OK")))</f>
      </c>
    </row>
    <row r="433" spans="1:10" x14ac:dyDescent="0.25">
      <c r="A433" s="1"/>
      <c r="B433" s="20"/>
      <c r="C433" s="1"/>
      <c r="D433" s="1"/>
      <c r="E433" s="1"/>
      <c r="F433" s="1"/>
      <c r="G433" s="1"/>
      <c r="H433" s="1"/>
      <c r="I433" s="1"/>
      <c r="J433" s="1">
        <f>IF($F433="","",IF($H433="","Not rated",IF(OR($H433=Lists!$B$3,$H433=Lists!$B$5),IF(AND(LEFT(SUBSTITUTE($I433," ",""),LEN($F433)+1)=$F433&amp;"-",LEN(SUBSTITUTE($I433," ",""))&gt;LEN($F433)+1),"OK","Comment required"),"OK")))</f>
      </c>
    </row>
    <row r="434" spans="1:10" x14ac:dyDescent="0.25">
      <c r="A434" s="1"/>
      <c r="B434" s="20"/>
      <c r="C434" s="1"/>
      <c r="D434" s="1"/>
      <c r="E434" s="1"/>
      <c r="F434" s="1"/>
      <c r="G434" s="1"/>
      <c r="H434" s="1"/>
      <c r="I434" s="1"/>
      <c r="J434" s="1">
        <f>IF($F434="","",IF($H434="","Not rated",IF(OR($H434=Lists!$B$3,$H434=Lists!$B$5),IF(AND(LEFT(SUBSTITUTE($I434," ",""),LEN($F434)+1)=$F434&amp;"-",LEN(SUBSTITUTE($I434," ",""))&gt;LEN($F434)+1),"OK","Comment required"),"OK")))</f>
      </c>
    </row>
    <row r="435" spans="1:10" x14ac:dyDescent="0.25">
      <c r="A435" s="1"/>
      <c r="B435" s="20"/>
      <c r="C435" s="1"/>
      <c r="D435" s="1"/>
      <c r="E435" s="1"/>
      <c r="F435" s="1"/>
      <c r="G435" s="1"/>
      <c r="H435" s="1"/>
      <c r="I435" s="1"/>
      <c r="J435" s="1">
        <f>IF($F435="","",IF($H435="","Not rated",IF(OR($H435=Lists!$B$3,$H435=Lists!$B$5),IF(AND(LEFT(SUBSTITUTE($I435," ",""),LEN($F435)+1)=$F435&amp;"-",LEN(SUBSTITUTE($I435," ",""))&gt;LEN($F435)+1),"OK","Comment required"),"OK")))</f>
      </c>
    </row>
    <row r="436" spans="1:10" x14ac:dyDescent="0.25">
      <c r="A436" s="1"/>
      <c r="B436" s="20"/>
      <c r="C436" s="1"/>
      <c r="D436" s="1"/>
      <c r="E436" s="1"/>
      <c r="F436" s="1"/>
      <c r="G436" s="1"/>
      <c r="H436" s="1"/>
      <c r="I436" s="1"/>
      <c r="J436" s="1">
        <f>IF($F436="","",IF($H436="","Not rated",IF(OR($H436=Lists!$B$3,$H436=Lists!$B$5),IF(AND(LEFT(SUBSTITUTE($I436," ",""),LEN($F436)+1)=$F436&amp;"-",LEN(SUBSTITUTE($I436," ",""))&gt;LEN($F436)+1),"OK","Comment required"),"OK")))</f>
      </c>
    </row>
    <row r="437" spans="1:10" x14ac:dyDescent="0.25">
      <c r="A437" s="1"/>
      <c r="B437" s="20"/>
      <c r="C437" s="1"/>
      <c r="D437" s="1"/>
      <c r="E437" s="1"/>
      <c r="F437" s="1"/>
      <c r="G437" s="1"/>
      <c r="H437" s="1"/>
      <c r="I437" s="1"/>
      <c r="J437" s="1">
        <f>IF($F437="","",IF($H437="","Not rated",IF(OR($H437=Lists!$B$3,$H437=Lists!$B$5),IF(AND(LEFT(SUBSTITUTE($I437," ",""),LEN($F437)+1)=$F437&amp;"-",LEN(SUBSTITUTE($I437," ",""))&gt;LEN($F437)+1),"OK","Comment required"),"OK")))</f>
      </c>
    </row>
    <row r="438" spans="1:10" x14ac:dyDescent="0.25">
      <c r="A438" s="1"/>
      <c r="B438" s="20"/>
      <c r="C438" s="1"/>
      <c r="D438" s="1"/>
      <c r="E438" s="1"/>
      <c r="F438" s="1"/>
      <c r="G438" s="1"/>
      <c r="H438" s="1"/>
      <c r="I438" s="1"/>
      <c r="J438" s="1">
        <f>IF($F438="","",IF($H438="","Not rated",IF(OR($H438=Lists!$B$3,$H438=Lists!$B$5),IF(AND(LEFT(SUBSTITUTE($I438," ",""),LEN($F438)+1)=$F438&amp;"-",LEN(SUBSTITUTE($I438," ",""))&gt;LEN($F438)+1),"OK","Comment required"),"OK")))</f>
      </c>
    </row>
    <row r="439" spans="1:10" x14ac:dyDescent="0.25">
      <c r="A439" s="1"/>
      <c r="B439" s="20"/>
      <c r="C439" s="1"/>
      <c r="D439" s="1"/>
      <c r="E439" s="1"/>
      <c r="F439" s="1"/>
      <c r="G439" s="1"/>
      <c r="H439" s="1"/>
      <c r="I439" s="1"/>
      <c r="J439" s="1">
        <f>IF($F439="","",IF($H439="","Not rated",IF(OR($H439=Lists!$B$3,$H439=Lists!$B$5),IF(AND(LEFT(SUBSTITUTE($I439," ",""),LEN($F439)+1)=$F439&amp;"-",LEN(SUBSTITUTE($I439," ",""))&gt;LEN($F439)+1),"OK","Comment required"),"OK")))</f>
      </c>
    </row>
    <row r="440" spans="1:10" x14ac:dyDescent="0.25">
      <c r="A440" s="1"/>
      <c r="B440" s="20"/>
      <c r="C440" s="1"/>
      <c r="D440" s="1"/>
      <c r="E440" s="1"/>
      <c r="F440" s="1"/>
      <c r="G440" s="1"/>
      <c r="H440" s="1"/>
      <c r="I440" s="1"/>
      <c r="J440" s="1">
        <f>IF($F440="","",IF($H440="","Not rated",IF(OR($H440=Lists!$B$3,$H440=Lists!$B$5),IF(AND(LEFT(SUBSTITUTE($I440," ",""),LEN($F440)+1)=$F440&amp;"-",LEN(SUBSTITUTE($I440," ",""))&gt;LEN($F440)+1),"OK","Comment required"),"OK")))</f>
      </c>
    </row>
    <row r="441" spans="1:10" x14ac:dyDescent="0.25">
      <c r="A441" s="1"/>
      <c r="B441" s="20"/>
      <c r="C441" s="1"/>
      <c r="D441" s="1"/>
      <c r="E441" s="1"/>
      <c r="F441" s="1"/>
      <c r="G441" s="1"/>
      <c r="H441" s="1"/>
      <c r="I441" s="1"/>
      <c r="J441" s="1">
        <f>IF($F441="","",IF($H441="","Not rated",IF(OR($H441=Lists!$B$3,$H441=Lists!$B$5),IF(AND(LEFT(SUBSTITUTE($I441," ",""),LEN($F441)+1)=$F441&amp;"-",LEN(SUBSTITUTE($I441," ",""))&gt;LEN($F441)+1),"OK","Comment required"),"OK")))</f>
      </c>
    </row>
    <row r="442" spans="1:10" x14ac:dyDescent="0.25">
      <c r="A442" s="1"/>
      <c r="B442" s="20"/>
      <c r="C442" s="1"/>
      <c r="D442" s="1"/>
      <c r="E442" s="1"/>
      <c r="F442" s="1"/>
      <c r="G442" s="1"/>
      <c r="H442" s="1"/>
      <c r="I442" s="1"/>
      <c r="J442" s="1">
        <f>IF($F442="","",IF($H442="","Not rated",IF(OR($H442=Lists!$B$3,$H442=Lists!$B$5),IF(AND(LEFT(SUBSTITUTE($I442," ",""),LEN($F442)+1)=$F442&amp;"-",LEN(SUBSTITUTE($I442," ",""))&gt;LEN($F442)+1),"OK","Comment required"),"OK")))</f>
      </c>
    </row>
    <row r="443" spans="1:10" x14ac:dyDescent="0.25">
      <c r="A443" s="1"/>
      <c r="B443" s="20"/>
      <c r="C443" s="1"/>
      <c r="D443" s="1"/>
      <c r="E443" s="1"/>
      <c r="F443" s="1"/>
      <c r="G443" s="1"/>
      <c r="H443" s="1"/>
      <c r="I443" s="1"/>
      <c r="J443" s="1">
        <f>IF($F443="","",IF($H443="","Not rated",IF(OR($H443=Lists!$B$3,$H443=Lists!$B$5),IF(AND(LEFT(SUBSTITUTE($I443," ",""),LEN($F443)+1)=$F443&amp;"-",LEN(SUBSTITUTE($I443," ",""))&gt;LEN($F443)+1),"OK","Comment required"),"OK")))</f>
      </c>
    </row>
    <row r="444" spans="1:10" x14ac:dyDescent="0.25">
      <c r="A444" s="1"/>
      <c r="B444" s="20"/>
      <c r="C444" s="1"/>
      <c r="D444" s="1"/>
      <c r="E444" s="1"/>
      <c r="F444" s="1"/>
      <c r="G444" s="1"/>
      <c r="H444" s="1"/>
      <c r="I444" s="1"/>
      <c r="J444" s="1">
        <f>IF($F444="","",IF($H444="","Not rated",IF(OR($H444=Lists!$B$3,$H444=Lists!$B$5),IF(AND(LEFT(SUBSTITUTE($I444," ",""),LEN($F444)+1)=$F444&amp;"-",LEN(SUBSTITUTE($I444," ",""))&gt;LEN($F444)+1),"OK","Comment required"),"OK")))</f>
      </c>
    </row>
    <row r="445" spans="1:10" x14ac:dyDescent="0.25">
      <c r="A445" s="1"/>
      <c r="B445" s="20"/>
      <c r="C445" s="1"/>
      <c r="D445" s="1"/>
      <c r="E445" s="1"/>
      <c r="F445" s="1"/>
      <c r="G445" s="1"/>
      <c r="H445" s="1"/>
      <c r="I445" s="1"/>
      <c r="J445" s="1">
        <f>IF($F445="","",IF($H445="","Not rated",IF(OR($H445=Lists!$B$3,$H445=Lists!$B$5),IF(AND(LEFT(SUBSTITUTE($I445," ",""),LEN($F445)+1)=$F445&amp;"-",LEN(SUBSTITUTE($I445," ",""))&gt;LEN($F445)+1),"OK","Comment required"),"OK")))</f>
      </c>
    </row>
    <row r="446" spans="1:10" x14ac:dyDescent="0.25">
      <c r="A446" s="1"/>
      <c r="B446" s="20"/>
      <c r="C446" s="1"/>
      <c r="D446" s="1"/>
      <c r="E446" s="1"/>
      <c r="F446" s="1"/>
      <c r="G446" s="1"/>
      <c r="H446" s="1"/>
      <c r="I446" s="1"/>
      <c r="J446" s="1">
        <f>IF($F446="","",IF($H446="","Not rated",IF(OR($H446=Lists!$B$3,$H446=Lists!$B$5),IF(AND(LEFT(SUBSTITUTE($I446," ",""),LEN($F446)+1)=$F446&amp;"-",LEN(SUBSTITUTE($I446," ",""))&gt;LEN($F446)+1),"OK","Comment required"),"OK")))</f>
      </c>
    </row>
    <row r="447" spans="1:10" x14ac:dyDescent="0.25">
      <c r="A447" s="1"/>
      <c r="B447" s="20"/>
      <c r="C447" s="1"/>
      <c r="D447" s="1"/>
      <c r="E447" s="1"/>
      <c r="F447" s="1"/>
      <c r="G447" s="1"/>
      <c r="H447" s="1"/>
      <c r="I447" s="1"/>
      <c r="J447" s="1">
        <f>IF($F447="","",IF($H447="","Not rated",IF(OR($H447=Lists!$B$3,$H447=Lists!$B$5),IF(AND(LEFT(SUBSTITUTE($I447," ",""),LEN($F447)+1)=$F447&amp;"-",LEN(SUBSTITUTE($I447," ",""))&gt;LEN($F447)+1),"OK","Comment required"),"OK")))</f>
      </c>
    </row>
    <row r="448" spans="1:10" x14ac:dyDescent="0.25">
      <c r="A448" s="1"/>
      <c r="B448" s="20"/>
      <c r="C448" s="1"/>
      <c r="D448" s="1"/>
      <c r="E448" s="1"/>
      <c r="F448" s="1"/>
      <c r="G448" s="1"/>
      <c r="H448" s="1"/>
      <c r="I448" s="1"/>
      <c r="J448" s="1">
        <f>IF($F448="","",IF($H448="","Not rated",IF(OR($H448=Lists!$B$3,$H448=Lists!$B$5),IF(AND(LEFT(SUBSTITUTE($I448," ",""),LEN($F448)+1)=$F448&amp;"-",LEN(SUBSTITUTE($I448," ",""))&gt;LEN($F448)+1),"OK","Comment required"),"OK")))</f>
      </c>
    </row>
    <row r="449" spans="1:10" x14ac:dyDescent="0.25">
      <c r="A449" s="1"/>
      <c r="B449" s="20"/>
      <c r="C449" s="1"/>
      <c r="D449" s="1"/>
      <c r="E449" s="1"/>
      <c r="F449" s="1"/>
      <c r="G449" s="1"/>
      <c r="H449" s="1"/>
      <c r="I449" s="1"/>
      <c r="J449" s="1">
        <f>IF($F449="","",IF($H449="","Not rated",IF(OR($H449=Lists!$B$3,$H449=Lists!$B$5),IF(AND(LEFT(SUBSTITUTE($I449," ",""),LEN($F449)+1)=$F449&amp;"-",LEN(SUBSTITUTE($I449," ",""))&gt;LEN($F449)+1),"OK","Comment required"),"OK")))</f>
      </c>
    </row>
    <row r="450" spans="1:10" x14ac:dyDescent="0.25">
      <c r="A450" s="1"/>
      <c r="B450" s="20"/>
      <c r="C450" s="1"/>
      <c r="D450" s="1"/>
      <c r="E450" s="1"/>
      <c r="F450" s="1"/>
      <c r="G450" s="1"/>
      <c r="H450" s="1"/>
      <c r="I450" s="1"/>
      <c r="J450" s="1">
        <f>IF($F450="","",IF($H450="","Not rated",IF(OR($H450=Lists!$B$3,$H450=Lists!$B$5),IF(AND(LEFT(SUBSTITUTE($I450," ",""),LEN($F450)+1)=$F450&amp;"-",LEN(SUBSTITUTE($I450," ",""))&gt;LEN($F450)+1),"OK","Comment required"),"OK")))</f>
      </c>
    </row>
    <row r="451" spans="1:10" x14ac:dyDescent="0.25">
      <c r="A451" s="1"/>
      <c r="B451" s="20"/>
      <c r="C451" s="1"/>
      <c r="D451" s="1"/>
      <c r="E451" s="1"/>
      <c r="F451" s="1"/>
      <c r="G451" s="1"/>
      <c r="H451" s="1"/>
      <c r="I451" s="1"/>
      <c r="J451" s="1">
        <f>IF($F451="","",IF($H451="","Not rated",IF(OR($H451=Lists!$B$3,$H451=Lists!$B$5),IF(AND(LEFT(SUBSTITUTE($I451," ",""),LEN($F451)+1)=$F451&amp;"-",LEN(SUBSTITUTE($I451," ",""))&gt;LEN($F451)+1),"OK","Comment required"),"OK")))</f>
      </c>
    </row>
    <row r="452" spans="1:10" x14ac:dyDescent="0.25">
      <c r="A452" s="1"/>
      <c r="B452" s="20"/>
      <c r="C452" s="1"/>
      <c r="D452" s="1"/>
      <c r="E452" s="1"/>
      <c r="F452" s="1"/>
      <c r="G452" s="1"/>
      <c r="H452" s="1"/>
      <c r="I452" s="1"/>
      <c r="J452" s="1">
        <f>IF($F452="","",IF($H452="","Not rated",IF(OR($H452=Lists!$B$3,$H452=Lists!$B$5),IF(AND(LEFT(SUBSTITUTE($I452," ",""),LEN($F452)+1)=$F452&amp;"-",LEN(SUBSTITUTE($I452," ",""))&gt;LEN($F452)+1),"OK","Comment required"),"OK")))</f>
      </c>
    </row>
    <row r="453" spans="1:10" x14ac:dyDescent="0.25">
      <c r="A453" s="1"/>
      <c r="B453" s="20"/>
      <c r="C453" s="1"/>
      <c r="D453" s="1"/>
      <c r="E453" s="1"/>
      <c r="F453" s="1"/>
      <c r="G453" s="1"/>
      <c r="H453" s="1"/>
      <c r="I453" s="1"/>
      <c r="J453" s="1">
        <f>IF($F453="","",IF($H453="","Not rated",IF(OR($H453=Lists!$B$3,$H453=Lists!$B$5),IF(AND(LEFT(SUBSTITUTE($I453," ",""),LEN($F453)+1)=$F453&amp;"-",LEN(SUBSTITUTE($I453," ",""))&gt;LEN($F453)+1),"OK","Comment required"),"OK")))</f>
      </c>
    </row>
    <row r="454" spans="1:10" x14ac:dyDescent="0.25">
      <c r="A454" s="1"/>
      <c r="B454" s="20"/>
      <c r="C454" s="1"/>
      <c r="D454" s="1"/>
      <c r="E454" s="1"/>
      <c r="F454" s="1"/>
      <c r="G454" s="1"/>
      <c r="H454" s="1"/>
      <c r="I454" s="1"/>
      <c r="J454" s="1">
        <f>IF($F454="","",IF($H454="","Not rated",IF(OR($H454=Lists!$B$3,$H454=Lists!$B$5),IF(AND(LEFT(SUBSTITUTE($I454," ",""),LEN($F454)+1)=$F454&amp;"-",LEN(SUBSTITUTE($I454," ",""))&gt;LEN($F454)+1),"OK","Comment required"),"OK")))</f>
      </c>
    </row>
    <row r="455" spans="1:10" x14ac:dyDescent="0.25">
      <c r="A455" s="1"/>
      <c r="B455" s="20"/>
      <c r="C455" s="1"/>
      <c r="D455" s="1"/>
      <c r="E455" s="1"/>
      <c r="F455" s="1"/>
      <c r="G455" s="1"/>
      <c r="H455" s="1"/>
      <c r="I455" s="1"/>
      <c r="J455" s="1">
        <f>IF($F455="","",IF($H455="","Not rated",IF(OR($H455=Lists!$B$3,$H455=Lists!$B$5),IF(AND(LEFT(SUBSTITUTE($I455," ",""),LEN($F455)+1)=$F455&amp;"-",LEN(SUBSTITUTE($I455," ",""))&gt;LEN($F455)+1),"OK","Comment required"),"OK")))</f>
      </c>
    </row>
    <row r="456" spans="1:10" x14ac:dyDescent="0.25">
      <c r="A456" s="1"/>
      <c r="B456" s="20"/>
      <c r="C456" s="1"/>
      <c r="D456" s="1"/>
      <c r="E456" s="1"/>
      <c r="F456" s="1"/>
      <c r="G456" s="1"/>
      <c r="H456" s="1"/>
      <c r="I456" s="1"/>
      <c r="J456" s="1">
        <f>IF($F456="","",IF($H456="","Not rated",IF(OR($H456=Lists!$B$3,$H456=Lists!$B$5),IF(AND(LEFT(SUBSTITUTE($I456," ",""),LEN($F456)+1)=$F456&amp;"-",LEN(SUBSTITUTE($I456," ",""))&gt;LEN($F456)+1),"OK","Comment required"),"OK")))</f>
      </c>
    </row>
    <row r="457" spans="1:10" x14ac:dyDescent="0.25">
      <c r="A457" s="1"/>
      <c r="B457" s="20"/>
      <c r="C457" s="1"/>
      <c r="D457" s="1"/>
      <c r="E457" s="1"/>
      <c r="F457" s="1"/>
      <c r="G457" s="1"/>
      <c r="H457" s="1"/>
      <c r="I457" s="1"/>
      <c r="J457" s="1">
        <f>IF($F457="","",IF($H457="","Not rated",IF(OR($H457=Lists!$B$3,$H457=Lists!$B$5),IF(AND(LEFT(SUBSTITUTE($I457," ",""),LEN($F457)+1)=$F457&amp;"-",LEN(SUBSTITUTE($I457," ",""))&gt;LEN($F457)+1),"OK","Comment required"),"OK")))</f>
      </c>
    </row>
    <row r="458" spans="1:10" x14ac:dyDescent="0.25">
      <c r="A458" s="1"/>
      <c r="B458" s="20"/>
      <c r="C458" s="1"/>
      <c r="D458" s="1"/>
      <c r="E458" s="1"/>
      <c r="F458" s="1"/>
      <c r="G458" s="1"/>
      <c r="H458" s="1"/>
      <c r="I458" s="1"/>
      <c r="J458" s="1">
        <f>IF($F458="","",IF($H458="","Not rated",IF(OR($H458=Lists!$B$3,$H458=Lists!$B$5),IF(AND(LEFT(SUBSTITUTE($I458," ",""),LEN($F458)+1)=$F458&amp;"-",LEN(SUBSTITUTE($I458," ",""))&gt;LEN($F458)+1),"OK","Comment required"),"OK")))</f>
      </c>
    </row>
    <row r="459" spans="1:10" x14ac:dyDescent="0.25">
      <c r="A459" s="1"/>
      <c r="B459" s="20"/>
      <c r="C459" s="1"/>
      <c r="D459" s="1"/>
      <c r="E459" s="1"/>
      <c r="F459" s="1"/>
      <c r="G459" s="1"/>
      <c r="H459" s="1"/>
      <c r="I459" s="1"/>
      <c r="J459" s="1">
        <f>IF($F459="","",IF($H459="","Not rated",IF(OR($H459=Lists!$B$3,$H459=Lists!$B$5),IF(AND(LEFT(SUBSTITUTE($I459," ",""),LEN($F459)+1)=$F459&amp;"-",LEN(SUBSTITUTE($I459," ",""))&gt;LEN($F459)+1),"OK","Comment required"),"OK")))</f>
      </c>
    </row>
    <row r="460" spans="1:10" x14ac:dyDescent="0.25">
      <c r="A460" s="1"/>
      <c r="B460" s="20"/>
      <c r="C460" s="1"/>
      <c r="D460" s="1"/>
      <c r="E460" s="1"/>
      <c r="F460" s="1"/>
      <c r="G460" s="1"/>
      <c r="H460" s="1"/>
      <c r="I460" s="1"/>
      <c r="J460" s="1">
        <f>IF($F460="","",IF($H460="","Not rated",IF(OR($H460=Lists!$B$3,$H460=Lists!$B$5),IF(AND(LEFT(SUBSTITUTE($I460," ",""),LEN($F460)+1)=$F460&amp;"-",LEN(SUBSTITUTE($I460," ",""))&gt;LEN($F460)+1),"OK","Comment required"),"OK")))</f>
      </c>
    </row>
    <row r="461" spans="1:10" x14ac:dyDescent="0.25">
      <c r="A461" s="1"/>
      <c r="B461" s="20"/>
      <c r="C461" s="1"/>
      <c r="D461" s="1"/>
      <c r="E461" s="1"/>
      <c r="F461" s="1"/>
      <c r="G461" s="1"/>
      <c r="H461" s="1"/>
      <c r="I461" s="1"/>
      <c r="J461" s="1">
        <f>IF($F461="","",IF($H461="","Not rated",IF(OR($H461=Lists!$B$3,$H461=Lists!$B$5),IF(AND(LEFT(SUBSTITUTE($I461," ",""),LEN($F461)+1)=$F461&amp;"-",LEN(SUBSTITUTE($I461," ",""))&gt;LEN($F461)+1),"OK","Comment required"),"OK")))</f>
      </c>
    </row>
    <row r="462" spans="1:10" x14ac:dyDescent="0.25">
      <c r="A462" s="1"/>
      <c r="B462" s="20"/>
      <c r="C462" s="1"/>
      <c r="D462" s="1"/>
      <c r="E462" s="1"/>
      <c r="F462" s="1"/>
      <c r="G462" s="1"/>
      <c r="H462" s="1"/>
      <c r="I462" s="1"/>
      <c r="J462" s="1">
        <f>IF($F462="","",IF($H462="","Not rated",IF(OR($H462=Lists!$B$3,$H462=Lists!$B$5),IF(AND(LEFT(SUBSTITUTE($I462," ",""),LEN($F462)+1)=$F462&amp;"-",LEN(SUBSTITUTE($I462," ",""))&gt;LEN($F462)+1),"OK","Comment required"),"OK")))</f>
      </c>
    </row>
    <row r="463" spans="1:10" x14ac:dyDescent="0.25">
      <c r="A463" s="1"/>
      <c r="B463" s="20"/>
      <c r="C463" s="1"/>
      <c r="D463" s="1"/>
      <c r="E463" s="1"/>
      <c r="F463" s="1"/>
      <c r="G463" s="1"/>
      <c r="H463" s="1"/>
      <c r="I463" s="1"/>
      <c r="J463" s="1">
        <f>IF($F463="","",IF($H463="","Not rated",IF(OR($H463=Lists!$B$3,$H463=Lists!$B$5),IF(AND(LEFT(SUBSTITUTE($I463," ",""),LEN($F463)+1)=$F463&amp;"-",LEN(SUBSTITUTE($I463," ",""))&gt;LEN($F463)+1),"OK","Comment required"),"OK")))</f>
      </c>
    </row>
    <row r="464" spans="1:10" x14ac:dyDescent="0.25">
      <c r="A464" s="1"/>
      <c r="B464" s="20"/>
      <c r="C464" s="1"/>
      <c r="D464" s="1"/>
      <c r="E464" s="1"/>
      <c r="F464" s="1"/>
      <c r="G464" s="1"/>
      <c r="H464" s="1"/>
      <c r="I464" s="1"/>
      <c r="J464" s="1">
        <f>IF($F464="","",IF($H464="","Not rated",IF(OR($H464=Lists!$B$3,$H464=Lists!$B$5),IF(AND(LEFT(SUBSTITUTE($I464," ",""),LEN($F464)+1)=$F464&amp;"-",LEN(SUBSTITUTE($I464," ",""))&gt;LEN($F464)+1),"OK","Comment required"),"OK")))</f>
      </c>
    </row>
    <row r="465" spans="1:10" x14ac:dyDescent="0.25">
      <c r="A465" s="1"/>
      <c r="B465" s="20"/>
      <c r="C465" s="1"/>
      <c r="D465" s="1"/>
      <c r="E465" s="1"/>
      <c r="F465" s="1"/>
      <c r="G465" s="1"/>
      <c r="H465" s="1"/>
      <c r="I465" s="1"/>
      <c r="J465" s="1">
        <f>IF($F465="","",IF($H465="","Not rated",IF(OR($H465=Lists!$B$3,$H465=Lists!$B$5),IF(AND(LEFT(SUBSTITUTE($I465," ",""),LEN($F465)+1)=$F465&amp;"-",LEN(SUBSTITUTE($I465," ",""))&gt;LEN($F465)+1),"OK","Comment required"),"OK")))</f>
      </c>
    </row>
    <row r="466" spans="1:10" x14ac:dyDescent="0.25">
      <c r="A466" s="1"/>
      <c r="B466" s="20"/>
      <c r="C466" s="1"/>
      <c r="D466" s="1"/>
      <c r="E466" s="1"/>
      <c r="F466" s="1"/>
      <c r="G466" s="1"/>
      <c r="H466" s="1"/>
      <c r="I466" s="1"/>
      <c r="J466" s="1">
        <f>IF($F466="","",IF($H466="","Not rated",IF(OR($H466=Lists!$B$3,$H466=Lists!$B$5),IF(AND(LEFT(SUBSTITUTE($I466," ",""),LEN($F466)+1)=$F466&amp;"-",LEN(SUBSTITUTE($I466," ",""))&gt;LEN($F466)+1),"OK","Comment required"),"OK")))</f>
      </c>
    </row>
    <row r="467" spans="1:10" x14ac:dyDescent="0.25">
      <c r="A467" s="1"/>
      <c r="B467" s="20"/>
      <c r="C467" s="1"/>
      <c r="D467" s="1"/>
      <c r="E467" s="1"/>
      <c r="F467" s="1"/>
      <c r="G467" s="1"/>
      <c r="H467" s="1"/>
      <c r="I467" s="1"/>
      <c r="J467" s="1">
        <f>IF($F467="","",IF($H467="","Not rated",IF(OR($H467=Lists!$B$3,$H467=Lists!$B$5),IF(AND(LEFT(SUBSTITUTE($I467," ",""),LEN($F467)+1)=$F467&amp;"-",LEN(SUBSTITUTE($I467," ",""))&gt;LEN($F467)+1),"OK","Comment required"),"OK")))</f>
      </c>
    </row>
    <row r="468" spans="1:10" x14ac:dyDescent="0.25">
      <c r="A468" s="1"/>
      <c r="B468" s="20"/>
      <c r="C468" s="1"/>
      <c r="D468" s="1"/>
      <c r="E468" s="1"/>
      <c r="F468" s="1"/>
      <c r="G468" s="1"/>
      <c r="H468" s="1"/>
      <c r="I468" s="1"/>
      <c r="J468" s="1">
        <f>IF($F468="","",IF($H468="","Not rated",IF(OR($H468=Lists!$B$3,$H468=Lists!$B$5),IF(AND(LEFT(SUBSTITUTE($I468," ",""),LEN($F468)+1)=$F468&amp;"-",LEN(SUBSTITUTE($I468," ",""))&gt;LEN($F468)+1),"OK","Comment required"),"OK")))</f>
      </c>
    </row>
    <row r="469" spans="1:10" x14ac:dyDescent="0.25">
      <c r="A469" s="1"/>
      <c r="B469" s="20"/>
      <c r="C469" s="1"/>
      <c r="D469" s="1"/>
      <c r="E469" s="1"/>
      <c r="F469" s="1"/>
      <c r="G469" s="1"/>
      <c r="H469" s="1"/>
      <c r="I469" s="1"/>
      <c r="J469" s="1">
        <f>IF($F469="","",IF($H469="","Not rated",IF(OR($H469=Lists!$B$3,$H469=Lists!$B$5),IF(AND(LEFT(SUBSTITUTE($I469," ",""),LEN($F469)+1)=$F469&amp;"-",LEN(SUBSTITUTE($I469," ",""))&gt;LEN($F469)+1),"OK","Comment required"),"OK")))</f>
      </c>
    </row>
    <row r="470" spans="1:10" x14ac:dyDescent="0.25">
      <c r="A470" s="1"/>
      <c r="B470" s="20"/>
      <c r="C470" s="1"/>
      <c r="D470" s="1"/>
      <c r="E470" s="1"/>
      <c r="F470" s="1"/>
      <c r="G470" s="1"/>
      <c r="H470" s="1"/>
      <c r="I470" s="1"/>
      <c r="J470" s="1">
        <f>IF($F470="","",IF($H470="","Not rated",IF(OR($H470=Lists!$B$3,$H470=Lists!$B$5),IF(AND(LEFT(SUBSTITUTE($I470," ",""),LEN($F470)+1)=$F470&amp;"-",LEN(SUBSTITUTE($I470," ",""))&gt;LEN($F470)+1),"OK","Comment required"),"OK")))</f>
      </c>
    </row>
    <row r="471" spans="1:10" x14ac:dyDescent="0.25">
      <c r="A471" s="1"/>
      <c r="B471" s="20"/>
      <c r="C471" s="1"/>
      <c r="D471" s="1"/>
      <c r="E471" s="1"/>
      <c r="F471" s="1"/>
      <c r="G471" s="1"/>
      <c r="H471" s="1"/>
      <c r="I471" s="1"/>
      <c r="J471" s="1">
        <f>IF($F471="","",IF($H471="","Not rated",IF(OR($H471=Lists!$B$3,$H471=Lists!$B$5),IF(AND(LEFT(SUBSTITUTE($I471," ",""),LEN($F471)+1)=$F471&amp;"-",LEN(SUBSTITUTE($I471," ",""))&gt;LEN($F471)+1),"OK","Comment required"),"OK")))</f>
      </c>
    </row>
    <row r="472" spans="1:10" x14ac:dyDescent="0.25">
      <c r="A472" s="1"/>
      <c r="B472" s="20"/>
      <c r="C472" s="1"/>
      <c r="D472" s="1"/>
      <c r="E472" s="1"/>
      <c r="F472" s="1"/>
      <c r="G472" s="1"/>
      <c r="H472" s="1"/>
      <c r="I472" s="1"/>
      <c r="J472" s="1">
        <f>IF($F472="","",IF($H472="","Not rated",IF(OR($H472=Lists!$B$3,$H472=Lists!$B$5),IF(AND(LEFT(SUBSTITUTE($I472," ",""),LEN($F472)+1)=$F472&amp;"-",LEN(SUBSTITUTE($I472," ",""))&gt;LEN($F472)+1),"OK","Comment required"),"OK")))</f>
      </c>
    </row>
    <row r="473" spans="1:10" x14ac:dyDescent="0.25">
      <c r="A473" s="1"/>
      <c r="B473" s="20"/>
      <c r="C473" s="1"/>
      <c r="D473" s="1"/>
      <c r="E473" s="1"/>
      <c r="F473" s="1"/>
      <c r="G473" s="1"/>
      <c r="H473" s="1"/>
      <c r="I473" s="1"/>
      <c r="J473" s="1">
        <f>IF($F473="","",IF($H473="","Not rated",IF(OR($H473=Lists!$B$3,$H473=Lists!$B$5),IF(AND(LEFT(SUBSTITUTE($I473," ",""),LEN($F473)+1)=$F473&amp;"-",LEN(SUBSTITUTE($I473," ",""))&gt;LEN($F473)+1),"OK","Comment required"),"OK")))</f>
      </c>
    </row>
    <row r="474" spans="1:10" x14ac:dyDescent="0.25">
      <c r="A474" s="1"/>
      <c r="B474" s="20"/>
      <c r="C474" s="1"/>
      <c r="D474" s="1"/>
      <c r="E474" s="1"/>
      <c r="F474" s="1"/>
      <c r="G474" s="1"/>
      <c r="H474" s="1"/>
      <c r="I474" s="1"/>
      <c r="J474" s="1">
        <f>IF($F474="","",IF($H474="","Not rated",IF(OR($H474=Lists!$B$3,$H474=Lists!$B$5),IF(AND(LEFT(SUBSTITUTE($I474," ",""),LEN($F474)+1)=$F474&amp;"-",LEN(SUBSTITUTE($I474," ",""))&gt;LEN($F474)+1),"OK","Comment required"),"OK")))</f>
      </c>
    </row>
    <row r="475" spans="1:10" x14ac:dyDescent="0.25">
      <c r="A475" s="1"/>
      <c r="B475" s="20"/>
      <c r="C475" s="1"/>
      <c r="D475" s="1"/>
      <c r="E475" s="1"/>
      <c r="F475" s="1"/>
      <c r="G475" s="1"/>
      <c r="H475" s="1"/>
      <c r="I475" s="1"/>
      <c r="J475" s="1">
        <f>IF($F475="","",IF($H475="","Not rated",IF(OR($H475=Lists!$B$3,$H475=Lists!$B$5),IF(AND(LEFT(SUBSTITUTE($I475," ",""),LEN($F475)+1)=$F475&amp;"-",LEN(SUBSTITUTE($I475," ",""))&gt;LEN($F475)+1),"OK","Comment required"),"OK")))</f>
      </c>
    </row>
    <row r="476" spans="1:10" x14ac:dyDescent="0.25">
      <c r="A476" s="1"/>
      <c r="B476" s="20"/>
      <c r="C476" s="1"/>
      <c r="D476" s="1"/>
      <c r="E476" s="1"/>
      <c r="F476" s="1"/>
      <c r="G476" s="1"/>
      <c r="H476" s="1"/>
      <c r="I476" s="1"/>
      <c r="J476" s="1">
        <f>IF($F476="","",IF($H476="","Not rated",IF(OR($H476=Lists!$B$3,$H476=Lists!$B$5),IF(AND(LEFT(SUBSTITUTE($I476," ",""),LEN($F476)+1)=$F476&amp;"-",LEN(SUBSTITUTE($I476," ",""))&gt;LEN($F476)+1),"OK","Comment required"),"OK")))</f>
      </c>
    </row>
    <row r="477" spans="1:10" x14ac:dyDescent="0.25">
      <c r="A477" s="1"/>
      <c r="B477" s="20"/>
      <c r="C477" s="1"/>
      <c r="D477" s="1"/>
      <c r="E477" s="1"/>
      <c r="F477" s="1"/>
      <c r="G477" s="1"/>
      <c r="H477" s="1"/>
      <c r="I477" s="1"/>
      <c r="J477" s="1">
        <f>IF($F477="","",IF($H477="","Not rated",IF(OR($H477=Lists!$B$3,$H477=Lists!$B$5),IF(AND(LEFT(SUBSTITUTE($I477," ",""),LEN($F477)+1)=$F477&amp;"-",LEN(SUBSTITUTE($I477," ",""))&gt;LEN($F477)+1),"OK","Comment required"),"OK")))</f>
      </c>
    </row>
    <row r="478" spans="1:10" x14ac:dyDescent="0.25">
      <c r="A478" s="1"/>
      <c r="B478" s="20"/>
      <c r="C478" s="1"/>
      <c r="D478" s="1"/>
      <c r="E478" s="1"/>
      <c r="F478" s="1"/>
      <c r="G478" s="1"/>
      <c r="H478" s="1"/>
      <c r="I478" s="1"/>
      <c r="J478" s="1">
        <f>IF($F478="","",IF($H478="","Not rated",IF(OR($H478=Lists!$B$3,$H478=Lists!$B$5),IF(AND(LEFT(SUBSTITUTE($I478," ",""),LEN($F478)+1)=$F478&amp;"-",LEN(SUBSTITUTE($I478," ",""))&gt;LEN($F478)+1),"OK","Comment required"),"OK")))</f>
      </c>
    </row>
    <row r="479" spans="1:10" x14ac:dyDescent="0.25">
      <c r="A479" s="1"/>
      <c r="B479" s="20"/>
      <c r="C479" s="1"/>
      <c r="D479" s="1"/>
      <c r="E479" s="1"/>
      <c r="F479" s="1"/>
      <c r="G479" s="1"/>
      <c r="H479" s="1"/>
      <c r="I479" s="1"/>
      <c r="J479" s="1">
        <f>IF($F479="","",IF($H479="","Not rated",IF(OR($H479=Lists!$B$3,$H479=Lists!$B$5),IF(AND(LEFT(SUBSTITUTE($I479," ",""),LEN($F479)+1)=$F479&amp;"-",LEN(SUBSTITUTE($I479," ",""))&gt;LEN($F479)+1),"OK","Comment required"),"OK")))</f>
      </c>
    </row>
    <row r="480" spans="1:10" x14ac:dyDescent="0.25">
      <c r="A480" s="1"/>
      <c r="B480" s="20"/>
      <c r="C480" s="1"/>
      <c r="D480" s="1"/>
      <c r="E480" s="1"/>
      <c r="F480" s="1"/>
      <c r="G480" s="1"/>
      <c r="H480" s="1"/>
      <c r="I480" s="1"/>
      <c r="J480" s="1">
        <f>IF($F480="","",IF($H480="","Not rated",IF(OR($H480=Lists!$B$3,$H480=Lists!$B$5),IF(AND(LEFT(SUBSTITUTE($I480," ",""),LEN($F480)+1)=$F480&amp;"-",LEN(SUBSTITUTE($I480," ",""))&gt;LEN($F480)+1),"OK","Comment required"),"OK")))</f>
      </c>
    </row>
    <row r="481" spans="1:10" x14ac:dyDescent="0.25">
      <c r="A481" s="1"/>
      <c r="B481" s="20"/>
      <c r="C481" s="1"/>
      <c r="D481" s="1"/>
      <c r="E481" s="1"/>
      <c r="F481" s="1"/>
      <c r="G481" s="1"/>
      <c r="H481" s="1"/>
      <c r="I481" s="1"/>
      <c r="J481" s="1">
        <f>IF($F481="","",IF($H481="","Not rated",IF(OR($H481=Lists!$B$3,$H481=Lists!$B$5),IF(AND(LEFT(SUBSTITUTE($I481," ",""),LEN($F481)+1)=$F481&amp;"-",LEN(SUBSTITUTE($I481," ",""))&gt;LEN($F481)+1),"OK","Comment required"),"OK")))</f>
      </c>
    </row>
    <row r="482" spans="1:10" x14ac:dyDescent="0.25">
      <c r="A482" s="1"/>
      <c r="B482" s="20"/>
      <c r="C482" s="1"/>
      <c r="D482" s="1"/>
      <c r="E482" s="1"/>
      <c r="F482" s="1"/>
      <c r="G482" s="1"/>
      <c r="H482" s="1"/>
      <c r="I482" s="1"/>
      <c r="J482" s="1">
        <f>IF($F482="","",IF($H482="","Not rated",IF(OR($H482=Lists!$B$3,$H482=Lists!$B$5),IF(AND(LEFT(SUBSTITUTE($I482," ",""),LEN($F482)+1)=$F482&amp;"-",LEN(SUBSTITUTE($I482," ",""))&gt;LEN($F482)+1),"OK","Comment required"),"OK")))</f>
      </c>
    </row>
    <row r="483" spans="1:10" x14ac:dyDescent="0.25">
      <c r="A483" s="1"/>
      <c r="B483" s="20"/>
      <c r="C483" s="1"/>
      <c r="D483" s="1"/>
      <c r="E483" s="1"/>
      <c r="F483" s="1"/>
      <c r="G483" s="1"/>
      <c r="H483" s="1"/>
      <c r="I483" s="1"/>
      <c r="J483" s="1">
        <f>IF($F483="","",IF($H483="","Not rated",IF(OR($H483=Lists!$B$3,$H483=Lists!$B$5),IF(AND(LEFT(SUBSTITUTE($I483," ",""),LEN($F483)+1)=$F483&amp;"-",LEN(SUBSTITUTE($I483," ",""))&gt;LEN($F483)+1),"OK","Comment required"),"OK")))</f>
      </c>
    </row>
    <row r="484" spans="1:10" x14ac:dyDescent="0.25">
      <c r="A484" s="1"/>
      <c r="B484" s="20"/>
      <c r="C484" s="1"/>
      <c r="D484" s="1"/>
      <c r="E484" s="1"/>
      <c r="F484" s="1"/>
      <c r="G484" s="1"/>
      <c r="H484" s="1"/>
      <c r="I484" s="1"/>
      <c r="J484" s="1">
        <f>IF($F484="","",IF($H484="","Not rated",IF(OR($H484=Lists!$B$3,$H484=Lists!$B$5),IF(AND(LEFT(SUBSTITUTE($I484," ",""),LEN($F484)+1)=$F484&amp;"-",LEN(SUBSTITUTE($I484," ",""))&gt;LEN($F484)+1),"OK","Comment required"),"OK")))</f>
      </c>
    </row>
    <row r="485" spans="1:10" x14ac:dyDescent="0.25">
      <c r="A485" s="1"/>
      <c r="B485" s="20"/>
      <c r="C485" s="1"/>
      <c r="D485" s="1"/>
      <c r="E485" s="1"/>
      <c r="F485" s="1"/>
      <c r="G485" s="1"/>
      <c r="H485" s="1"/>
      <c r="I485" s="1"/>
      <c r="J485" s="1">
        <f>IF($F485="","",IF($H485="","Not rated",IF(OR($H485=Lists!$B$3,$H485=Lists!$B$5),IF(AND(LEFT(SUBSTITUTE($I485," ",""),LEN($F485)+1)=$F485&amp;"-",LEN(SUBSTITUTE($I485," ",""))&gt;LEN($F485)+1),"OK","Comment required"),"OK")))</f>
      </c>
    </row>
    <row r="486" spans="1:10" x14ac:dyDescent="0.25">
      <c r="A486" s="1"/>
      <c r="B486" s="20"/>
      <c r="C486" s="1"/>
      <c r="D486" s="1"/>
      <c r="E486" s="1"/>
      <c r="F486" s="1"/>
      <c r="G486" s="1"/>
      <c r="H486" s="1"/>
      <c r="I486" s="1"/>
      <c r="J486" s="1">
        <f>IF($F486="","",IF($H486="","Not rated",IF(OR($H486=Lists!$B$3,$H486=Lists!$B$5),IF(AND(LEFT(SUBSTITUTE($I486," ",""),LEN($F486)+1)=$F486&amp;"-",LEN(SUBSTITUTE($I486," ",""))&gt;LEN($F486)+1),"OK","Comment required"),"OK")))</f>
      </c>
    </row>
    <row r="487" spans="1:10" x14ac:dyDescent="0.25">
      <c r="A487" s="1"/>
      <c r="B487" s="20"/>
      <c r="C487" s="1"/>
      <c r="D487" s="1"/>
      <c r="E487" s="1"/>
      <c r="F487" s="1"/>
      <c r="G487" s="1"/>
      <c r="H487" s="1"/>
      <c r="I487" s="1"/>
      <c r="J487" s="1">
        <f>IF($F487="","",IF($H487="","Not rated",IF(OR($H487=Lists!$B$3,$H487=Lists!$B$5),IF(AND(LEFT(SUBSTITUTE($I487," ",""),LEN($F487)+1)=$F487&amp;"-",LEN(SUBSTITUTE($I487," ",""))&gt;LEN($F487)+1),"OK","Comment required"),"OK")))</f>
      </c>
    </row>
    <row r="488" spans="1:10" x14ac:dyDescent="0.25">
      <c r="A488" s="1"/>
      <c r="B488" s="20"/>
      <c r="C488" s="1"/>
      <c r="D488" s="1"/>
      <c r="E488" s="1"/>
      <c r="F488" s="1"/>
      <c r="G488" s="1"/>
      <c r="H488" s="1"/>
      <c r="I488" s="1"/>
      <c r="J488" s="1">
        <f>IF($F488="","",IF($H488="","Not rated",IF(OR($H488=Lists!$B$3,$H488=Lists!$B$5),IF(AND(LEFT(SUBSTITUTE($I488," ",""),LEN($F488)+1)=$F488&amp;"-",LEN(SUBSTITUTE($I488," ",""))&gt;LEN($F488)+1),"OK","Comment required"),"OK")))</f>
      </c>
    </row>
    <row r="489" spans="1:10" x14ac:dyDescent="0.25">
      <c r="A489" s="1"/>
      <c r="B489" s="20"/>
      <c r="C489" s="1"/>
      <c r="D489" s="1"/>
      <c r="E489" s="1"/>
      <c r="F489" s="1"/>
      <c r="G489" s="1"/>
      <c r="H489" s="1"/>
      <c r="I489" s="1"/>
      <c r="J489" s="1">
        <f>IF($F489="","",IF($H489="","Not rated",IF(OR($H489=Lists!$B$3,$H489=Lists!$B$5),IF(AND(LEFT(SUBSTITUTE($I489," ",""),LEN($F489)+1)=$F489&amp;"-",LEN(SUBSTITUTE($I489," ",""))&gt;LEN($F489)+1),"OK","Comment required"),"OK")))</f>
      </c>
    </row>
    <row r="490" spans="1:10" x14ac:dyDescent="0.25">
      <c r="A490" s="1"/>
      <c r="B490" s="20"/>
      <c r="C490" s="1"/>
      <c r="D490" s="1"/>
      <c r="E490" s="1"/>
      <c r="F490" s="1"/>
      <c r="G490" s="1"/>
      <c r="H490" s="1"/>
      <c r="I490" s="1"/>
      <c r="J490" s="1">
        <f>IF($F490="","",IF($H490="","Not rated",IF(OR($H490=Lists!$B$3,$H490=Lists!$B$5),IF(AND(LEFT(SUBSTITUTE($I490," ",""),LEN($F490)+1)=$F490&amp;"-",LEN(SUBSTITUTE($I490," ",""))&gt;LEN($F490)+1),"OK","Comment required"),"OK")))</f>
      </c>
    </row>
    <row r="491" spans="1:10" x14ac:dyDescent="0.25">
      <c r="A491" s="1"/>
      <c r="B491" s="20"/>
      <c r="C491" s="1"/>
      <c r="D491" s="1"/>
      <c r="E491" s="1"/>
      <c r="F491" s="1"/>
      <c r="G491" s="1"/>
      <c r="H491" s="1"/>
      <c r="I491" s="1"/>
      <c r="J491" s="1">
        <f>IF($F491="","",IF($H491="","Not rated",IF(OR($H491=Lists!$B$3,$H491=Lists!$B$5),IF(AND(LEFT(SUBSTITUTE($I491," ",""),LEN($F491)+1)=$F491&amp;"-",LEN(SUBSTITUTE($I491," ",""))&gt;LEN($F491)+1),"OK","Comment required"),"OK")))</f>
      </c>
    </row>
    <row r="492" spans="1:10" x14ac:dyDescent="0.25">
      <c r="A492" s="1"/>
      <c r="B492" s="20"/>
      <c r="C492" s="1"/>
      <c r="D492" s="1"/>
      <c r="E492" s="1"/>
      <c r="F492" s="1"/>
      <c r="G492" s="1"/>
      <c r="H492" s="1"/>
      <c r="I492" s="1"/>
      <c r="J492" s="1">
        <f>IF($F492="","",IF($H492="","Not rated",IF(OR($H492=Lists!$B$3,$H492=Lists!$B$5),IF(AND(LEFT(SUBSTITUTE($I492," ",""),LEN($F492)+1)=$F492&amp;"-",LEN(SUBSTITUTE($I492," ",""))&gt;LEN($F492)+1),"OK","Comment required"),"OK")))</f>
      </c>
    </row>
    <row r="493" spans="1:10" x14ac:dyDescent="0.25">
      <c r="A493" s="1"/>
      <c r="B493" s="20"/>
      <c r="C493" s="1"/>
      <c r="D493" s="1"/>
      <c r="E493" s="1"/>
      <c r="F493" s="1"/>
      <c r="G493" s="1"/>
      <c r="H493" s="1"/>
      <c r="I493" s="1"/>
      <c r="J493" s="1">
        <f>IF($F493="","",IF($H493="","Not rated",IF(OR($H493=Lists!$B$3,$H493=Lists!$B$5),IF(AND(LEFT(SUBSTITUTE($I493," ",""),LEN($F493)+1)=$F493&amp;"-",LEN(SUBSTITUTE($I493," ",""))&gt;LEN($F493)+1),"OK","Comment required"),"OK")))</f>
      </c>
    </row>
    <row r="494" spans="1:10" x14ac:dyDescent="0.25">
      <c r="A494" s="1"/>
      <c r="B494" s="20"/>
      <c r="C494" s="1"/>
      <c r="D494" s="1"/>
      <c r="E494" s="1"/>
      <c r="F494" s="1"/>
      <c r="G494" s="1"/>
      <c r="H494" s="1"/>
      <c r="I494" s="1"/>
      <c r="J494" s="1">
        <f>IF($F494="","",IF($H494="","Not rated",IF(OR($H494=Lists!$B$3,$H494=Lists!$B$5),IF(AND(LEFT(SUBSTITUTE($I494," ",""),LEN($F494)+1)=$F494&amp;"-",LEN(SUBSTITUTE($I494," ",""))&gt;LEN($F494)+1),"OK","Comment required"),"OK")))</f>
      </c>
    </row>
    <row r="495" spans="1:10" x14ac:dyDescent="0.25">
      <c r="A495" s="1"/>
      <c r="B495" s="20"/>
      <c r="C495" s="1"/>
      <c r="D495" s="1"/>
      <c r="E495" s="1"/>
      <c r="F495" s="1"/>
      <c r="G495" s="1"/>
      <c r="H495" s="1"/>
      <c r="I495" s="1"/>
      <c r="J495" s="1">
        <f>IF($F495="","",IF($H495="","Not rated",IF(OR($H495=Lists!$B$3,$H495=Lists!$B$5),IF(AND(LEFT(SUBSTITUTE($I495," ",""),LEN($F495)+1)=$F495&amp;"-",LEN(SUBSTITUTE($I495," ",""))&gt;LEN($F495)+1),"OK","Comment required"),"OK")))</f>
      </c>
    </row>
    <row r="496" spans="1:10" x14ac:dyDescent="0.25">
      <c r="A496" s="1"/>
      <c r="B496" s="20"/>
      <c r="C496" s="1"/>
      <c r="D496" s="1"/>
      <c r="E496" s="1"/>
      <c r="F496" s="1"/>
      <c r="G496" s="1"/>
      <c r="H496" s="1"/>
      <c r="I496" s="1"/>
      <c r="J496" s="1">
        <f>IF($F496="","",IF($H496="","Not rated",IF(OR($H496=Lists!$B$3,$H496=Lists!$B$5),IF(AND(LEFT(SUBSTITUTE($I496," ",""),LEN($F496)+1)=$F496&amp;"-",LEN(SUBSTITUTE($I496," ",""))&gt;LEN($F496)+1),"OK","Comment required"),"OK")))</f>
      </c>
    </row>
    <row r="497" spans="1:10" x14ac:dyDescent="0.25">
      <c r="A497" s="1"/>
      <c r="B497" s="20"/>
      <c r="C497" s="1"/>
      <c r="D497" s="1"/>
      <c r="E497" s="1"/>
      <c r="F497" s="1"/>
      <c r="G497" s="1"/>
      <c r="H497" s="1"/>
      <c r="I497" s="1"/>
      <c r="J497" s="1">
        <f>IF($F497="","",IF($H497="","Not rated",IF(OR($H497=Lists!$B$3,$H497=Lists!$B$5),IF(AND(LEFT(SUBSTITUTE($I497," ",""),LEN($F497)+1)=$F497&amp;"-",LEN(SUBSTITUTE($I497," ",""))&gt;LEN($F497)+1),"OK","Comment required"),"OK")))</f>
      </c>
    </row>
    <row r="498" spans="1:10" x14ac:dyDescent="0.25">
      <c r="A498" s="1"/>
      <c r="B498" s="20"/>
      <c r="C498" s="1"/>
      <c r="D498" s="1"/>
      <c r="E498" s="1"/>
      <c r="F498" s="1"/>
      <c r="G498" s="1"/>
      <c r="H498" s="1"/>
      <c r="I498" s="1"/>
      <c r="J498" s="1">
        <f>IF($F498="","",IF($H498="","Not rated",IF(OR($H498=Lists!$B$3,$H498=Lists!$B$5),IF(AND(LEFT(SUBSTITUTE($I498," ",""),LEN($F498)+1)=$F498&amp;"-",LEN(SUBSTITUTE($I498," ",""))&gt;LEN($F498)+1),"OK","Comment required"),"OK")))</f>
      </c>
    </row>
    <row r="499" spans="1:10" x14ac:dyDescent="0.25">
      <c r="A499" s="1"/>
      <c r="B499" s="20"/>
      <c r="C499" s="1"/>
      <c r="D499" s="1"/>
      <c r="E499" s="1"/>
      <c r="F499" s="1"/>
      <c r="G499" s="1"/>
      <c r="H499" s="1"/>
      <c r="I499" s="1"/>
      <c r="J499" s="1">
        <f>IF($F499="","",IF($H499="","Not rated",IF(OR($H499=Lists!$B$3,$H499=Lists!$B$5),IF(AND(LEFT(SUBSTITUTE($I499," ",""),LEN($F499)+1)=$F499&amp;"-",LEN(SUBSTITUTE($I499," ",""))&gt;LEN($F499)+1),"OK","Comment required"),"OK")))</f>
      </c>
    </row>
    <row r="500" spans="1:10" x14ac:dyDescent="0.25">
      <c r="A500" s="1"/>
      <c r="B500" s="20"/>
      <c r="C500" s="1"/>
      <c r="D500" s="1"/>
      <c r="E500" s="1"/>
      <c r="F500" s="1"/>
      <c r="G500" s="1"/>
      <c r="H500" s="1"/>
      <c r="I500" s="1"/>
      <c r="J500" s="1">
        <f>IF($F500="","",IF($H500="","Not rated",IF(OR($H500=Lists!$B$3,$H500=Lists!$B$5),IF(AND(LEFT(SUBSTITUTE($I500," ",""),LEN($F500)+1)=$F500&amp;"-",LEN(SUBSTITUTE($I500," ",""))&gt;LEN($F500)+1),"OK","Comment required"),"OK")))</f>
      </c>
    </row>
    <row r="501" spans="1:10" x14ac:dyDescent="0.25">
      <c r="A501" s="1"/>
      <c r="B501" s="20"/>
      <c r="C501" s="1"/>
      <c r="D501" s="1"/>
      <c r="E501" s="1"/>
      <c r="F501" s="1"/>
      <c r="G501" s="1"/>
      <c r="H501" s="1"/>
      <c r="I501" s="1"/>
      <c r="J501" s="1">
        <f>IF($F501="","",IF($H501="","Not rated",IF(OR($H501=Lists!$B$3,$H501=Lists!$B$5),IF(AND(LEFT(SUBSTITUTE($I501," ",""),LEN($F501)+1)=$F501&amp;"-",LEN(SUBSTITUTE($I501," ",""))&gt;LEN($F501)+1),"OK","Comment required"),"OK")))</f>
      </c>
    </row>
    <row r="502" spans="1:10" x14ac:dyDescent="0.25">
      <c r="A502" s="1"/>
      <c r="B502" s="20"/>
      <c r="C502" s="1"/>
      <c r="D502" s="1"/>
      <c r="E502" s="1"/>
      <c r="F502" s="1"/>
      <c r="G502" s="1"/>
      <c r="H502" s="1"/>
      <c r="I502" s="1"/>
      <c r="J502" s="1">
        <f>IF($F502="","",IF($H502="","Not rated",IF(OR($H502=Lists!$B$3,$H502=Lists!$B$5),IF(AND(LEFT(SUBSTITUTE($I502," ",""),LEN($F502)+1)=$F502&amp;"-",LEN(SUBSTITUTE($I502," ",""))&gt;LEN($F502)+1),"OK","Comment required"),"OK")))</f>
      </c>
    </row>
    <row r="503" spans="1:10" x14ac:dyDescent="0.25">
      <c r="A503" s="1"/>
      <c r="B503" s="20"/>
      <c r="C503" s="1"/>
      <c r="D503" s="1"/>
      <c r="E503" s="1"/>
      <c r="F503" s="1"/>
      <c r="G503" s="1"/>
      <c r="H503" s="1"/>
      <c r="I503" s="1"/>
      <c r="J503" s="1">
        <f>IF($F503="","",IF($H503="","Not rated",IF(OR($H503=Lists!$B$3,$H503=Lists!$B$5),IF(AND(LEFT(SUBSTITUTE($I503," ",""),LEN($F503)+1)=$F503&amp;"-",LEN(SUBSTITUTE($I503," ",""))&gt;LEN($F503)+1),"OK","Comment required"),"OK")))</f>
      </c>
    </row>
    <row r="504" spans="1:10" x14ac:dyDescent="0.25">
      <c r="A504" s="1"/>
      <c r="B504" s="20"/>
      <c r="C504" s="1"/>
      <c r="D504" s="1"/>
      <c r="E504" s="1"/>
      <c r="F504" s="1"/>
      <c r="G504" s="1"/>
      <c r="H504" s="1"/>
      <c r="I504" s="1"/>
      <c r="J504" s="1">
        <f>IF($F504="","",IF($H504="","Not rated",IF(OR($H504=Lists!$B$3,$H504=Lists!$B$5),IF(AND(LEFT(SUBSTITUTE($I504," ",""),LEN($F504)+1)=$F504&amp;"-",LEN(SUBSTITUTE($I504," ",""))&gt;LEN($F504)+1),"OK","Comment required"),"OK")))</f>
      </c>
    </row>
    <row r="505" spans="1:10" x14ac:dyDescent="0.25">
      <c r="A505" s="1"/>
      <c r="B505" s="20"/>
      <c r="C505" s="1"/>
      <c r="D505" s="1"/>
      <c r="E505" s="1"/>
      <c r="F505" s="1"/>
      <c r="G505" s="1"/>
      <c r="H505" s="1"/>
      <c r="I505" s="1"/>
      <c r="J505" s="1">
        <f>IF($F505="","",IF($H505="","Not rated",IF(OR($H505=Lists!$B$3,$H505=Lists!$B$5),IF(AND(LEFT(SUBSTITUTE($I505," ",""),LEN($F505)+1)=$F505&amp;"-",LEN(SUBSTITUTE($I505," ",""))&gt;LEN($F505)+1),"OK","Comment required"),"OK")))</f>
      </c>
    </row>
    <row r="506" spans="1:10" x14ac:dyDescent="0.25">
      <c r="A506" s="1"/>
      <c r="B506" s="20"/>
      <c r="C506" s="1"/>
      <c r="D506" s="1"/>
      <c r="E506" s="1"/>
      <c r="F506" s="1"/>
      <c r="G506" s="1"/>
      <c r="H506" s="1"/>
      <c r="I506" s="1"/>
      <c r="J506" s="1">
        <f>IF($F506="","",IF($H506="","Not rated",IF(OR($H506=Lists!$B$3,$H506=Lists!$B$5),IF(AND(LEFT(SUBSTITUTE($I506," ",""),LEN($F506)+1)=$F506&amp;"-",LEN(SUBSTITUTE($I506," ",""))&gt;LEN($F506)+1),"OK","Comment required"),"OK")))</f>
      </c>
    </row>
    <row r="507" spans="1:10" x14ac:dyDescent="0.25">
      <c r="A507" s="1"/>
      <c r="B507" s="20"/>
      <c r="C507" s="1"/>
      <c r="D507" s="1"/>
      <c r="E507" s="1"/>
      <c r="F507" s="1"/>
      <c r="G507" s="1"/>
      <c r="H507" s="1"/>
      <c r="I507" s="1"/>
      <c r="J507" s="1">
        <f>IF($F507="","",IF($H507="","Not rated",IF(OR($H507=Lists!$B$3,$H507=Lists!$B$5),IF(AND(LEFT(SUBSTITUTE($I507," ",""),LEN($F507)+1)=$F507&amp;"-",LEN(SUBSTITUTE($I507," ",""))&gt;LEN($F507)+1),"OK","Comment required"),"OK")))</f>
      </c>
    </row>
    <row r="508" spans="1:10" x14ac:dyDescent="0.25">
      <c r="A508" s="1"/>
      <c r="B508" s="20"/>
      <c r="C508" s="1"/>
      <c r="D508" s="1"/>
      <c r="E508" s="1"/>
      <c r="F508" s="1"/>
      <c r="G508" s="1"/>
      <c r="H508" s="1"/>
      <c r="I508" s="1"/>
      <c r="J508" s="1">
        <f>IF($F508="","",IF($H508="","Not rated",IF(OR($H508=Lists!$B$3,$H508=Lists!$B$5),IF(AND(LEFT(SUBSTITUTE($I508," ",""),LEN($F508)+1)=$F508&amp;"-",LEN(SUBSTITUTE($I508," ",""))&gt;LEN($F508)+1),"OK","Comment required"),"OK")))</f>
      </c>
    </row>
    <row r="509" spans="1:10" x14ac:dyDescent="0.25">
      <c r="A509" s="1"/>
      <c r="B509" s="20"/>
      <c r="C509" s="1"/>
      <c r="D509" s="1"/>
      <c r="E509" s="1"/>
      <c r="F509" s="1"/>
      <c r="G509" s="1"/>
      <c r="H509" s="1"/>
      <c r="I509" s="1"/>
      <c r="J509" s="1">
        <f>IF($F509="","",IF($H509="","Not rated",IF(OR($H509=Lists!$B$3,$H509=Lists!$B$5),IF(AND(LEFT(SUBSTITUTE($I509," ",""),LEN($F509)+1)=$F509&amp;"-",LEN(SUBSTITUTE($I509," ",""))&gt;LEN($F509)+1),"OK","Comment required"),"OK")))</f>
      </c>
    </row>
    <row r="510" spans="1:10" x14ac:dyDescent="0.25">
      <c r="A510" s="1"/>
      <c r="B510" s="20"/>
      <c r="C510" s="1"/>
      <c r="D510" s="1"/>
      <c r="E510" s="1"/>
      <c r="F510" s="1"/>
      <c r="G510" s="1"/>
      <c r="H510" s="1"/>
      <c r="I510" s="1"/>
      <c r="J510" s="1">
        <f>IF($F510="","",IF($H510="","Not rated",IF(OR($H510=Lists!$B$3,$H510=Lists!$B$5),IF(AND(LEFT(SUBSTITUTE($I510," ",""),LEN($F510)+1)=$F510&amp;"-",LEN(SUBSTITUTE($I510," ",""))&gt;LEN($F510)+1),"OK","Comment required"),"OK")))</f>
      </c>
    </row>
    <row r="511" spans="1:10" x14ac:dyDescent="0.25">
      <c r="A511" s="1"/>
      <c r="B511" s="20"/>
      <c r="C511" s="1"/>
      <c r="D511" s="1"/>
      <c r="E511" s="1"/>
      <c r="F511" s="1"/>
      <c r="G511" s="1"/>
      <c r="H511" s="1"/>
      <c r="I511" s="1"/>
      <c r="J511" s="1">
        <f>IF($F511="","",IF($H511="","Not rated",IF(OR($H511=Lists!$B$3,$H511=Lists!$B$5),IF(AND(LEFT(SUBSTITUTE($I511," ",""),LEN($F511)+1)=$F511&amp;"-",LEN(SUBSTITUTE($I511," ",""))&gt;LEN($F511)+1),"OK","Comment required"),"OK")))</f>
      </c>
    </row>
    <row r="512" spans="1:10" x14ac:dyDescent="0.25">
      <c r="A512" s="1"/>
      <c r="B512" s="20"/>
      <c r="C512" s="1"/>
      <c r="D512" s="1"/>
      <c r="E512" s="1"/>
      <c r="F512" s="1"/>
      <c r="G512" s="1"/>
      <c r="H512" s="1"/>
      <c r="I512" s="1"/>
      <c r="J512" s="1">
        <f>IF($F512="","",IF($H512="","Not rated",IF(OR($H512=Lists!$B$3,$H512=Lists!$B$5),IF(AND(LEFT(SUBSTITUTE($I512," ",""),LEN($F512)+1)=$F512&amp;"-",LEN(SUBSTITUTE($I512," ",""))&gt;LEN($F512)+1),"OK","Comment required"),"OK")))</f>
      </c>
    </row>
    <row r="513" spans="1:10" x14ac:dyDescent="0.25">
      <c r="A513" s="1"/>
      <c r="B513" s="20"/>
      <c r="C513" s="1"/>
      <c r="D513" s="1"/>
      <c r="E513" s="1"/>
      <c r="F513" s="1"/>
      <c r="G513" s="1"/>
      <c r="H513" s="1"/>
      <c r="I513" s="1"/>
      <c r="J513" s="1">
        <f>IF($F513="","",IF($H513="","Not rated",IF(OR($H513=Lists!$B$3,$H513=Lists!$B$5),IF(AND(LEFT(SUBSTITUTE($I513," ",""),LEN($F513)+1)=$F513&amp;"-",LEN(SUBSTITUTE($I513," ",""))&gt;LEN($F513)+1),"OK","Comment required"),"OK")))</f>
      </c>
    </row>
    <row r="514" spans="1:10" x14ac:dyDescent="0.25">
      <c r="A514" s="1"/>
      <c r="B514" s="20"/>
      <c r="C514" s="1"/>
      <c r="D514" s="1"/>
      <c r="E514" s="1"/>
      <c r="F514" s="1"/>
      <c r="G514" s="1"/>
      <c r="H514" s="1"/>
      <c r="I514" s="1"/>
      <c r="J514" s="1">
        <f>IF($F514="","",IF($H514="","Not rated",IF(OR($H514=Lists!$B$3,$H514=Lists!$B$5),IF(AND(LEFT(SUBSTITUTE($I514," ",""),LEN($F514)+1)=$F514&amp;"-",LEN(SUBSTITUTE($I514," ",""))&gt;LEN($F514)+1),"OK","Comment required"),"OK")))</f>
      </c>
    </row>
    <row r="515" spans="1:10" x14ac:dyDescent="0.25">
      <c r="A515" s="1"/>
      <c r="B515" s="20"/>
      <c r="C515" s="1"/>
      <c r="D515" s="1"/>
      <c r="E515" s="1"/>
      <c r="F515" s="1"/>
      <c r="G515" s="1"/>
      <c r="H515" s="1"/>
      <c r="I515" s="1"/>
      <c r="J515" s="1">
        <f>IF($F515="","",IF($H515="","Not rated",IF(OR($H515=Lists!$B$3,$H515=Lists!$B$5),IF(AND(LEFT(SUBSTITUTE($I515," ",""),LEN($F515)+1)=$F515&amp;"-",LEN(SUBSTITUTE($I515," ",""))&gt;LEN($F515)+1),"OK","Comment required"),"OK")))</f>
      </c>
    </row>
    <row r="516" spans="1:10" x14ac:dyDescent="0.25">
      <c r="A516" s="1"/>
      <c r="B516" s="20"/>
      <c r="C516" s="1"/>
      <c r="D516" s="1"/>
      <c r="E516" s="1"/>
      <c r="F516" s="1"/>
      <c r="G516" s="1"/>
      <c r="H516" s="1"/>
      <c r="I516" s="1"/>
      <c r="J516" s="1">
        <f>IF($F516="","",IF($H516="","Not rated",IF(OR($H516=Lists!$B$3,$H516=Lists!$B$5),IF(AND(LEFT(SUBSTITUTE($I516," ",""),LEN($F516)+1)=$F516&amp;"-",LEN(SUBSTITUTE($I516," ",""))&gt;LEN($F516)+1),"OK","Comment required"),"OK")))</f>
      </c>
    </row>
    <row r="517" spans="1:10" x14ac:dyDescent="0.25">
      <c r="A517" s="1"/>
      <c r="B517" s="20"/>
      <c r="C517" s="1"/>
      <c r="D517" s="1"/>
      <c r="E517" s="1"/>
      <c r="F517" s="1"/>
      <c r="G517" s="1"/>
      <c r="H517" s="1"/>
      <c r="I517" s="1"/>
      <c r="J517" s="1">
        <f>IF($F517="","",IF($H517="","Not rated",IF(OR($H517=Lists!$B$3,$H517=Lists!$B$5),IF(AND(LEFT(SUBSTITUTE($I517," ",""),LEN($F517)+1)=$F517&amp;"-",LEN(SUBSTITUTE($I517," ",""))&gt;LEN($F517)+1),"OK","Comment required"),"OK")))</f>
      </c>
    </row>
    <row r="518" spans="1:10" x14ac:dyDescent="0.25">
      <c r="A518" s="1"/>
      <c r="B518" s="20"/>
      <c r="C518" s="1"/>
      <c r="D518" s="1"/>
      <c r="E518" s="1"/>
      <c r="F518" s="1"/>
      <c r="G518" s="1"/>
      <c r="H518" s="1"/>
      <c r="I518" s="1"/>
      <c r="J518" s="1">
        <f>IF($F518="","",IF($H518="","Not rated",IF(OR($H518=Lists!$B$3,$H518=Lists!$B$5),IF(AND(LEFT(SUBSTITUTE($I518," ",""),LEN($F518)+1)=$F518&amp;"-",LEN(SUBSTITUTE($I518," ",""))&gt;LEN($F518)+1),"OK","Comment required"),"OK")))</f>
      </c>
    </row>
    <row r="519" spans="1:10" x14ac:dyDescent="0.25">
      <c r="A519" s="1"/>
      <c r="B519" s="20"/>
      <c r="C519" s="1"/>
      <c r="D519" s="1"/>
      <c r="E519" s="1"/>
      <c r="F519" s="1"/>
      <c r="G519" s="1"/>
      <c r="H519" s="1"/>
      <c r="I519" s="1"/>
      <c r="J519" s="1">
        <f>IF($F519="","",IF($H519="","Not rated",IF(OR($H519=Lists!$B$3,$H519=Lists!$B$5),IF(AND(LEFT(SUBSTITUTE($I519," ",""),LEN($F519)+1)=$F519&amp;"-",LEN(SUBSTITUTE($I519," ",""))&gt;LEN($F519)+1),"OK","Comment required"),"OK")))</f>
      </c>
    </row>
    <row r="520" spans="1:10" x14ac:dyDescent="0.25">
      <c r="A520" s="1"/>
      <c r="B520" s="20"/>
      <c r="C520" s="1"/>
      <c r="D520" s="1"/>
      <c r="E520" s="1"/>
      <c r="F520" s="1"/>
      <c r="G520" s="1"/>
      <c r="H520" s="1"/>
      <c r="I520" s="1"/>
      <c r="J520" s="1">
        <f>IF($F520="","",IF($H520="","Not rated",IF(OR($H520=Lists!$B$3,$H520=Lists!$B$5),IF(AND(LEFT(SUBSTITUTE($I520," ",""),LEN($F520)+1)=$F520&amp;"-",LEN(SUBSTITUTE($I520," ",""))&gt;LEN($F520)+1),"OK","Comment required"),"OK")))</f>
      </c>
    </row>
    <row r="521" spans="1:10" x14ac:dyDescent="0.25">
      <c r="A521" s="1"/>
      <c r="B521" s="20"/>
      <c r="C521" s="1"/>
      <c r="D521" s="1"/>
      <c r="E521" s="1"/>
      <c r="F521" s="1"/>
      <c r="G521" s="1"/>
      <c r="H521" s="1"/>
      <c r="I521" s="1"/>
      <c r="J521" s="1">
        <f>IF($F521="","",IF($H521="","Not rated",IF(OR($H521=Lists!$B$3,$H521=Lists!$B$5),IF(AND(LEFT(SUBSTITUTE($I521," ",""),LEN($F521)+1)=$F521&amp;"-",LEN(SUBSTITUTE($I521," ",""))&gt;LEN($F521)+1),"OK","Comment required"),"OK")))</f>
      </c>
    </row>
    <row r="522" spans="1:10" x14ac:dyDescent="0.25">
      <c r="A522" s="1"/>
      <c r="B522" s="20"/>
      <c r="C522" s="1"/>
      <c r="D522" s="1"/>
      <c r="E522" s="1"/>
      <c r="F522" s="1"/>
      <c r="G522" s="1"/>
      <c r="H522" s="1"/>
      <c r="I522" s="1"/>
      <c r="J522" s="1">
        <f>IF($F522="","",IF($H522="","Not rated",IF(OR($H522=Lists!$B$3,$H522=Lists!$B$5),IF(AND(LEFT(SUBSTITUTE($I522," ",""),LEN($F522)+1)=$F522&amp;"-",LEN(SUBSTITUTE($I522," ",""))&gt;LEN($F522)+1),"OK","Comment required"),"OK")))</f>
      </c>
    </row>
    <row r="523" spans="1:10" x14ac:dyDescent="0.25">
      <c r="A523" s="1"/>
      <c r="B523" s="20"/>
      <c r="C523" s="1"/>
      <c r="D523" s="1"/>
      <c r="E523" s="1"/>
      <c r="F523" s="1"/>
      <c r="G523" s="1"/>
      <c r="H523" s="1"/>
      <c r="I523" s="1"/>
      <c r="J523" s="1">
        <f>IF($F523="","",IF($H523="","Not rated",IF(OR($H523=Lists!$B$3,$H523=Lists!$B$5),IF(AND(LEFT(SUBSTITUTE($I523," ",""),LEN($F523)+1)=$F523&amp;"-",LEN(SUBSTITUTE($I523," ",""))&gt;LEN($F523)+1),"OK","Comment required"),"OK")))</f>
      </c>
    </row>
    <row r="524" spans="1:10" x14ac:dyDescent="0.25">
      <c r="A524" s="1"/>
      <c r="B524" s="20"/>
      <c r="C524" s="1"/>
      <c r="D524" s="1"/>
      <c r="E524" s="1"/>
      <c r="F524" s="1"/>
      <c r="G524" s="1"/>
      <c r="H524" s="1"/>
      <c r="I524" s="1"/>
      <c r="J524" s="1">
        <f>IF($F524="","",IF($H524="","Not rated",IF(OR($H524=Lists!$B$3,$H524=Lists!$B$5),IF(AND(LEFT(SUBSTITUTE($I524," ",""),LEN($F524)+1)=$F524&amp;"-",LEN(SUBSTITUTE($I524," ",""))&gt;LEN($F524)+1),"OK","Comment required"),"OK")))</f>
      </c>
    </row>
    <row r="525" spans="1:10" x14ac:dyDescent="0.25">
      <c r="A525" s="1"/>
      <c r="B525" s="20"/>
      <c r="C525" s="1"/>
      <c r="D525" s="1"/>
      <c r="E525" s="1"/>
      <c r="F525" s="1"/>
      <c r="G525" s="1"/>
      <c r="H525" s="1"/>
      <c r="I525" s="1"/>
      <c r="J525" s="1">
        <f>IF($F525="","",IF($H525="","Not rated",IF(OR($H525=Lists!$B$3,$H525=Lists!$B$5),IF(AND(LEFT(SUBSTITUTE($I525," ",""),LEN($F525)+1)=$F525&amp;"-",LEN(SUBSTITUTE($I525," ",""))&gt;LEN($F525)+1),"OK","Comment required"),"OK")))</f>
      </c>
    </row>
    <row r="526" spans="1:10" x14ac:dyDescent="0.25">
      <c r="A526" s="1"/>
      <c r="B526" s="20"/>
      <c r="C526" s="1"/>
      <c r="D526" s="1"/>
      <c r="E526" s="1"/>
      <c r="F526" s="1"/>
      <c r="G526" s="1"/>
      <c r="H526" s="1"/>
      <c r="I526" s="1"/>
      <c r="J526" s="1">
        <f>IF($F526="","",IF($H526="","Not rated",IF(OR($H526=Lists!$B$3,$H526=Lists!$B$5),IF(AND(LEFT(SUBSTITUTE($I526," ",""),LEN($F526)+1)=$F526&amp;"-",LEN(SUBSTITUTE($I526," ",""))&gt;LEN($F526)+1),"OK","Comment required"),"OK")))</f>
      </c>
    </row>
    <row r="527" spans="1:10" x14ac:dyDescent="0.25">
      <c r="A527" s="1"/>
      <c r="B527" s="20"/>
      <c r="C527" s="1"/>
      <c r="D527" s="1"/>
      <c r="E527" s="1"/>
      <c r="F527" s="1"/>
      <c r="G527" s="1"/>
      <c r="H527" s="1"/>
      <c r="I527" s="1"/>
      <c r="J527" s="1">
        <f>IF($F527="","",IF($H527="","Not rated",IF(OR($H527=Lists!$B$3,$H527=Lists!$B$5),IF(AND(LEFT(SUBSTITUTE($I527," ",""),LEN($F527)+1)=$F527&amp;"-",LEN(SUBSTITUTE($I527," ",""))&gt;LEN($F527)+1),"OK","Comment required"),"OK")))</f>
      </c>
    </row>
    <row r="528" spans="1:10" x14ac:dyDescent="0.25">
      <c r="A528" s="1"/>
      <c r="B528" s="20"/>
      <c r="C528" s="1"/>
      <c r="D528" s="1"/>
      <c r="E528" s="1"/>
      <c r="F528" s="1"/>
      <c r="G528" s="1"/>
      <c r="H528" s="1"/>
      <c r="I528" s="1"/>
      <c r="J528" s="1">
        <f>IF($F528="","",IF($H528="","Not rated",IF(OR($H528=Lists!$B$3,$H528=Lists!$B$5),IF(AND(LEFT(SUBSTITUTE($I528," ",""),LEN($F528)+1)=$F528&amp;"-",LEN(SUBSTITUTE($I528," ",""))&gt;LEN($F528)+1),"OK","Comment required"),"OK")))</f>
      </c>
    </row>
    <row r="529" spans="1:10" x14ac:dyDescent="0.25">
      <c r="A529" s="1"/>
      <c r="B529" s="20"/>
      <c r="C529" s="1"/>
      <c r="D529" s="1"/>
      <c r="E529" s="1"/>
      <c r="F529" s="1"/>
      <c r="G529" s="1"/>
      <c r="H529" s="1"/>
      <c r="I529" s="1"/>
      <c r="J529" s="1">
        <f>IF($F529="","",IF($H529="","Not rated",IF(OR($H529=Lists!$B$3,$H529=Lists!$B$5),IF(AND(LEFT(SUBSTITUTE($I529," ",""),LEN($F529)+1)=$F529&amp;"-",LEN(SUBSTITUTE($I529," ",""))&gt;LEN($F529)+1),"OK","Comment required"),"OK")))</f>
      </c>
    </row>
    <row r="530" spans="1:10" x14ac:dyDescent="0.25">
      <c r="A530" s="1"/>
      <c r="B530" s="20"/>
      <c r="C530" s="1"/>
      <c r="D530" s="1"/>
      <c r="E530" s="1"/>
      <c r="F530" s="1"/>
      <c r="G530" s="1"/>
      <c r="H530" s="1"/>
      <c r="I530" s="1"/>
      <c r="J530" s="1">
        <f>IF($F530="","",IF($H530="","Not rated",IF(OR($H530=Lists!$B$3,$H530=Lists!$B$5),IF(AND(LEFT(SUBSTITUTE($I530," ",""),LEN($F530)+1)=$F530&amp;"-",LEN(SUBSTITUTE($I530," ",""))&gt;LEN($F530)+1),"OK","Comment required"),"OK")))</f>
      </c>
    </row>
    <row r="531" spans="1:10" x14ac:dyDescent="0.25">
      <c r="A531" s="1"/>
      <c r="B531" s="20"/>
      <c r="C531" s="1"/>
      <c r="D531" s="1"/>
      <c r="E531" s="1"/>
      <c r="F531" s="1"/>
      <c r="G531" s="1"/>
      <c r="H531" s="1"/>
      <c r="I531" s="1"/>
      <c r="J531" s="1">
        <f>IF($F531="","",IF($H531="","Not rated",IF(OR($H531=Lists!$B$3,$H531=Lists!$B$5),IF(AND(LEFT(SUBSTITUTE($I531," ",""),LEN($F531)+1)=$F531&amp;"-",LEN(SUBSTITUTE($I531," ",""))&gt;LEN($F531)+1),"OK","Comment required"),"OK")))</f>
      </c>
    </row>
    <row r="532" spans="1:10" x14ac:dyDescent="0.25">
      <c r="A532" s="1"/>
      <c r="B532" s="20"/>
      <c r="C532" s="1"/>
      <c r="D532" s="1"/>
      <c r="E532" s="1"/>
      <c r="F532" s="1"/>
      <c r="G532" s="1"/>
      <c r="H532" s="1"/>
      <c r="I532" s="1"/>
      <c r="J532" s="1">
        <f>IF($F532="","",IF($H532="","Not rated",IF(OR($H532=Lists!$B$3,$H532=Lists!$B$5),IF(AND(LEFT(SUBSTITUTE($I532," ",""),LEN($F532)+1)=$F532&amp;"-",LEN(SUBSTITUTE($I532," ",""))&gt;LEN($F532)+1),"OK","Comment required"),"OK")))</f>
      </c>
    </row>
    <row r="533" spans="1:10" x14ac:dyDescent="0.25">
      <c r="A533" s="1"/>
      <c r="B533" s="20"/>
      <c r="C533" s="1"/>
      <c r="D533" s="1"/>
      <c r="E533" s="1"/>
      <c r="F533" s="1"/>
      <c r="G533" s="1"/>
      <c r="H533" s="1"/>
      <c r="I533" s="1"/>
      <c r="J533" s="1">
        <f>IF($F533="","",IF($H533="","Not rated",IF(OR($H533=Lists!$B$3,$H533=Lists!$B$5),IF(AND(LEFT(SUBSTITUTE($I533," ",""),LEN($F533)+1)=$F533&amp;"-",LEN(SUBSTITUTE($I533," ",""))&gt;LEN($F533)+1),"OK","Comment required"),"OK")))</f>
      </c>
    </row>
    <row r="534" spans="1:10" x14ac:dyDescent="0.25">
      <c r="A534" s="1"/>
      <c r="B534" s="20"/>
      <c r="C534" s="1"/>
      <c r="D534" s="1"/>
      <c r="E534" s="1"/>
      <c r="F534" s="1"/>
      <c r="G534" s="1"/>
      <c r="H534" s="1"/>
      <c r="I534" s="1"/>
      <c r="J534" s="1">
        <f>IF($F534="","",IF($H534="","Not rated",IF(OR($H534=Lists!$B$3,$H534=Lists!$B$5),IF(AND(LEFT(SUBSTITUTE($I534," ",""),LEN($F534)+1)=$F534&amp;"-",LEN(SUBSTITUTE($I534," ",""))&gt;LEN($F534)+1),"OK","Comment required"),"OK")))</f>
      </c>
    </row>
    <row r="535" spans="1:10" x14ac:dyDescent="0.25">
      <c r="A535" s="1"/>
      <c r="B535" s="20"/>
      <c r="C535" s="1"/>
      <c r="D535" s="1"/>
      <c r="E535" s="1"/>
      <c r="F535" s="1"/>
      <c r="G535" s="1"/>
      <c r="H535" s="1"/>
      <c r="I535" s="1"/>
      <c r="J535" s="1">
        <f>IF($F535="","",IF($H535="","Not rated",IF(OR($H535=Lists!$B$3,$H535=Lists!$B$5),IF(AND(LEFT(SUBSTITUTE($I535," ",""),LEN($F535)+1)=$F535&amp;"-",LEN(SUBSTITUTE($I535," ",""))&gt;LEN($F535)+1),"OK","Comment required"),"OK")))</f>
      </c>
    </row>
    <row r="536" spans="1:10" x14ac:dyDescent="0.25">
      <c r="A536" s="1"/>
      <c r="B536" s="20"/>
      <c r="C536" s="1"/>
      <c r="D536" s="1"/>
      <c r="E536" s="1"/>
      <c r="F536" s="1"/>
      <c r="G536" s="1"/>
      <c r="H536" s="1"/>
      <c r="I536" s="1"/>
      <c r="J536" s="1">
        <f>IF($F536="","",IF($H536="","Not rated",IF(OR($H536=Lists!$B$3,$H536=Lists!$B$5),IF(AND(LEFT(SUBSTITUTE($I536," ",""),LEN($F536)+1)=$F536&amp;"-",LEN(SUBSTITUTE($I536," ",""))&gt;LEN($F536)+1),"OK","Comment required"),"OK")))</f>
      </c>
    </row>
    <row r="537" spans="1:10" x14ac:dyDescent="0.25">
      <c r="A537" s="1"/>
      <c r="B537" s="20"/>
      <c r="C537" s="1"/>
      <c r="D537" s="1"/>
      <c r="E537" s="1"/>
      <c r="F537" s="1"/>
      <c r="G537" s="1"/>
      <c r="H537" s="1"/>
      <c r="I537" s="1"/>
      <c r="J537" s="1">
        <f>IF($F537="","",IF($H537="","Not rated",IF(OR($H537=Lists!$B$3,$H537=Lists!$B$5),IF(AND(LEFT(SUBSTITUTE($I537," ",""),LEN($F537)+1)=$F537&amp;"-",LEN(SUBSTITUTE($I537," ",""))&gt;LEN($F537)+1),"OK","Comment required"),"OK")))</f>
      </c>
    </row>
    <row r="538" spans="1:10" x14ac:dyDescent="0.25">
      <c r="A538" s="1"/>
      <c r="B538" s="20"/>
      <c r="C538" s="1"/>
      <c r="D538" s="1"/>
      <c r="E538" s="1"/>
      <c r="F538" s="1"/>
      <c r="G538" s="1"/>
      <c r="H538" s="1"/>
      <c r="I538" s="1"/>
      <c r="J538" s="1">
        <f>IF($F538="","",IF($H538="","Not rated",IF(OR($H538=Lists!$B$3,$H538=Lists!$B$5),IF(AND(LEFT(SUBSTITUTE($I538," ",""),LEN($F538)+1)=$F538&amp;"-",LEN(SUBSTITUTE($I538," ",""))&gt;LEN($F538)+1),"OK","Comment required"),"OK")))</f>
      </c>
    </row>
    <row r="539" spans="1:10" x14ac:dyDescent="0.25">
      <c r="A539" s="1"/>
      <c r="B539" s="20"/>
      <c r="C539" s="1"/>
      <c r="D539" s="1"/>
      <c r="E539" s="1"/>
      <c r="F539" s="1"/>
      <c r="G539" s="1"/>
      <c r="H539" s="1"/>
      <c r="I539" s="1"/>
      <c r="J539" s="1">
        <f>IF($F539="","",IF($H539="","Not rated",IF(OR($H539=Lists!$B$3,$H539=Lists!$B$5),IF(AND(LEFT(SUBSTITUTE($I539," ",""),LEN($F539)+1)=$F539&amp;"-",LEN(SUBSTITUTE($I539," ",""))&gt;LEN($F539)+1),"OK","Comment required"),"OK")))</f>
      </c>
    </row>
    <row r="540" spans="1:10" x14ac:dyDescent="0.25">
      <c r="A540" s="1"/>
      <c r="B540" s="20"/>
      <c r="C540" s="1"/>
      <c r="D540" s="1"/>
      <c r="E540" s="1"/>
      <c r="F540" s="1"/>
      <c r="G540" s="1"/>
      <c r="H540" s="1"/>
      <c r="I540" s="1"/>
      <c r="J540" s="1">
        <f>IF($F540="","",IF($H540="","Not rated",IF(OR($H540=Lists!$B$3,$H540=Lists!$B$5),IF(AND(LEFT(SUBSTITUTE($I540," ",""),LEN($F540)+1)=$F540&amp;"-",LEN(SUBSTITUTE($I540," ",""))&gt;LEN($F540)+1),"OK","Comment required"),"OK")))</f>
      </c>
    </row>
    <row r="541" spans="1:10" x14ac:dyDescent="0.25">
      <c r="A541" s="1"/>
      <c r="B541" s="20"/>
      <c r="C541" s="1"/>
      <c r="D541" s="1"/>
      <c r="E541" s="1"/>
      <c r="F541" s="1"/>
      <c r="G541" s="1"/>
      <c r="H541" s="1"/>
      <c r="I541" s="1"/>
      <c r="J541" s="1">
        <f>IF($F541="","",IF($H541="","Not rated",IF(OR($H541=Lists!$B$3,$H541=Lists!$B$5),IF(AND(LEFT(SUBSTITUTE($I541," ",""),LEN($F541)+1)=$F541&amp;"-",LEN(SUBSTITUTE($I541," ",""))&gt;LEN($F541)+1),"OK","Comment required"),"OK")))</f>
      </c>
    </row>
    <row r="542" spans="1:10" x14ac:dyDescent="0.25">
      <c r="A542" s="1"/>
      <c r="B542" s="20"/>
      <c r="C542" s="1"/>
      <c r="D542" s="1"/>
      <c r="E542" s="1"/>
      <c r="F542" s="1"/>
      <c r="G542" s="1"/>
      <c r="H542" s="1"/>
      <c r="I542" s="1"/>
      <c r="J542" s="1">
        <f>IF($F542="","",IF($H542="","Not rated",IF(OR($H542=Lists!$B$3,$H542=Lists!$B$5),IF(AND(LEFT(SUBSTITUTE($I542," ",""),LEN($F542)+1)=$F542&amp;"-",LEN(SUBSTITUTE($I542," ",""))&gt;LEN($F542)+1),"OK","Comment required"),"OK")))</f>
      </c>
    </row>
    <row r="543" spans="1:10" x14ac:dyDescent="0.25">
      <c r="A543" s="1"/>
      <c r="B543" s="20"/>
      <c r="C543" s="1"/>
      <c r="D543" s="1"/>
      <c r="E543" s="1"/>
      <c r="F543" s="1"/>
      <c r="G543" s="1"/>
      <c r="H543" s="1"/>
      <c r="I543" s="1"/>
      <c r="J543" s="1">
        <f>IF($F543="","",IF($H543="","Not rated",IF(OR($H543=Lists!$B$3,$H543=Lists!$B$5),IF(AND(LEFT(SUBSTITUTE($I543," ",""),LEN($F543)+1)=$F543&amp;"-",LEN(SUBSTITUTE($I543," ",""))&gt;LEN($F543)+1),"OK","Comment required"),"OK")))</f>
      </c>
    </row>
    <row r="544" spans="1:10" x14ac:dyDescent="0.25">
      <c r="A544" s="1"/>
      <c r="B544" s="20"/>
      <c r="C544" s="1"/>
      <c r="D544" s="1"/>
      <c r="E544" s="1"/>
      <c r="F544" s="1"/>
      <c r="G544" s="1"/>
      <c r="H544" s="1"/>
      <c r="I544" s="1"/>
      <c r="J544" s="1">
        <f>IF($F544="","",IF($H544="","Not rated",IF(OR($H544=Lists!$B$3,$H544=Lists!$B$5),IF(AND(LEFT(SUBSTITUTE($I544," ",""),LEN($F544)+1)=$F544&amp;"-",LEN(SUBSTITUTE($I544," ",""))&gt;LEN($F544)+1),"OK","Comment required"),"OK")))</f>
      </c>
    </row>
    <row r="545" spans="1:10" x14ac:dyDescent="0.25">
      <c r="A545" s="1"/>
      <c r="B545" s="20"/>
      <c r="C545" s="1"/>
      <c r="D545" s="1"/>
      <c r="E545" s="1"/>
      <c r="F545" s="1"/>
      <c r="G545" s="1"/>
      <c r="H545" s="1"/>
      <c r="I545" s="1"/>
      <c r="J545" s="1">
        <f>IF($F545="","",IF($H545="","Not rated",IF(OR($H545=Lists!$B$3,$H545=Lists!$B$5),IF(AND(LEFT(SUBSTITUTE($I545," ",""),LEN($F545)+1)=$F545&amp;"-",LEN(SUBSTITUTE($I545," ",""))&gt;LEN($F545)+1),"OK","Comment required"),"OK")))</f>
      </c>
    </row>
    <row r="546" spans="1:10" x14ac:dyDescent="0.25">
      <c r="A546" s="1"/>
      <c r="B546" s="20"/>
      <c r="C546" s="1"/>
      <c r="D546" s="1"/>
      <c r="E546" s="1"/>
      <c r="F546" s="1"/>
      <c r="G546" s="1"/>
      <c r="H546" s="1"/>
      <c r="I546" s="1"/>
      <c r="J546" s="1">
        <f>IF($F546="","",IF($H546="","Not rated",IF(OR($H546=Lists!$B$3,$H546=Lists!$B$5),IF(AND(LEFT(SUBSTITUTE($I546," ",""),LEN($F546)+1)=$F546&amp;"-",LEN(SUBSTITUTE($I546," ",""))&gt;LEN($F546)+1),"OK","Comment required"),"OK")))</f>
      </c>
    </row>
    <row r="547" spans="1:10" x14ac:dyDescent="0.25">
      <c r="A547" s="1"/>
      <c r="B547" s="20"/>
      <c r="C547" s="1"/>
      <c r="D547" s="1"/>
      <c r="E547" s="1"/>
      <c r="F547" s="1"/>
      <c r="G547" s="1"/>
      <c r="H547" s="1"/>
      <c r="I547" s="1"/>
      <c r="J547" s="1">
        <f>IF($F547="","",IF($H547="","Not rated",IF(OR($H547=Lists!$B$3,$H547=Lists!$B$5),IF(AND(LEFT(SUBSTITUTE($I547," ",""),LEN($F547)+1)=$F547&amp;"-",LEN(SUBSTITUTE($I547," ",""))&gt;LEN($F547)+1),"OK","Comment required"),"OK")))</f>
      </c>
    </row>
    <row r="548" spans="1:10" x14ac:dyDescent="0.25">
      <c r="A548" s="1"/>
      <c r="B548" s="20"/>
      <c r="C548" s="1"/>
      <c r="D548" s="1"/>
      <c r="E548" s="1"/>
      <c r="F548" s="1"/>
      <c r="G548" s="1"/>
      <c r="H548" s="1"/>
      <c r="I548" s="1"/>
      <c r="J548" s="1">
        <f>IF($F548="","",IF($H548="","Not rated",IF(OR($H548=Lists!$B$3,$H548=Lists!$B$5),IF(AND(LEFT(SUBSTITUTE($I548," ",""),LEN($F548)+1)=$F548&amp;"-",LEN(SUBSTITUTE($I548," ",""))&gt;LEN($F548)+1),"OK","Comment required"),"OK")))</f>
      </c>
    </row>
    <row r="549" spans="1:10" x14ac:dyDescent="0.25">
      <c r="A549" s="1"/>
      <c r="B549" s="20"/>
      <c r="C549" s="1"/>
      <c r="D549" s="1"/>
      <c r="E549" s="1"/>
      <c r="F549" s="1"/>
      <c r="G549" s="1"/>
      <c r="H549" s="1"/>
      <c r="I549" s="1"/>
      <c r="J549" s="1">
        <f>IF($F549="","",IF($H549="","Not rated",IF(OR($H549=Lists!$B$3,$H549=Lists!$B$5),IF(AND(LEFT(SUBSTITUTE($I549," ",""),LEN($F549)+1)=$F549&amp;"-",LEN(SUBSTITUTE($I549," ",""))&gt;LEN($F549)+1),"OK","Comment required"),"OK")))</f>
      </c>
    </row>
    <row r="550" spans="1:10" x14ac:dyDescent="0.25">
      <c r="A550" s="1"/>
      <c r="B550" s="20"/>
      <c r="C550" s="1"/>
      <c r="D550" s="1"/>
      <c r="E550" s="1"/>
      <c r="F550" s="1"/>
      <c r="G550" s="1"/>
      <c r="H550" s="1"/>
      <c r="I550" s="1"/>
      <c r="J550" s="1">
        <f>IF($F550="","",IF($H550="","Not rated",IF(OR($H550=Lists!$B$3,$H550=Lists!$B$5),IF(AND(LEFT(SUBSTITUTE($I550," ",""),LEN($F550)+1)=$F550&amp;"-",LEN(SUBSTITUTE($I550," ",""))&gt;LEN($F550)+1),"OK","Comment required"),"OK")))</f>
      </c>
    </row>
    <row r="551" spans="1:10" x14ac:dyDescent="0.25">
      <c r="A551" s="1"/>
      <c r="B551" s="20"/>
      <c r="C551" s="1"/>
      <c r="D551" s="1"/>
      <c r="E551" s="1"/>
      <c r="F551" s="1"/>
      <c r="G551" s="1"/>
      <c r="H551" s="1"/>
      <c r="I551" s="1"/>
      <c r="J551" s="1">
        <f>IF($F551="","",IF($H551="","Not rated",IF(OR($H551=Lists!$B$3,$H551=Lists!$B$5),IF(AND(LEFT(SUBSTITUTE($I551," ",""),LEN($F551)+1)=$F551&amp;"-",LEN(SUBSTITUTE($I551," ",""))&gt;LEN($F551)+1),"OK","Comment required"),"OK")))</f>
      </c>
    </row>
    <row r="552" spans="1:10" x14ac:dyDescent="0.25">
      <c r="A552" s="1"/>
      <c r="B552" s="20"/>
      <c r="C552" s="1"/>
      <c r="D552" s="1"/>
      <c r="E552" s="1"/>
      <c r="F552" s="1"/>
      <c r="G552" s="1"/>
      <c r="H552" s="1"/>
      <c r="I552" s="1"/>
      <c r="J552" s="1">
        <f>IF($F552="","",IF($H552="","Not rated",IF(OR($H552=Lists!$B$3,$H552=Lists!$B$5),IF(AND(LEFT(SUBSTITUTE($I552," ",""),LEN($F552)+1)=$F552&amp;"-",LEN(SUBSTITUTE($I552," ",""))&gt;LEN($F552)+1),"OK","Comment required"),"OK")))</f>
      </c>
    </row>
    <row r="553" spans="1:10" x14ac:dyDescent="0.25">
      <c r="A553" s="1"/>
      <c r="B553" s="20"/>
      <c r="C553" s="1"/>
      <c r="D553" s="1"/>
      <c r="E553" s="1"/>
      <c r="F553" s="1"/>
      <c r="G553" s="1"/>
      <c r="H553" s="1"/>
      <c r="I553" s="1"/>
      <c r="J553" s="1">
        <f>IF($F553="","",IF($H553="","Not rated",IF(OR($H553=Lists!$B$3,$H553=Lists!$B$5),IF(AND(LEFT(SUBSTITUTE($I553," ",""),LEN($F553)+1)=$F553&amp;"-",LEN(SUBSTITUTE($I553," ",""))&gt;LEN($F553)+1),"OK","Comment required"),"OK")))</f>
      </c>
    </row>
    <row r="554" spans="1:10" x14ac:dyDescent="0.25">
      <c r="A554" s="1"/>
      <c r="B554" s="20"/>
      <c r="C554" s="1"/>
      <c r="D554" s="1"/>
      <c r="E554" s="1"/>
      <c r="F554" s="1"/>
      <c r="G554" s="1"/>
      <c r="H554" s="1"/>
      <c r="I554" s="1"/>
      <c r="J554" s="1">
        <f>IF($F554="","",IF($H554="","Not rated",IF(OR($H554=Lists!$B$3,$H554=Lists!$B$5),IF(AND(LEFT(SUBSTITUTE($I554," ",""),LEN($F554)+1)=$F554&amp;"-",LEN(SUBSTITUTE($I554," ",""))&gt;LEN($F554)+1),"OK","Comment required"),"OK")))</f>
      </c>
    </row>
    <row r="555" spans="1:10" x14ac:dyDescent="0.25">
      <c r="A555" s="1"/>
      <c r="B555" s="20"/>
      <c r="C555" s="1"/>
      <c r="D555" s="1"/>
      <c r="E555" s="1"/>
      <c r="F555" s="1"/>
      <c r="G555" s="1"/>
      <c r="H555" s="1"/>
      <c r="I555" s="1"/>
      <c r="J555" s="1">
        <f>IF($F555="","",IF($H555="","Not rated",IF(OR($H555=Lists!$B$3,$H555=Lists!$B$5),IF(AND(LEFT(SUBSTITUTE($I555," ",""),LEN($F555)+1)=$F555&amp;"-",LEN(SUBSTITUTE($I555," ",""))&gt;LEN($F555)+1),"OK","Comment required"),"OK")))</f>
      </c>
    </row>
    <row r="556" spans="1:10" x14ac:dyDescent="0.25">
      <c r="A556" s="1"/>
      <c r="B556" s="20"/>
      <c r="C556" s="1"/>
      <c r="D556" s="1"/>
      <c r="E556" s="1"/>
      <c r="F556" s="1"/>
      <c r="G556" s="1"/>
      <c r="H556" s="1"/>
      <c r="I556" s="1"/>
      <c r="J556" s="1">
        <f>IF($F556="","",IF($H556="","Not rated",IF(OR($H556=Lists!$B$3,$H556=Lists!$B$5),IF(AND(LEFT(SUBSTITUTE($I556," ",""),LEN($F556)+1)=$F556&amp;"-",LEN(SUBSTITUTE($I556," ",""))&gt;LEN($F556)+1),"OK","Comment required"),"OK")))</f>
      </c>
    </row>
    <row r="557" spans="1:10" x14ac:dyDescent="0.25">
      <c r="A557" s="1"/>
      <c r="B557" s="20"/>
      <c r="C557" s="1"/>
      <c r="D557" s="1"/>
      <c r="E557" s="1"/>
      <c r="F557" s="1"/>
      <c r="G557" s="1"/>
      <c r="H557" s="1"/>
      <c r="I557" s="1"/>
      <c r="J557" s="1">
        <f>IF($F557="","",IF($H557="","Not rated",IF(OR($H557=Lists!$B$3,$H557=Lists!$B$5),IF(AND(LEFT(SUBSTITUTE($I557," ",""),LEN($F557)+1)=$F557&amp;"-",LEN(SUBSTITUTE($I557," ",""))&gt;LEN($F557)+1),"OK","Comment required"),"OK")))</f>
      </c>
    </row>
    <row r="558" spans="1:10" x14ac:dyDescent="0.25">
      <c r="A558" s="1"/>
      <c r="B558" s="20"/>
      <c r="C558" s="1"/>
      <c r="D558" s="1"/>
      <c r="E558" s="1"/>
      <c r="F558" s="1"/>
      <c r="G558" s="1"/>
      <c r="H558" s="1"/>
      <c r="I558" s="1"/>
      <c r="J558" s="1">
        <f>IF($F558="","",IF($H558="","Not rated",IF(OR($H558=Lists!$B$3,$H558=Lists!$B$5),IF(AND(LEFT(SUBSTITUTE($I558," ",""),LEN($F558)+1)=$F558&amp;"-",LEN(SUBSTITUTE($I558," ",""))&gt;LEN($F558)+1),"OK","Comment required"),"OK")))</f>
      </c>
    </row>
    <row r="559" spans="1:10" x14ac:dyDescent="0.25">
      <c r="A559" s="1"/>
      <c r="B559" s="20"/>
      <c r="C559" s="1"/>
      <c r="D559" s="1"/>
      <c r="E559" s="1"/>
      <c r="F559" s="1"/>
      <c r="G559" s="1"/>
      <c r="H559" s="1"/>
      <c r="I559" s="1"/>
      <c r="J559" s="1">
        <f>IF($F559="","",IF($H559="","Not rated",IF(OR($H559=Lists!$B$3,$H559=Lists!$B$5),IF(AND(LEFT(SUBSTITUTE($I559," ",""),LEN($F559)+1)=$F559&amp;"-",LEN(SUBSTITUTE($I559," ",""))&gt;LEN($F559)+1),"OK","Comment required"),"OK")))</f>
      </c>
    </row>
    <row r="560" spans="1:10" x14ac:dyDescent="0.25">
      <c r="A560" s="1"/>
      <c r="B560" s="20"/>
      <c r="C560" s="1"/>
      <c r="D560" s="1"/>
      <c r="E560" s="1"/>
      <c r="F560" s="1"/>
      <c r="G560" s="1"/>
      <c r="H560" s="1"/>
      <c r="I560" s="1"/>
      <c r="J560" s="1">
        <f>IF($F560="","",IF($H560="","Not rated",IF(OR($H560=Lists!$B$3,$H560=Lists!$B$5),IF(AND(LEFT(SUBSTITUTE($I560," ",""),LEN($F560)+1)=$F560&amp;"-",LEN(SUBSTITUTE($I560," ",""))&gt;LEN($F560)+1),"OK","Comment required"),"OK")))</f>
      </c>
    </row>
    <row r="561" spans="1:10" x14ac:dyDescent="0.25">
      <c r="A561" s="1"/>
      <c r="B561" s="20"/>
      <c r="C561" s="1"/>
      <c r="D561" s="1"/>
      <c r="E561" s="1"/>
      <c r="F561" s="1"/>
      <c r="G561" s="1"/>
      <c r="H561" s="1"/>
      <c r="I561" s="1"/>
      <c r="J561" s="1">
        <f>IF($F561="","",IF($H561="","Not rated",IF(OR($H561=Lists!$B$3,$H561=Lists!$B$5),IF(AND(LEFT(SUBSTITUTE($I561," ",""),LEN($F561)+1)=$F561&amp;"-",LEN(SUBSTITUTE($I561," ",""))&gt;LEN($F561)+1),"OK","Comment required"),"OK")))</f>
      </c>
    </row>
    <row r="562" spans="1:10" x14ac:dyDescent="0.25">
      <c r="A562" s="1"/>
      <c r="B562" s="20"/>
      <c r="C562" s="1"/>
      <c r="D562" s="1"/>
      <c r="E562" s="1"/>
      <c r="F562" s="1"/>
      <c r="G562" s="1"/>
      <c r="H562" s="1"/>
      <c r="I562" s="1"/>
      <c r="J562" s="1">
        <f>IF($F562="","",IF($H562="","Not rated",IF(OR($H562=Lists!$B$3,$H562=Lists!$B$5),IF(AND(LEFT(SUBSTITUTE($I562," ",""),LEN($F562)+1)=$F562&amp;"-",LEN(SUBSTITUTE($I562," ",""))&gt;LEN($F562)+1),"OK","Comment required"),"OK")))</f>
      </c>
    </row>
    <row r="563" spans="1:10" x14ac:dyDescent="0.25">
      <c r="A563" s="1"/>
      <c r="B563" s="20"/>
      <c r="C563" s="1"/>
      <c r="D563" s="1"/>
      <c r="E563" s="1"/>
      <c r="F563" s="1"/>
      <c r="G563" s="1"/>
      <c r="H563" s="1"/>
      <c r="I563" s="1"/>
      <c r="J563" s="1">
        <f>IF($F563="","",IF($H563="","Not rated",IF(OR($H563=Lists!$B$3,$H563=Lists!$B$5),IF(AND(LEFT(SUBSTITUTE($I563," ",""),LEN($F563)+1)=$F563&amp;"-",LEN(SUBSTITUTE($I563," ",""))&gt;LEN($F563)+1),"OK","Comment required"),"OK")))</f>
      </c>
    </row>
    <row r="564" spans="1:10" x14ac:dyDescent="0.25">
      <c r="A564" s="1"/>
      <c r="B564" s="20"/>
      <c r="C564" s="1"/>
      <c r="D564" s="1"/>
      <c r="E564" s="1"/>
      <c r="F564" s="1"/>
      <c r="G564" s="1"/>
      <c r="H564" s="1"/>
      <c r="I564" s="1"/>
      <c r="J564" s="1">
        <f>IF($F564="","",IF($H564="","Not rated",IF(OR($H564=Lists!$B$3,$H564=Lists!$B$5),IF(AND(LEFT(SUBSTITUTE($I564," ",""),LEN($F564)+1)=$F564&amp;"-",LEN(SUBSTITUTE($I564," ",""))&gt;LEN($F564)+1),"OK","Comment required"),"OK")))</f>
      </c>
    </row>
    <row r="565" spans="1:10" x14ac:dyDescent="0.25">
      <c r="A565" s="1"/>
      <c r="B565" s="20"/>
      <c r="C565" s="1"/>
      <c r="D565" s="1"/>
      <c r="E565" s="1"/>
      <c r="F565" s="1"/>
      <c r="G565" s="1"/>
      <c r="H565" s="1"/>
      <c r="I565" s="1"/>
      <c r="J565" s="1">
        <f>IF($F565="","",IF($H565="","Not rated",IF(OR($H565=Lists!$B$3,$H565=Lists!$B$5),IF(AND(LEFT(SUBSTITUTE($I565," ",""),LEN($F565)+1)=$F565&amp;"-",LEN(SUBSTITUTE($I565," ",""))&gt;LEN($F565)+1),"OK","Comment required"),"OK")))</f>
      </c>
    </row>
    <row r="566" spans="1:10" x14ac:dyDescent="0.25">
      <c r="A566" s="1"/>
      <c r="B566" s="20"/>
      <c r="C566" s="1"/>
      <c r="D566" s="1"/>
      <c r="E566" s="1"/>
      <c r="F566" s="1"/>
      <c r="G566" s="1"/>
      <c r="H566" s="1"/>
      <c r="I566" s="1"/>
      <c r="J566" s="1">
        <f>IF($F566="","",IF($H566="","Not rated",IF(OR($H566=Lists!$B$3,$H566=Lists!$B$5),IF(AND(LEFT(SUBSTITUTE($I566," ",""),LEN($F566)+1)=$F566&amp;"-",LEN(SUBSTITUTE($I566," ",""))&gt;LEN($F566)+1),"OK","Comment required"),"OK")))</f>
      </c>
    </row>
    <row r="567" spans="1:10" x14ac:dyDescent="0.25">
      <c r="A567" s="1"/>
      <c r="B567" s="20"/>
      <c r="C567" s="1"/>
      <c r="D567" s="1"/>
      <c r="E567" s="1"/>
      <c r="F567" s="1"/>
      <c r="G567" s="1"/>
      <c r="H567" s="1"/>
      <c r="I567" s="1"/>
      <c r="J567" s="1">
        <f>IF($F567="","",IF($H567="","Not rated",IF(OR($H567=Lists!$B$3,$H567=Lists!$B$5),IF(AND(LEFT(SUBSTITUTE($I567," ",""),LEN($F567)+1)=$F567&amp;"-",LEN(SUBSTITUTE($I567," ",""))&gt;LEN($F567)+1),"OK","Comment required"),"OK")))</f>
      </c>
    </row>
    <row r="568" spans="1:10" x14ac:dyDescent="0.25">
      <c r="A568" s="1"/>
      <c r="B568" s="20"/>
      <c r="C568" s="1"/>
      <c r="D568" s="1"/>
      <c r="E568" s="1"/>
      <c r="F568" s="1"/>
      <c r="G568" s="1"/>
      <c r="H568" s="1"/>
      <c r="I568" s="1"/>
      <c r="J568" s="1">
        <f>IF($F568="","",IF($H568="","Not rated",IF(OR($H568=Lists!$B$3,$H568=Lists!$B$5),IF(AND(LEFT(SUBSTITUTE($I568," ",""),LEN($F568)+1)=$F568&amp;"-",LEN(SUBSTITUTE($I568," ",""))&gt;LEN($F568)+1),"OK","Comment required"),"OK")))</f>
      </c>
    </row>
    <row r="569" spans="1:10" x14ac:dyDescent="0.25">
      <c r="A569" s="1"/>
      <c r="B569" s="20"/>
      <c r="C569" s="1"/>
      <c r="D569" s="1"/>
      <c r="E569" s="1"/>
      <c r="F569" s="1"/>
      <c r="G569" s="1"/>
      <c r="H569" s="1"/>
      <c r="I569" s="1"/>
      <c r="J569" s="1">
        <f>IF($F569="","",IF($H569="","Not rated",IF(OR($H569=Lists!$B$3,$H569=Lists!$B$5),IF(AND(LEFT(SUBSTITUTE($I569," ",""),LEN($F569)+1)=$F569&amp;"-",LEN(SUBSTITUTE($I569," ",""))&gt;LEN($F569)+1),"OK","Comment required"),"OK")))</f>
      </c>
    </row>
    <row r="570" spans="1:10" x14ac:dyDescent="0.25">
      <c r="A570" s="1"/>
      <c r="B570" s="20"/>
      <c r="C570" s="1"/>
      <c r="D570" s="1"/>
      <c r="E570" s="1"/>
      <c r="F570" s="1"/>
      <c r="G570" s="1"/>
      <c r="H570" s="1"/>
      <c r="I570" s="1"/>
      <c r="J570" s="1">
        <f>IF($F570="","",IF($H570="","Not rated",IF(OR($H570=Lists!$B$3,$H570=Lists!$B$5),IF(AND(LEFT(SUBSTITUTE($I570," ",""),LEN($F570)+1)=$F570&amp;"-",LEN(SUBSTITUTE($I570," ",""))&gt;LEN($F570)+1),"OK","Comment required"),"OK")))</f>
      </c>
    </row>
    <row r="571" spans="1:10" x14ac:dyDescent="0.25">
      <c r="A571" s="1"/>
      <c r="B571" s="20"/>
      <c r="C571" s="1"/>
      <c r="D571" s="1"/>
      <c r="E571" s="1"/>
      <c r="F571" s="1"/>
      <c r="G571" s="1"/>
      <c r="H571" s="1"/>
      <c r="I571" s="1"/>
      <c r="J571" s="1">
        <f>IF($F571="","",IF($H571="","Not rated",IF(OR($H571=Lists!$B$3,$H571=Lists!$B$5),IF(AND(LEFT(SUBSTITUTE($I571," ",""),LEN($F571)+1)=$F571&amp;"-",LEN(SUBSTITUTE($I571," ",""))&gt;LEN($F571)+1),"OK","Comment required"),"OK")))</f>
      </c>
    </row>
    <row r="572" spans="1:10" x14ac:dyDescent="0.25">
      <c r="A572" s="1"/>
      <c r="B572" s="20"/>
      <c r="C572" s="1"/>
      <c r="D572" s="1"/>
      <c r="E572" s="1"/>
      <c r="F572" s="1"/>
      <c r="G572" s="1"/>
      <c r="H572" s="1"/>
      <c r="I572" s="1"/>
      <c r="J572" s="1">
        <f>IF($F572="","",IF($H572="","Not rated",IF(OR($H572=Lists!$B$3,$H572=Lists!$B$5),IF(AND(LEFT(SUBSTITUTE($I572," ",""),LEN($F572)+1)=$F572&amp;"-",LEN(SUBSTITUTE($I572," ",""))&gt;LEN($F572)+1),"OK","Comment required"),"OK")))</f>
      </c>
    </row>
    <row r="573" spans="1:10" x14ac:dyDescent="0.25">
      <c r="A573" s="1"/>
      <c r="B573" s="20"/>
      <c r="C573" s="1"/>
      <c r="D573" s="1"/>
      <c r="E573" s="1"/>
      <c r="F573" s="1"/>
      <c r="G573" s="1"/>
      <c r="H573" s="1"/>
      <c r="I573" s="1"/>
      <c r="J573" s="1">
        <f>IF($F573="","",IF($H573="","Not rated",IF(OR($H573=Lists!$B$3,$H573=Lists!$B$5),IF(AND(LEFT(SUBSTITUTE($I573," ",""),LEN($F573)+1)=$F573&amp;"-",LEN(SUBSTITUTE($I573," ",""))&gt;LEN($F573)+1),"OK","Comment required"),"OK")))</f>
      </c>
    </row>
    <row r="574" spans="1:10" x14ac:dyDescent="0.25">
      <c r="A574" s="1"/>
      <c r="B574" s="20"/>
      <c r="C574" s="1"/>
      <c r="D574" s="1"/>
      <c r="E574" s="1"/>
      <c r="F574" s="1"/>
      <c r="G574" s="1"/>
      <c r="H574" s="1"/>
      <c r="I574" s="1"/>
      <c r="J574" s="1">
        <f>IF($F574="","",IF($H574="","Not rated",IF(OR($H574=Lists!$B$3,$H574=Lists!$B$5),IF(AND(LEFT(SUBSTITUTE($I574," ",""),LEN($F574)+1)=$F574&amp;"-",LEN(SUBSTITUTE($I574," ",""))&gt;LEN($F574)+1),"OK","Comment required"),"OK")))</f>
      </c>
    </row>
    <row r="575" spans="1:10" x14ac:dyDescent="0.25">
      <c r="A575" s="1"/>
      <c r="B575" s="20"/>
      <c r="C575" s="1"/>
      <c r="D575" s="1"/>
      <c r="E575" s="1"/>
      <c r="F575" s="1"/>
      <c r="G575" s="1"/>
      <c r="H575" s="1"/>
      <c r="I575" s="1"/>
      <c r="J575" s="1">
        <f>IF($F575="","",IF($H575="","Not rated",IF(OR($H575=Lists!$B$3,$H575=Lists!$B$5),IF(AND(LEFT(SUBSTITUTE($I575," ",""),LEN($F575)+1)=$F575&amp;"-",LEN(SUBSTITUTE($I575," ",""))&gt;LEN($F575)+1),"OK","Comment required"),"OK")))</f>
      </c>
    </row>
    <row r="576" spans="1:10" x14ac:dyDescent="0.25">
      <c r="A576" s="1"/>
      <c r="B576" s="20"/>
      <c r="C576" s="1"/>
      <c r="D576" s="1"/>
      <c r="E576" s="1"/>
      <c r="F576" s="1"/>
      <c r="G576" s="1"/>
      <c r="H576" s="1"/>
      <c r="I576" s="1"/>
      <c r="J576" s="1">
        <f>IF($F576="","",IF($H576="","Not rated",IF(OR($H576=Lists!$B$3,$H576=Lists!$B$5),IF(AND(LEFT(SUBSTITUTE($I576," ",""),LEN($F576)+1)=$F576&amp;"-",LEN(SUBSTITUTE($I576," ",""))&gt;LEN($F576)+1),"OK","Comment required"),"OK")))</f>
      </c>
    </row>
    <row r="577" spans="1:10" x14ac:dyDescent="0.25">
      <c r="A577" s="1"/>
      <c r="B577" s="20"/>
      <c r="C577" s="1"/>
      <c r="D577" s="1"/>
      <c r="E577" s="1"/>
      <c r="F577" s="1"/>
      <c r="G577" s="1"/>
      <c r="H577" s="1"/>
      <c r="I577" s="1"/>
      <c r="J577" s="1">
        <f>IF($F577="","",IF($H577="","Not rated",IF(OR($H577=Lists!$B$3,$H577=Lists!$B$5),IF(AND(LEFT(SUBSTITUTE($I577," ",""),LEN($F577)+1)=$F577&amp;"-",LEN(SUBSTITUTE($I577," ",""))&gt;LEN($F577)+1),"OK","Comment required"),"OK")))</f>
      </c>
    </row>
    <row r="578" spans="1:10" x14ac:dyDescent="0.25">
      <c r="A578" s="1"/>
      <c r="B578" s="20"/>
      <c r="C578" s="1"/>
      <c r="D578" s="1"/>
      <c r="E578" s="1"/>
      <c r="F578" s="1"/>
      <c r="G578" s="1"/>
      <c r="H578" s="1"/>
      <c r="I578" s="1"/>
      <c r="J578" s="1">
        <f>IF($F578="","",IF($H578="","Not rated",IF(OR($H578=Lists!$B$3,$H578=Lists!$B$5),IF(AND(LEFT(SUBSTITUTE($I578," ",""),LEN($F578)+1)=$F578&amp;"-",LEN(SUBSTITUTE($I578," ",""))&gt;LEN($F578)+1),"OK","Comment required"),"OK")))</f>
      </c>
    </row>
    <row r="579" spans="1:10" x14ac:dyDescent="0.25">
      <c r="A579" s="1"/>
      <c r="B579" s="20"/>
      <c r="C579" s="1"/>
      <c r="D579" s="1"/>
      <c r="E579" s="1"/>
      <c r="F579" s="1"/>
      <c r="G579" s="1"/>
      <c r="H579" s="1"/>
      <c r="I579" s="1"/>
      <c r="J579" s="1">
        <f>IF($F579="","",IF($H579="","Not rated",IF(OR($H579=Lists!$B$3,$H579=Lists!$B$5),IF(AND(LEFT(SUBSTITUTE($I579," ",""),LEN($F579)+1)=$F579&amp;"-",LEN(SUBSTITUTE($I579," ",""))&gt;LEN($F579)+1),"OK","Comment required"),"OK")))</f>
      </c>
    </row>
    <row r="580" spans="1:10" x14ac:dyDescent="0.25">
      <c r="A580" s="1"/>
      <c r="B580" s="20"/>
      <c r="C580" s="1"/>
      <c r="D580" s="1"/>
      <c r="E580" s="1"/>
      <c r="F580" s="1"/>
      <c r="G580" s="1"/>
      <c r="H580" s="1"/>
      <c r="I580" s="1"/>
      <c r="J580" s="1">
        <f>IF($F580="","",IF($H580="","Not rated",IF(OR($H580=Lists!$B$3,$H580=Lists!$B$5),IF(AND(LEFT(SUBSTITUTE($I580," ",""),LEN($F580)+1)=$F580&amp;"-",LEN(SUBSTITUTE($I580," ",""))&gt;LEN($F580)+1),"OK","Comment required"),"OK")))</f>
      </c>
    </row>
    <row r="581" spans="1:10" x14ac:dyDescent="0.25">
      <c r="A581" s="1"/>
      <c r="B581" s="20"/>
      <c r="C581" s="1"/>
      <c r="D581" s="1"/>
      <c r="E581" s="1"/>
      <c r="F581" s="1"/>
      <c r="G581" s="1"/>
      <c r="H581" s="1"/>
      <c r="I581" s="1"/>
      <c r="J581" s="1">
        <f>IF($F581="","",IF($H581="","Not rated",IF(OR($H581=Lists!$B$3,$H581=Lists!$B$5),IF(AND(LEFT(SUBSTITUTE($I581," ",""),LEN($F581)+1)=$F581&amp;"-",LEN(SUBSTITUTE($I581," ",""))&gt;LEN($F581)+1),"OK","Comment required"),"OK")))</f>
      </c>
    </row>
    <row r="582" spans="1:10" x14ac:dyDescent="0.25">
      <c r="A582" s="1"/>
      <c r="B582" s="20"/>
      <c r="C582" s="1"/>
      <c r="D582" s="1"/>
      <c r="E582" s="1"/>
      <c r="F582" s="1"/>
      <c r="G582" s="1"/>
      <c r="H582" s="1"/>
      <c r="I582" s="1"/>
      <c r="J582" s="1">
        <f>IF($F582="","",IF($H582="","Not rated",IF(OR($H582=Lists!$B$3,$H582=Lists!$B$5),IF(AND(LEFT(SUBSTITUTE($I582," ",""),LEN($F582)+1)=$F582&amp;"-",LEN(SUBSTITUTE($I582," ",""))&gt;LEN($F582)+1),"OK","Comment required"),"OK")))</f>
      </c>
    </row>
    <row r="583" spans="1:10" x14ac:dyDescent="0.25">
      <c r="A583" s="1"/>
      <c r="B583" s="20"/>
      <c r="C583" s="1"/>
      <c r="D583" s="1"/>
      <c r="E583" s="1"/>
      <c r="F583" s="1"/>
      <c r="G583" s="1"/>
      <c r="H583" s="1"/>
      <c r="I583" s="1"/>
      <c r="J583" s="1">
        <f>IF($F583="","",IF($H583="","Not rated",IF(OR($H583=Lists!$B$3,$H583=Lists!$B$5),IF(AND(LEFT(SUBSTITUTE($I583," ",""),LEN($F583)+1)=$F583&amp;"-",LEN(SUBSTITUTE($I583," ",""))&gt;LEN($F583)+1),"OK","Comment required"),"OK")))</f>
      </c>
    </row>
    <row r="584" spans="1:10" x14ac:dyDescent="0.25">
      <c r="A584" s="1"/>
      <c r="B584" s="20"/>
      <c r="C584" s="1"/>
      <c r="D584" s="1"/>
      <c r="E584" s="1"/>
      <c r="F584" s="1"/>
      <c r="G584" s="1"/>
      <c r="H584" s="1"/>
      <c r="I584" s="1"/>
      <c r="J584" s="1">
        <f>IF($F584="","",IF($H584="","Not rated",IF(OR($H584=Lists!$B$3,$H584=Lists!$B$5),IF(AND(LEFT(SUBSTITUTE($I584," ",""),LEN($F584)+1)=$F584&amp;"-",LEN(SUBSTITUTE($I584," ",""))&gt;LEN($F584)+1),"OK","Comment required"),"OK")))</f>
      </c>
    </row>
    <row r="585" spans="1:10" x14ac:dyDescent="0.25">
      <c r="A585" s="1"/>
      <c r="B585" s="20"/>
      <c r="C585" s="1"/>
      <c r="D585" s="1"/>
      <c r="E585" s="1"/>
      <c r="F585" s="1"/>
      <c r="G585" s="1"/>
      <c r="H585" s="1"/>
      <c r="I585" s="1"/>
      <c r="J585" s="1">
        <f>IF($F585="","",IF($H585="","Not rated",IF(OR($H585=Lists!$B$3,$H585=Lists!$B$5),IF(AND(LEFT(SUBSTITUTE($I585," ",""),LEN($F585)+1)=$F585&amp;"-",LEN(SUBSTITUTE($I585," ",""))&gt;LEN($F585)+1),"OK","Comment required"),"OK")))</f>
      </c>
    </row>
    <row r="586" spans="1:10" x14ac:dyDescent="0.25">
      <c r="A586" s="1"/>
      <c r="B586" s="20"/>
      <c r="C586" s="1"/>
      <c r="D586" s="1"/>
      <c r="E586" s="1"/>
      <c r="F586" s="1"/>
      <c r="G586" s="1"/>
      <c r="H586" s="1"/>
      <c r="I586" s="1"/>
      <c r="J586" s="1">
        <f>IF($F586="","",IF($H586="","Not rated",IF(OR($H586=Lists!$B$3,$H586=Lists!$B$5),IF(AND(LEFT(SUBSTITUTE($I586," ",""),LEN($F586)+1)=$F586&amp;"-",LEN(SUBSTITUTE($I586," ",""))&gt;LEN($F586)+1),"OK","Comment required"),"OK")))</f>
      </c>
    </row>
    <row r="587" spans="1:10" x14ac:dyDescent="0.25">
      <c r="A587" s="1"/>
      <c r="B587" s="20"/>
      <c r="C587" s="1"/>
      <c r="D587" s="1"/>
      <c r="E587" s="1"/>
      <c r="F587" s="1"/>
      <c r="G587" s="1"/>
      <c r="H587" s="1"/>
      <c r="I587" s="1"/>
      <c r="J587" s="1">
        <f>IF($F587="","",IF($H587="","Not rated",IF(OR($H587=Lists!$B$3,$H587=Lists!$B$5),IF(AND(LEFT(SUBSTITUTE($I587," ",""),LEN($F587)+1)=$F587&amp;"-",LEN(SUBSTITUTE($I587," ",""))&gt;LEN($F587)+1),"OK","Comment required"),"OK")))</f>
      </c>
    </row>
    <row r="588" spans="1:10" x14ac:dyDescent="0.25">
      <c r="A588" s="1"/>
      <c r="B588" s="20"/>
      <c r="C588" s="1"/>
      <c r="D588" s="1"/>
      <c r="E588" s="1"/>
      <c r="F588" s="1"/>
      <c r="G588" s="1"/>
      <c r="H588" s="1"/>
      <c r="I588" s="1"/>
      <c r="J588" s="1">
        <f>IF($F588="","",IF($H588="","Not rated",IF(OR($H588=Lists!$B$3,$H588=Lists!$B$5),IF(AND(LEFT(SUBSTITUTE($I588," ",""),LEN($F588)+1)=$F588&amp;"-",LEN(SUBSTITUTE($I588," ",""))&gt;LEN($F588)+1),"OK","Comment required"),"OK")))</f>
      </c>
    </row>
    <row r="589" spans="1:10" x14ac:dyDescent="0.25">
      <c r="A589" s="1"/>
      <c r="B589" s="20"/>
      <c r="C589" s="1"/>
      <c r="D589" s="1"/>
      <c r="E589" s="1"/>
      <c r="F589" s="1"/>
      <c r="G589" s="1"/>
      <c r="H589" s="1"/>
      <c r="I589" s="1"/>
      <c r="J589" s="1">
        <f>IF($F589="","",IF($H589="","Not rated",IF(OR($H589=Lists!$B$3,$H589=Lists!$B$5),IF(AND(LEFT(SUBSTITUTE($I589," ",""),LEN($F589)+1)=$F589&amp;"-",LEN(SUBSTITUTE($I589," ",""))&gt;LEN($F589)+1),"OK","Comment required"),"OK")))</f>
      </c>
    </row>
    <row r="590" spans="1:10" x14ac:dyDescent="0.25">
      <c r="A590" s="1"/>
      <c r="B590" s="20"/>
      <c r="C590" s="1"/>
      <c r="D590" s="1"/>
      <c r="E590" s="1"/>
      <c r="F590" s="1"/>
      <c r="G590" s="1"/>
      <c r="H590" s="1"/>
      <c r="I590" s="1"/>
      <c r="J590" s="1">
        <f>IF($F590="","",IF($H590="","Not rated",IF(OR($H590=Lists!$B$3,$H590=Lists!$B$5),IF(AND(LEFT(SUBSTITUTE($I590," ",""),LEN($F590)+1)=$F590&amp;"-",LEN(SUBSTITUTE($I590," ",""))&gt;LEN($F590)+1),"OK","Comment required"),"OK")))</f>
      </c>
    </row>
    <row r="591" spans="1:10" x14ac:dyDescent="0.25">
      <c r="A591" s="1"/>
      <c r="B591" s="20"/>
      <c r="C591" s="1"/>
      <c r="D591" s="1"/>
      <c r="E591" s="1"/>
      <c r="F591" s="1"/>
      <c r="G591" s="1"/>
      <c r="H591" s="1"/>
      <c r="I591" s="1"/>
      <c r="J591" s="1">
        <f>IF($F591="","",IF($H591="","Not rated",IF(OR($H591=Lists!$B$3,$H591=Lists!$B$5),IF(AND(LEFT(SUBSTITUTE($I591," ",""),LEN($F591)+1)=$F591&amp;"-",LEN(SUBSTITUTE($I591," ",""))&gt;LEN($F591)+1),"OK","Comment required"),"OK")))</f>
      </c>
    </row>
    <row r="592" spans="1:10" x14ac:dyDescent="0.25">
      <c r="A592" s="1"/>
      <c r="B592" s="20"/>
      <c r="C592" s="1"/>
      <c r="D592" s="1"/>
      <c r="E592" s="1"/>
      <c r="F592" s="1"/>
      <c r="G592" s="1"/>
      <c r="H592" s="1"/>
      <c r="I592" s="1"/>
      <c r="J592" s="1">
        <f>IF($F592="","",IF($H592="","Not rated",IF(OR($H592=Lists!$B$3,$H592=Lists!$B$5),IF(AND(LEFT(SUBSTITUTE($I592," ",""),LEN($F592)+1)=$F592&amp;"-",LEN(SUBSTITUTE($I592," ",""))&gt;LEN($F592)+1),"OK","Comment required"),"OK")))</f>
      </c>
    </row>
    <row r="593" spans="1:10" x14ac:dyDescent="0.25">
      <c r="A593" s="1"/>
      <c r="B593" s="20"/>
      <c r="C593" s="1"/>
      <c r="D593" s="1"/>
      <c r="E593" s="1"/>
      <c r="F593" s="1"/>
      <c r="G593" s="1"/>
      <c r="H593" s="1"/>
      <c r="I593" s="1"/>
      <c r="J593" s="1">
        <f>IF($F593="","",IF($H593="","Not rated",IF(OR($H593=Lists!$B$3,$H593=Lists!$B$5),IF(AND(LEFT(SUBSTITUTE($I593," ",""),LEN($F593)+1)=$F593&amp;"-",LEN(SUBSTITUTE($I593," ",""))&gt;LEN($F593)+1),"OK","Comment required"),"OK")))</f>
      </c>
    </row>
    <row r="594" spans="1:10" x14ac:dyDescent="0.25">
      <c r="A594" s="1"/>
      <c r="B594" s="20"/>
      <c r="C594" s="1"/>
      <c r="D594" s="1"/>
      <c r="E594" s="1"/>
      <c r="F594" s="1"/>
      <c r="G594" s="1"/>
      <c r="H594" s="1"/>
      <c r="I594" s="1"/>
      <c r="J594" s="1">
        <f>IF($F594="","",IF($H594="","Not rated",IF(OR($H594=Lists!$B$3,$H594=Lists!$B$5),IF(AND(LEFT(SUBSTITUTE($I594," ",""),LEN($F594)+1)=$F594&amp;"-",LEN(SUBSTITUTE($I594," ",""))&gt;LEN($F594)+1),"OK","Comment required"),"OK")))</f>
      </c>
    </row>
    <row r="595" spans="1:10" x14ac:dyDescent="0.25">
      <c r="A595" s="1"/>
      <c r="B595" s="20"/>
      <c r="C595" s="1"/>
      <c r="D595" s="1"/>
      <c r="E595" s="1"/>
      <c r="F595" s="1"/>
      <c r="G595" s="1"/>
      <c r="H595" s="1"/>
      <c r="I595" s="1"/>
      <c r="J595" s="1">
        <f>IF($F595="","",IF($H595="","Not rated",IF(OR($H595=Lists!$B$3,$H595=Lists!$B$5),IF(AND(LEFT(SUBSTITUTE($I595," ",""),LEN($F595)+1)=$F595&amp;"-",LEN(SUBSTITUTE($I595," ",""))&gt;LEN($F595)+1),"OK","Comment required"),"OK")))</f>
      </c>
    </row>
    <row r="596" spans="1:10" x14ac:dyDescent="0.25">
      <c r="A596" s="1"/>
      <c r="B596" s="20"/>
      <c r="C596" s="1"/>
      <c r="D596" s="1"/>
      <c r="E596" s="1"/>
      <c r="F596" s="1"/>
      <c r="G596" s="1"/>
      <c r="H596" s="1"/>
      <c r="I596" s="1"/>
      <c r="J596" s="1">
        <f>IF($F596="","",IF($H596="","Not rated",IF(OR($H596=Lists!$B$3,$H596=Lists!$B$5),IF(AND(LEFT(SUBSTITUTE($I596," ",""),LEN($F596)+1)=$F596&amp;"-",LEN(SUBSTITUTE($I596," ",""))&gt;LEN($F596)+1),"OK","Comment required"),"OK")))</f>
      </c>
    </row>
    <row r="597" spans="1:10" x14ac:dyDescent="0.25">
      <c r="A597" s="1"/>
      <c r="B597" s="20"/>
      <c r="C597" s="1"/>
      <c r="D597" s="1"/>
      <c r="E597" s="1"/>
      <c r="F597" s="1"/>
      <c r="G597" s="1"/>
      <c r="H597" s="1"/>
      <c r="I597" s="1"/>
      <c r="J597" s="1">
        <f>IF($F597="","",IF($H597="","Not rated",IF(OR($H597=Lists!$B$3,$H597=Lists!$B$5),IF(AND(LEFT(SUBSTITUTE($I597," ",""),LEN($F597)+1)=$F597&amp;"-",LEN(SUBSTITUTE($I597," ",""))&gt;LEN($F597)+1),"OK","Comment required"),"OK")))</f>
      </c>
    </row>
    <row r="598" spans="1:10" x14ac:dyDescent="0.25">
      <c r="A598" s="1"/>
      <c r="B598" s="20"/>
      <c r="C598" s="1"/>
      <c r="D598" s="1"/>
      <c r="E598" s="1"/>
      <c r="F598" s="1"/>
      <c r="G598" s="1"/>
      <c r="H598" s="1"/>
      <c r="I598" s="1"/>
      <c r="J598" s="1">
        <f>IF($F598="","",IF($H598="","Not rated",IF(OR($H598=Lists!$B$3,$H598=Lists!$B$5),IF(AND(LEFT(SUBSTITUTE($I598," ",""),LEN($F598)+1)=$F598&amp;"-",LEN(SUBSTITUTE($I598," ",""))&gt;LEN($F598)+1),"OK","Comment required"),"OK")))</f>
      </c>
    </row>
    <row r="599" spans="1:10" x14ac:dyDescent="0.25">
      <c r="A599" s="1"/>
      <c r="B599" s="20"/>
      <c r="C599" s="1"/>
      <c r="D599" s="1"/>
      <c r="E599" s="1"/>
      <c r="F599" s="1"/>
      <c r="G599" s="1"/>
      <c r="H599" s="1"/>
      <c r="I599" s="1"/>
      <c r="J599" s="1">
        <f>IF($F599="","",IF($H599="","Not rated",IF(OR($H599=Lists!$B$3,$H599=Lists!$B$5),IF(AND(LEFT(SUBSTITUTE($I599," ",""),LEN($F599)+1)=$F599&amp;"-",LEN(SUBSTITUTE($I599," ",""))&gt;LEN($F599)+1),"OK","Comment required"),"OK")))</f>
      </c>
    </row>
    <row r="600" spans="1:10" x14ac:dyDescent="0.25">
      <c r="A600" s="1"/>
      <c r="B600" s="20"/>
      <c r="C600" s="1"/>
      <c r="D600" s="1"/>
      <c r="E600" s="1"/>
      <c r="F600" s="1"/>
      <c r="G600" s="1"/>
      <c r="H600" s="1"/>
      <c r="I600" s="1"/>
      <c r="J600" s="1">
        <f>IF($F600="","",IF($H600="","Not rated",IF(OR($H600=Lists!$B$3,$H600=Lists!$B$5),IF(AND(LEFT(SUBSTITUTE($I600," ",""),LEN($F600)+1)=$F600&amp;"-",LEN(SUBSTITUTE($I600," ",""))&gt;LEN($F600)+1),"OK","Comment required"),"OK")))</f>
      </c>
    </row>
    <row r="601" spans="1:10" x14ac:dyDescent="0.25">
      <c r="A601" s="1"/>
      <c r="B601" s="20"/>
      <c r="C601" s="1"/>
      <c r="D601" s="1"/>
      <c r="E601" s="1"/>
      <c r="F601" s="1"/>
      <c r="G601" s="1"/>
      <c r="H601" s="1"/>
      <c r="I601" s="1"/>
      <c r="J601" s="1">
        <f>IF($F601="","",IF($H601="","Not rated",IF(OR($H601=Lists!$B$3,$H601=Lists!$B$5),IF(AND(LEFT(SUBSTITUTE($I601," ",""),LEN($F601)+1)=$F601&amp;"-",LEN(SUBSTITUTE($I601," ",""))&gt;LEN($F601)+1),"OK","Comment required"),"OK")))</f>
      </c>
    </row>
    <row r="602" spans="1:10" x14ac:dyDescent="0.25">
      <c r="A602" s="1"/>
      <c r="B602" s="20"/>
      <c r="C602" s="1"/>
      <c r="D602" s="1"/>
      <c r="E602" s="1"/>
      <c r="F602" s="1"/>
      <c r="G602" s="1"/>
      <c r="H602" s="1"/>
      <c r="I602" s="1"/>
      <c r="J602" s="1">
        <f>IF($F602="","",IF($H602="","Not rated",IF(OR($H602=Lists!$B$3,$H602=Lists!$B$5),IF(AND(LEFT(SUBSTITUTE($I602," ",""),LEN($F602)+1)=$F602&amp;"-",LEN(SUBSTITUTE($I602," ",""))&gt;LEN($F602)+1),"OK","Comment required"),"OK")))</f>
      </c>
    </row>
    <row r="603" spans="1:10" x14ac:dyDescent="0.25">
      <c r="A603" s="1"/>
      <c r="B603" s="20"/>
      <c r="C603" s="1"/>
      <c r="D603" s="1"/>
      <c r="E603" s="1"/>
      <c r="F603" s="1"/>
      <c r="G603" s="1"/>
      <c r="H603" s="1"/>
      <c r="I603" s="1"/>
      <c r="J603" s="1">
        <f>IF($F603="","",IF($H603="","Not rated",IF(OR($H603=Lists!$B$3,$H603=Lists!$B$5),IF(AND(LEFT(SUBSTITUTE($I603," ",""),LEN($F603)+1)=$F603&amp;"-",LEN(SUBSTITUTE($I603," ",""))&gt;LEN($F603)+1),"OK","Comment required"),"OK")))</f>
      </c>
    </row>
    <row r="604" spans="1:10" x14ac:dyDescent="0.25">
      <c r="A604" s="1"/>
      <c r="B604" s="20"/>
      <c r="C604" s="1"/>
      <c r="D604" s="1"/>
      <c r="E604" s="1"/>
      <c r="F604" s="1"/>
      <c r="G604" s="1"/>
      <c r="H604" s="1"/>
      <c r="I604" s="1"/>
      <c r="J604" s="1">
        <f>IF($F604="","",IF($H604="","Not rated",IF(OR($H604=Lists!$B$3,$H604=Lists!$B$5),IF(AND(LEFT(SUBSTITUTE($I604," ",""),LEN($F604)+1)=$F604&amp;"-",LEN(SUBSTITUTE($I604," ",""))&gt;LEN($F604)+1),"OK","Comment required"),"OK")))</f>
      </c>
    </row>
    <row r="605" spans="1:10" x14ac:dyDescent="0.25">
      <c r="A605" s="1"/>
      <c r="B605" s="20"/>
      <c r="C605" s="1"/>
      <c r="D605" s="1"/>
      <c r="E605" s="1"/>
      <c r="F605" s="1"/>
      <c r="G605" s="1"/>
      <c r="H605" s="1"/>
      <c r="I605" s="1"/>
      <c r="J605" s="1">
        <f>IF($F605="","",IF($H605="","Not rated",IF(OR($H605=Lists!$B$3,$H605=Lists!$B$5),IF(AND(LEFT(SUBSTITUTE($I605," ",""),LEN($F605)+1)=$F605&amp;"-",LEN(SUBSTITUTE($I605," ",""))&gt;LEN($F605)+1),"OK","Comment required"),"OK")))</f>
      </c>
    </row>
    <row r="606" spans="1:10" x14ac:dyDescent="0.25">
      <c r="A606" s="1"/>
      <c r="B606" s="20"/>
      <c r="C606" s="1"/>
      <c r="D606" s="1"/>
      <c r="E606" s="1"/>
      <c r="F606" s="1"/>
      <c r="G606" s="1"/>
      <c r="H606" s="1"/>
      <c r="I606" s="1"/>
      <c r="J606" s="1">
        <f>IF($F606="","",IF($H606="","Not rated",IF(OR($H606=Lists!$B$3,$H606=Lists!$B$5),IF(AND(LEFT(SUBSTITUTE($I606," ",""),LEN($F606)+1)=$F606&amp;"-",LEN(SUBSTITUTE($I606," ",""))&gt;LEN($F606)+1),"OK","Comment required"),"OK")))</f>
      </c>
    </row>
    <row r="607" spans="1:10" x14ac:dyDescent="0.25">
      <c r="A607" s="1"/>
      <c r="B607" s="20"/>
      <c r="C607" s="1"/>
      <c r="D607" s="1"/>
      <c r="E607" s="1"/>
      <c r="F607" s="1"/>
      <c r="G607" s="1"/>
      <c r="H607" s="1"/>
      <c r="I607" s="1"/>
      <c r="J607" s="1">
        <f>IF($F607="","",IF($H607="","Not rated",IF(OR($H607=Lists!$B$3,$H607=Lists!$B$5),IF(AND(LEFT(SUBSTITUTE($I607," ",""),LEN($F607)+1)=$F607&amp;"-",LEN(SUBSTITUTE($I607," ",""))&gt;LEN($F607)+1),"OK","Comment required"),"OK")))</f>
      </c>
    </row>
    <row r="608" spans="1:10" x14ac:dyDescent="0.25">
      <c r="A608" s="1"/>
      <c r="B608" s="20"/>
      <c r="C608" s="1"/>
      <c r="D608" s="1"/>
      <c r="E608" s="1"/>
      <c r="F608" s="1"/>
      <c r="G608" s="1"/>
      <c r="H608" s="1"/>
      <c r="I608" s="1"/>
      <c r="J608" s="1">
        <f>IF($F608="","",IF($H608="","Not rated",IF(OR($H608=Lists!$B$3,$H608=Lists!$B$5),IF(AND(LEFT(SUBSTITUTE($I608," ",""),LEN($F608)+1)=$F608&amp;"-",LEN(SUBSTITUTE($I608," ",""))&gt;LEN($F608)+1),"OK","Comment required"),"OK")))</f>
      </c>
    </row>
    <row r="609" spans="1:10" x14ac:dyDescent="0.25">
      <c r="A609" s="1"/>
      <c r="B609" s="20"/>
      <c r="C609" s="1"/>
      <c r="D609" s="1"/>
      <c r="E609" s="1"/>
      <c r="F609" s="1"/>
      <c r="G609" s="1"/>
      <c r="H609" s="1"/>
      <c r="I609" s="1"/>
      <c r="J609" s="1">
        <f>IF($F609="","",IF($H609="","Not rated",IF(OR($H609=Lists!$B$3,$H609=Lists!$B$5),IF(AND(LEFT(SUBSTITUTE($I609," ",""),LEN($F609)+1)=$F609&amp;"-",LEN(SUBSTITUTE($I609," ",""))&gt;LEN($F609)+1),"OK","Comment required"),"OK")))</f>
      </c>
    </row>
    <row r="610" spans="1:10" x14ac:dyDescent="0.25">
      <c r="A610" s="1"/>
      <c r="B610" s="20"/>
      <c r="C610" s="1"/>
      <c r="D610" s="1"/>
      <c r="E610" s="1"/>
      <c r="F610" s="1"/>
      <c r="G610" s="1"/>
      <c r="H610" s="1"/>
      <c r="I610" s="1"/>
      <c r="J610" s="1">
        <f>IF($F610="","",IF($H610="","Not rated",IF(OR($H610=Lists!$B$3,$H610=Lists!$B$5),IF(AND(LEFT(SUBSTITUTE($I610," ",""),LEN($F610)+1)=$F610&amp;"-",LEN(SUBSTITUTE($I610," ",""))&gt;LEN($F610)+1),"OK","Comment required"),"OK")))</f>
      </c>
    </row>
    <row r="611" spans="1:10" x14ac:dyDescent="0.25">
      <c r="A611" s="1"/>
      <c r="B611" s="20"/>
      <c r="C611" s="1"/>
      <c r="D611" s="1"/>
      <c r="E611" s="1"/>
      <c r="F611" s="1"/>
      <c r="G611" s="1"/>
      <c r="H611" s="1"/>
      <c r="I611" s="1"/>
      <c r="J611" s="1">
        <f>IF($F611="","",IF($H611="","Not rated",IF(OR($H611=Lists!$B$3,$H611=Lists!$B$5),IF(AND(LEFT(SUBSTITUTE($I611," ",""),LEN($F611)+1)=$F611&amp;"-",LEN(SUBSTITUTE($I611," ",""))&gt;LEN($F611)+1),"OK","Comment required"),"OK")))</f>
      </c>
    </row>
    <row r="612" spans="1:10" x14ac:dyDescent="0.25">
      <c r="A612" s="1"/>
      <c r="B612" s="20"/>
      <c r="C612" s="1"/>
      <c r="D612" s="1"/>
      <c r="E612" s="1"/>
      <c r="F612" s="1"/>
      <c r="G612" s="1"/>
      <c r="H612" s="1"/>
      <c r="I612" s="1"/>
      <c r="J612" s="1">
        <f>IF($F612="","",IF($H612="","Not rated",IF(OR($H612=Lists!$B$3,$H612=Lists!$B$5),IF(AND(LEFT(SUBSTITUTE($I612," ",""),LEN($F612)+1)=$F612&amp;"-",LEN(SUBSTITUTE($I612," ",""))&gt;LEN($F612)+1),"OK","Comment required"),"OK")))</f>
      </c>
    </row>
    <row r="613" spans="1:10" x14ac:dyDescent="0.25">
      <c r="A613" s="1"/>
      <c r="B613" s="20"/>
      <c r="C613" s="1"/>
      <c r="D613" s="1"/>
      <c r="E613" s="1"/>
      <c r="F613" s="1"/>
      <c r="G613" s="1"/>
      <c r="H613" s="1"/>
      <c r="I613" s="1"/>
      <c r="J613" s="1">
        <f>IF($F613="","",IF($H613="","Not rated",IF(OR($H613=Lists!$B$3,$H613=Lists!$B$5),IF(AND(LEFT(SUBSTITUTE($I613," ",""),LEN($F613)+1)=$F613&amp;"-",LEN(SUBSTITUTE($I613," ",""))&gt;LEN($F613)+1),"OK","Comment required"),"OK")))</f>
      </c>
    </row>
    <row r="614" spans="1:10" x14ac:dyDescent="0.25">
      <c r="A614" s="1"/>
      <c r="B614" s="20"/>
      <c r="C614" s="1"/>
      <c r="D614" s="1"/>
      <c r="E614" s="1"/>
      <c r="F614" s="1"/>
      <c r="G614" s="1"/>
      <c r="H614" s="1"/>
      <c r="I614" s="1"/>
      <c r="J614" s="1">
        <f>IF($F614="","",IF($H614="","Not rated",IF(OR($H614=Lists!$B$3,$H614=Lists!$B$5),IF(AND(LEFT(SUBSTITUTE($I614," ",""),LEN($F614)+1)=$F614&amp;"-",LEN(SUBSTITUTE($I614," ",""))&gt;LEN($F614)+1),"OK","Comment required"),"OK")))</f>
      </c>
    </row>
    <row r="615" spans="1:10" x14ac:dyDescent="0.25">
      <c r="A615" s="1"/>
      <c r="B615" s="20"/>
      <c r="C615" s="1"/>
      <c r="D615" s="1"/>
      <c r="E615" s="1"/>
      <c r="F615" s="1"/>
      <c r="G615" s="1"/>
      <c r="H615" s="1"/>
      <c r="I615" s="1"/>
      <c r="J615" s="1">
        <f>IF($F615="","",IF($H615="","Not rated",IF(OR($H615=Lists!$B$3,$H615=Lists!$B$5),IF(AND(LEFT(SUBSTITUTE($I615," ",""),LEN($F615)+1)=$F615&amp;"-",LEN(SUBSTITUTE($I615," ",""))&gt;LEN($F615)+1),"OK","Comment required"),"OK")))</f>
      </c>
    </row>
    <row r="616" spans="1:10" x14ac:dyDescent="0.25">
      <c r="A616" s="1"/>
      <c r="B616" s="20"/>
      <c r="C616" s="1"/>
      <c r="D616" s="1"/>
      <c r="E616" s="1"/>
      <c r="F616" s="1"/>
      <c r="G616" s="1"/>
      <c r="H616" s="1"/>
      <c r="I616" s="1"/>
      <c r="J616" s="1">
        <f>IF($F616="","",IF($H616="","Not rated",IF(OR($H616=Lists!$B$3,$H616=Lists!$B$5),IF(AND(LEFT(SUBSTITUTE($I616," ",""),LEN($F616)+1)=$F616&amp;"-",LEN(SUBSTITUTE($I616," ",""))&gt;LEN($F616)+1),"OK","Comment required"),"OK")))</f>
      </c>
    </row>
    <row r="617" spans="1:10" x14ac:dyDescent="0.25">
      <c r="A617" s="1"/>
      <c r="B617" s="20"/>
      <c r="C617" s="1"/>
      <c r="D617" s="1"/>
      <c r="E617" s="1"/>
      <c r="F617" s="1"/>
      <c r="G617" s="1"/>
      <c r="H617" s="1"/>
      <c r="I617" s="1"/>
      <c r="J617" s="1">
        <f>IF($F617="","",IF($H617="","Not rated",IF(OR($H617=Lists!$B$3,$H617=Lists!$B$5),IF(AND(LEFT(SUBSTITUTE($I617," ",""),LEN($F617)+1)=$F617&amp;"-",LEN(SUBSTITUTE($I617," ",""))&gt;LEN($F617)+1),"OK","Comment required"),"OK")))</f>
      </c>
    </row>
    <row r="618" spans="1:10" x14ac:dyDescent="0.25">
      <c r="A618" s="1"/>
      <c r="B618" s="20"/>
      <c r="C618" s="1"/>
      <c r="D618" s="1"/>
      <c r="E618" s="1"/>
      <c r="F618" s="1"/>
      <c r="G618" s="1"/>
      <c r="H618" s="1"/>
      <c r="I618" s="1"/>
      <c r="J618" s="1">
        <f>IF($F618="","",IF($H618="","Not rated",IF(OR($H618=Lists!$B$3,$H618=Lists!$B$5),IF(AND(LEFT(SUBSTITUTE($I618," ",""),LEN($F618)+1)=$F618&amp;"-",LEN(SUBSTITUTE($I618," ",""))&gt;LEN($F618)+1),"OK","Comment required"),"OK")))</f>
      </c>
    </row>
    <row r="619" spans="1:10" x14ac:dyDescent="0.25">
      <c r="A619" s="1"/>
      <c r="B619" s="20"/>
      <c r="C619" s="1"/>
      <c r="D619" s="1"/>
      <c r="E619" s="1"/>
      <c r="F619" s="1"/>
      <c r="G619" s="1"/>
      <c r="H619" s="1"/>
      <c r="I619" s="1"/>
      <c r="J619" s="1">
        <f>IF($F619="","",IF($H619="","Not rated",IF(OR($H619=Lists!$B$3,$H619=Lists!$B$5),IF(AND(LEFT(SUBSTITUTE($I619," ",""),LEN($F619)+1)=$F619&amp;"-",LEN(SUBSTITUTE($I619," ",""))&gt;LEN($F619)+1),"OK","Comment required"),"OK")))</f>
      </c>
    </row>
    <row r="620" spans="1:10" x14ac:dyDescent="0.25">
      <c r="A620" s="1"/>
      <c r="B620" s="20"/>
      <c r="C620" s="1"/>
      <c r="D620" s="1"/>
      <c r="E620" s="1"/>
      <c r="F620" s="1"/>
      <c r="G620" s="1"/>
      <c r="H620" s="1"/>
      <c r="I620" s="1"/>
      <c r="J620" s="1">
        <f>IF($F620="","",IF($H620="","Not rated",IF(OR($H620=Lists!$B$3,$H620=Lists!$B$5),IF(AND(LEFT(SUBSTITUTE($I620," ",""),LEN($F620)+1)=$F620&amp;"-",LEN(SUBSTITUTE($I620," ",""))&gt;LEN($F620)+1),"OK","Comment required"),"OK")))</f>
      </c>
    </row>
    <row r="621" spans="1:10" x14ac:dyDescent="0.25">
      <c r="A621" s="1"/>
      <c r="B621" s="20"/>
      <c r="C621" s="1"/>
      <c r="D621" s="1"/>
      <c r="E621" s="1"/>
      <c r="F621" s="1"/>
      <c r="G621" s="1"/>
      <c r="H621" s="1"/>
      <c r="I621" s="1"/>
      <c r="J621" s="1">
        <f>IF($F621="","",IF($H621="","Not rated",IF(OR($H621=Lists!$B$3,$H621=Lists!$B$5),IF(AND(LEFT(SUBSTITUTE($I621," ",""),LEN($F621)+1)=$F621&amp;"-",LEN(SUBSTITUTE($I621," ",""))&gt;LEN($F621)+1),"OK","Comment required"),"OK")))</f>
      </c>
    </row>
    <row r="622" spans="1:10" x14ac:dyDescent="0.25">
      <c r="A622" s="1"/>
      <c r="B622" s="20"/>
      <c r="C622" s="1"/>
      <c r="D622" s="1"/>
      <c r="E622" s="1"/>
      <c r="F622" s="1"/>
      <c r="G622" s="1"/>
      <c r="H622" s="1"/>
      <c r="I622" s="1"/>
      <c r="J622" s="1">
        <f>IF($F622="","",IF($H622="","Not rated",IF(OR($H622=Lists!$B$3,$H622=Lists!$B$5),IF(AND(LEFT(SUBSTITUTE($I622," ",""),LEN($F622)+1)=$F622&amp;"-",LEN(SUBSTITUTE($I622," ",""))&gt;LEN($F622)+1),"OK","Comment required"),"OK")))</f>
      </c>
    </row>
    <row r="623" spans="1:10" x14ac:dyDescent="0.25">
      <c r="A623" s="1"/>
      <c r="B623" s="20"/>
      <c r="C623" s="1"/>
      <c r="D623" s="1"/>
      <c r="E623" s="1"/>
      <c r="F623" s="1"/>
      <c r="G623" s="1"/>
      <c r="H623" s="1"/>
      <c r="I623" s="1"/>
      <c r="J623" s="1">
        <f>IF($F623="","",IF($H623="","Not rated",IF(OR($H623=Lists!$B$3,$H623=Lists!$B$5),IF(AND(LEFT(SUBSTITUTE($I623," ",""),LEN($F623)+1)=$F623&amp;"-",LEN(SUBSTITUTE($I623," ",""))&gt;LEN($F623)+1),"OK","Comment required"),"OK")))</f>
      </c>
    </row>
    <row r="624" spans="1:10" x14ac:dyDescent="0.25">
      <c r="A624" s="1"/>
      <c r="B624" s="20"/>
      <c r="C624" s="1"/>
      <c r="D624" s="1"/>
      <c r="E624" s="1"/>
      <c r="F624" s="1"/>
      <c r="G624" s="1"/>
      <c r="H624" s="1"/>
      <c r="I624" s="1"/>
      <c r="J624" s="1">
        <f>IF($F624="","",IF($H624="","Not rated",IF(OR($H624=Lists!$B$3,$H624=Lists!$B$5),IF(AND(LEFT(SUBSTITUTE($I624," ",""),LEN($F624)+1)=$F624&amp;"-",LEN(SUBSTITUTE($I624," ",""))&gt;LEN($F624)+1),"OK","Comment required"),"OK")))</f>
      </c>
    </row>
    <row r="625" spans="1:10" x14ac:dyDescent="0.25">
      <c r="A625" s="1"/>
      <c r="B625" s="20"/>
      <c r="C625" s="1"/>
      <c r="D625" s="1"/>
      <c r="E625" s="1"/>
      <c r="F625" s="1"/>
      <c r="G625" s="1"/>
      <c r="H625" s="1"/>
      <c r="I625" s="1"/>
      <c r="J625" s="1">
        <f>IF($F625="","",IF($H625="","Not rated",IF(OR($H625=Lists!$B$3,$H625=Lists!$B$5),IF(AND(LEFT(SUBSTITUTE($I625," ",""),LEN($F625)+1)=$F625&amp;"-",LEN(SUBSTITUTE($I625," ",""))&gt;LEN($F625)+1),"OK","Comment required"),"OK")))</f>
      </c>
    </row>
    <row r="626" spans="1:10" x14ac:dyDescent="0.25">
      <c r="A626" s="1"/>
      <c r="B626" s="20"/>
      <c r="C626" s="1"/>
      <c r="D626" s="1"/>
      <c r="E626" s="1"/>
      <c r="F626" s="1"/>
      <c r="G626" s="1"/>
      <c r="H626" s="1"/>
      <c r="I626" s="1"/>
      <c r="J626" s="1">
        <f>IF($F626="","",IF($H626="","Not rated",IF(OR($H626=Lists!$B$3,$H626=Lists!$B$5),IF(AND(LEFT(SUBSTITUTE($I626," ",""),LEN($F626)+1)=$F626&amp;"-",LEN(SUBSTITUTE($I626," ",""))&gt;LEN($F626)+1),"OK","Comment required"),"OK")))</f>
      </c>
    </row>
    <row r="627" spans="1:10" x14ac:dyDescent="0.25">
      <c r="A627" s="1"/>
      <c r="B627" s="20"/>
      <c r="C627" s="1"/>
      <c r="D627" s="1"/>
      <c r="E627" s="1"/>
      <c r="F627" s="1"/>
      <c r="G627" s="1"/>
      <c r="H627" s="1"/>
      <c r="I627" s="1"/>
      <c r="J627" s="1">
        <f>IF($F627="","",IF($H627="","Not rated",IF(OR($H627=Lists!$B$3,$H627=Lists!$B$5),IF(AND(LEFT(SUBSTITUTE($I627," ",""),LEN($F627)+1)=$F627&amp;"-",LEN(SUBSTITUTE($I627," ",""))&gt;LEN($F627)+1),"OK","Comment required"),"OK")))</f>
      </c>
    </row>
    <row r="628" spans="1:10" x14ac:dyDescent="0.25">
      <c r="A628" s="1"/>
      <c r="B628" s="20"/>
      <c r="C628" s="1"/>
      <c r="D628" s="1"/>
      <c r="E628" s="1"/>
      <c r="F628" s="1"/>
      <c r="G628" s="1"/>
      <c r="H628" s="1"/>
      <c r="I628" s="1"/>
      <c r="J628" s="1">
        <f>IF($F628="","",IF($H628="","Not rated",IF(OR($H628=Lists!$B$3,$H628=Lists!$B$5),IF(AND(LEFT(SUBSTITUTE($I628," ",""),LEN($F628)+1)=$F628&amp;"-",LEN(SUBSTITUTE($I628," ",""))&gt;LEN($F628)+1),"OK","Comment required"),"OK")))</f>
      </c>
    </row>
    <row r="629" spans="1:10" x14ac:dyDescent="0.25">
      <c r="A629" s="1"/>
      <c r="B629" s="20"/>
      <c r="C629" s="1"/>
      <c r="D629" s="1"/>
      <c r="E629" s="1"/>
      <c r="F629" s="1"/>
      <c r="G629" s="1"/>
      <c r="H629" s="1"/>
      <c r="I629" s="1"/>
      <c r="J629" s="1">
        <f>IF($F629="","",IF($H629="","Not rated",IF(OR($H629=Lists!$B$3,$H629=Lists!$B$5),IF(AND(LEFT(SUBSTITUTE($I629," ",""),LEN($F629)+1)=$F629&amp;"-",LEN(SUBSTITUTE($I629," ",""))&gt;LEN($F629)+1),"OK","Comment required"),"OK")))</f>
      </c>
    </row>
    <row r="630" spans="1:10" x14ac:dyDescent="0.25">
      <c r="A630" s="1"/>
      <c r="B630" s="20"/>
      <c r="C630" s="1"/>
      <c r="D630" s="1"/>
      <c r="E630" s="1"/>
      <c r="F630" s="1"/>
      <c r="G630" s="1"/>
      <c r="H630" s="1"/>
      <c r="I630" s="1"/>
      <c r="J630" s="1">
        <f>IF($F630="","",IF($H630="","Not rated",IF(OR($H630=Lists!$B$3,$H630=Lists!$B$5),IF(AND(LEFT(SUBSTITUTE($I630," ",""),LEN($F630)+1)=$F630&amp;"-",LEN(SUBSTITUTE($I630," ",""))&gt;LEN($F630)+1),"OK","Comment required"),"OK")))</f>
      </c>
    </row>
    <row r="631" spans="1:10" x14ac:dyDescent="0.25">
      <c r="A631" s="1"/>
      <c r="B631" s="20"/>
      <c r="C631" s="1"/>
      <c r="D631" s="1"/>
      <c r="E631" s="1"/>
      <c r="F631" s="1"/>
      <c r="G631" s="1"/>
      <c r="H631" s="1"/>
      <c r="I631" s="1"/>
      <c r="J631" s="1">
        <f>IF($F631="","",IF($H631="","Not rated",IF(OR($H631=Lists!$B$3,$H631=Lists!$B$5),IF(AND(LEFT(SUBSTITUTE($I631," ",""),LEN($F631)+1)=$F631&amp;"-",LEN(SUBSTITUTE($I631," ",""))&gt;LEN($F631)+1),"OK","Comment required"),"OK")))</f>
      </c>
    </row>
    <row r="632" spans="1:10" x14ac:dyDescent="0.25">
      <c r="A632" s="1"/>
      <c r="B632" s="20"/>
      <c r="C632" s="1"/>
      <c r="D632" s="1"/>
      <c r="E632" s="1"/>
      <c r="F632" s="1"/>
      <c r="G632" s="1"/>
      <c r="H632" s="1"/>
      <c r="I632" s="1"/>
      <c r="J632" s="1">
        <f>IF($F632="","",IF($H632="","Not rated",IF(OR($H632=Lists!$B$3,$H632=Lists!$B$5),IF(AND(LEFT(SUBSTITUTE($I632," ",""),LEN($F632)+1)=$F632&amp;"-",LEN(SUBSTITUTE($I632," ",""))&gt;LEN($F632)+1),"OK","Comment required"),"OK")))</f>
      </c>
    </row>
    <row r="633" spans="1:10" x14ac:dyDescent="0.25">
      <c r="A633" s="1"/>
      <c r="B633" s="20"/>
      <c r="C633" s="1"/>
      <c r="D633" s="1"/>
      <c r="E633" s="1"/>
      <c r="F633" s="1"/>
      <c r="G633" s="1"/>
      <c r="H633" s="1"/>
      <c r="I633" s="1"/>
      <c r="J633" s="1">
        <f>IF($F633="","",IF($H633="","Not rated",IF(OR($H633=Lists!$B$3,$H633=Lists!$B$5),IF(AND(LEFT(SUBSTITUTE($I633," ",""),LEN($F633)+1)=$F633&amp;"-",LEN(SUBSTITUTE($I633," ",""))&gt;LEN($F633)+1),"OK","Comment required"),"OK")))</f>
      </c>
    </row>
    <row r="634" spans="1:10" x14ac:dyDescent="0.25">
      <c r="A634" s="1"/>
      <c r="B634" s="20"/>
      <c r="C634" s="1"/>
      <c r="D634" s="1"/>
      <c r="E634" s="1"/>
      <c r="F634" s="1"/>
      <c r="G634" s="1"/>
      <c r="H634" s="1"/>
      <c r="I634" s="1"/>
      <c r="J634" s="1">
        <f>IF($F634="","",IF($H634="","Not rated",IF(OR($H634=Lists!$B$3,$H634=Lists!$B$5),IF(AND(LEFT(SUBSTITUTE($I634," ",""),LEN($F634)+1)=$F634&amp;"-",LEN(SUBSTITUTE($I634," ",""))&gt;LEN($F634)+1),"OK","Comment required"),"OK")))</f>
      </c>
    </row>
    <row r="635" spans="1:10" x14ac:dyDescent="0.25">
      <c r="A635" s="1"/>
      <c r="B635" s="20"/>
      <c r="C635" s="1"/>
      <c r="D635" s="1"/>
      <c r="E635" s="1"/>
      <c r="F635" s="1"/>
      <c r="G635" s="1"/>
      <c r="H635" s="1"/>
      <c r="I635" s="1"/>
      <c r="J635" s="1">
        <f>IF($F635="","",IF($H635="","Not rated",IF(OR($H635=Lists!$B$3,$H635=Lists!$B$5),IF(AND(LEFT(SUBSTITUTE($I635," ",""),LEN($F635)+1)=$F635&amp;"-",LEN(SUBSTITUTE($I635," ",""))&gt;LEN($F635)+1),"OK","Comment required"),"OK")))</f>
      </c>
    </row>
    <row r="636" spans="1:10" x14ac:dyDescent="0.25">
      <c r="A636" s="1"/>
      <c r="B636" s="20"/>
      <c r="C636" s="1"/>
      <c r="D636" s="1"/>
      <c r="E636" s="1"/>
      <c r="F636" s="1"/>
      <c r="G636" s="1"/>
      <c r="H636" s="1"/>
      <c r="I636" s="1"/>
      <c r="J636" s="1">
        <f>IF($F636="","",IF($H636="","Not rated",IF(OR($H636=Lists!$B$3,$H636=Lists!$B$5),IF(AND(LEFT(SUBSTITUTE($I636," ",""),LEN($F636)+1)=$F636&amp;"-",LEN(SUBSTITUTE($I636," ",""))&gt;LEN($F636)+1),"OK","Comment required"),"OK")))</f>
      </c>
    </row>
    <row r="637" spans="1:10" x14ac:dyDescent="0.25">
      <c r="A637" s="1"/>
      <c r="B637" s="20"/>
      <c r="C637" s="1"/>
      <c r="D637" s="1"/>
      <c r="E637" s="1"/>
      <c r="F637" s="1"/>
      <c r="G637" s="1"/>
      <c r="H637" s="1"/>
      <c r="I637" s="1"/>
      <c r="J637" s="1">
        <f>IF($F637="","",IF($H637="","Not rated",IF(OR($H637=Lists!$B$3,$H637=Lists!$B$5),IF(AND(LEFT(SUBSTITUTE($I637," ",""),LEN($F637)+1)=$F637&amp;"-",LEN(SUBSTITUTE($I637," ",""))&gt;LEN($F637)+1),"OK","Comment required"),"OK")))</f>
      </c>
    </row>
    <row r="638" spans="1:10" x14ac:dyDescent="0.25">
      <c r="A638" s="1"/>
      <c r="B638" s="20"/>
      <c r="C638" s="1"/>
      <c r="D638" s="1"/>
      <c r="E638" s="1"/>
      <c r="F638" s="1"/>
      <c r="G638" s="1"/>
      <c r="H638" s="1"/>
      <c r="I638" s="1"/>
      <c r="J638" s="1">
        <f>IF($F638="","",IF($H638="","Not rated",IF(OR($H638=Lists!$B$3,$H638=Lists!$B$5),IF(AND(LEFT(SUBSTITUTE($I638," ",""),LEN($F638)+1)=$F638&amp;"-",LEN(SUBSTITUTE($I638," ",""))&gt;LEN($F638)+1),"OK","Comment required"),"OK")))</f>
      </c>
    </row>
    <row r="639" spans="1:10" x14ac:dyDescent="0.25">
      <c r="A639" s="1"/>
      <c r="B639" s="20"/>
      <c r="C639" s="1"/>
      <c r="D639" s="1"/>
      <c r="E639" s="1"/>
      <c r="F639" s="1"/>
      <c r="G639" s="1"/>
      <c r="H639" s="1"/>
      <c r="I639" s="1"/>
      <c r="J639" s="1">
        <f>IF($F639="","",IF($H639="","Not rated",IF(OR($H639=Lists!$B$3,$H639=Lists!$B$5),IF(AND(LEFT(SUBSTITUTE($I639," ",""),LEN($F639)+1)=$F639&amp;"-",LEN(SUBSTITUTE($I639," ",""))&gt;LEN($F639)+1),"OK","Comment required"),"OK")))</f>
      </c>
    </row>
    <row r="640" spans="1:10" x14ac:dyDescent="0.25">
      <c r="A640" s="1"/>
      <c r="B640" s="20"/>
      <c r="C640" s="1"/>
      <c r="D640" s="1"/>
      <c r="E640" s="1"/>
      <c r="F640" s="1"/>
      <c r="G640" s="1"/>
      <c r="H640" s="1"/>
      <c r="I640" s="1"/>
      <c r="J640" s="1">
        <f>IF($F640="","",IF($H640="","Not rated",IF(OR($H640=Lists!$B$3,$H640=Lists!$B$5),IF(AND(LEFT(SUBSTITUTE($I640," ",""),LEN($F640)+1)=$F640&amp;"-",LEN(SUBSTITUTE($I640," ",""))&gt;LEN($F640)+1),"OK","Comment required"),"OK")))</f>
      </c>
    </row>
    <row r="641" spans="1:10" x14ac:dyDescent="0.25">
      <c r="A641" s="1"/>
      <c r="B641" s="20"/>
      <c r="C641" s="1"/>
      <c r="D641" s="1"/>
      <c r="E641" s="1"/>
      <c r="F641" s="1"/>
      <c r="G641" s="1"/>
      <c r="H641" s="1"/>
      <c r="I641" s="1"/>
      <c r="J641" s="1">
        <f>IF($F641="","",IF($H641="","Not rated",IF(OR($H641=Lists!$B$3,$H641=Lists!$B$5),IF(AND(LEFT(SUBSTITUTE($I641," ",""),LEN($F641)+1)=$F641&amp;"-",LEN(SUBSTITUTE($I641," ",""))&gt;LEN($F641)+1),"OK","Comment required"),"OK")))</f>
      </c>
    </row>
    <row r="642" spans="1:10" x14ac:dyDescent="0.25">
      <c r="A642" s="1"/>
      <c r="B642" s="20"/>
      <c r="C642" s="1"/>
      <c r="D642" s="1"/>
      <c r="E642" s="1"/>
      <c r="F642" s="1"/>
      <c r="G642" s="1"/>
      <c r="H642" s="1"/>
      <c r="I642" s="1"/>
      <c r="J642" s="1">
        <f>IF($F642="","",IF($H642="","Not rated",IF(OR($H642=Lists!$B$3,$H642=Lists!$B$5),IF(AND(LEFT(SUBSTITUTE($I642," ",""),LEN($F642)+1)=$F642&amp;"-",LEN(SUBSTITUTE($I642," ",""))&gt;LEN($F642)+1),"OK","Comment required"),"OK")))</f>
      </c>
    </row>
    <row r="643" spans="1:10" x14ac:dyDescent="0.25">
      <c r="A643" s="1"/>
      <c r="B643" s="20"/>
      <c r="C643" s="1"/>
      <c r="D643" s="1"/>
      <c r="E643" s="1"/>
      <c r="F643" s="1"/>
      <c r="G643" s="1"/>
      <c r="H643" s="1"/>
      <c r="I643" s="1"/>
      <c r="J643" s="1">
        <f>IF($F643="","",IF($H643="","Not rated",IF(OR($H643=Lists!$B$3,$H643=Lists!$B$5),IF(AND(LEFT(SUBSTITUTE($I643," ",""),LEN($F643)+1)=$F643&amp;"-",LEN(SUBSTITUTE($I643," ",""))&gt;LEN($F643)+1),"OK","Comment required"),"OK")))</f>
      </c>
    </row>
    <row r="644" spans="1:10" x14ac:dyDescent="0.25">
      <c r="A644" s="1"/>
      <c r="B644" s="20"/>
      <c r="C644" s="1"/>
      <c r="D644" s="1"/>
      <c r="E644" s="1"/>
      <c r="F644" s="1"/>
      <c r="G644" s="1"/>
      <c r="H644" s="1"/>
      <c r="I644" s="1"/>
      <c r="J644" s="1">
        <f>IF($F644="","",IF($H644="","Not rated",IF(OR($H644=Lists!$B$3,$H644=Lists!$B$5),IF(AND(LEFT(SUBSTITUTE($I644," ",""),LEN($F644)+1)=$F644&amp;"-",LEN(SUBSTITUTE($I644," ",""))&gt;LEN($F644)+1),"OK","Comment required"),"OK")))</f>
      </c>
    </row>
    <row r="645" spans="1:10" x14ac:dyDescent="0.25">
      <c r="A645" s="1"/>
      <c r="B645" s="20"/>
      <c r="C645" s="1"/>
      <c r="D645" s="1"/>
      <c r="E645" s="1"/>
      <c r="F645" s="1"/>
      <c r="G645" s="1"/>
      <c r="H645" s="1"/>
      <c r="I645" s="1"/>
      <c r="J645" s="1">
        <f>IF($F645="","",IF($H645="","Not rated",IF(OR($H645=Lists!$B$3,$H645=Lists!$B$5),IF(AND(LEFT(SUBSTITUTE($I645," ",""),LEN($F645)+1)=$F645&amp;"-",LEN(SUBSTITUTE($I645," ",""))&gt;LEN($F645)+1),"OK","Comment required"),"OK")))</f>
      </c>
    </row>
    <row r="646" spans="1:10" x14ac:dyDescent="0.25">
      <c r="A646" s="1"/>
      <c r="B646" s="20"/>
      <c r="C646" s="1"/>
      <c r="D646" s="1"/>
      <c r="E646" s="1"/>
      <c r="F646" s="1"/>
      <c r="G646" s="1"/>
      <c r="H646" s="1"/>
      <c r="I646" s="1"/>
      <c r="J646" s="1">
        <f>IF($F646="","",IF($H646="","Not rated",IF(OR($H646=Lists!$B$3,$H646=Lists!$B$5),IF(AND(LEFT(SUBSTITUTE($I646," ",""),LEN($F646)+1)=$F646&amp;"-",LEN(SUBSTITUTE($I646," ",""))&gt;LEN($F646)+1),"OK","Comment required"),"OK")))</f>
      </c>
    </row>
    <row r="647" spans="1:10" x14ac:dyDescent="0.25">
      <c r="A647" s="1"/>
      <c r="B647" s="20"/>
      <c r="C647" s="1"/>
      <c r="D647" s="1"/>
      <c r="E647" s="1"/>
      <c r="F647" s="1"/>
      <c r="G647" s="1"/>
      <c r="H647" s="1"/>
      <c r="I647" s="1"/>
      <c r="J647" s="1">
        <f>IF($F647="","",IF($H647="","Not rated",IF(OR($H647=Lists!$B$3,$H647=Lists!$B$5),IF(AND(LEFT(SUBSTITUTE($I647," ",""),LEN($F647)+1)=$F647&amp;"-",LEN(SUBSTITUTE($I647," ",""))&gt;LEN($F647)+1),"OK","Comment required"),"OK")))</f>
      </c>
    </row>
    <row r="648" spans="1:10" x14ac:dyDescent="0.25">
      <c r="A648" s="1"/>
      <c r="B648" s="20"/>
      <c r="C648" s="1"/>
      <c r="D648" s="1"/>
      <c r="E648" s="1"/>
      <c r="F648" s="1"/>
      <c r="G648" s="1"/>
      <c r="H648" s="1"/>
      <c r="I648" s="1"/>
      <c r="J648" s="1">
        <f>IF($F648="","",IF($H648="","Not rated",IF(OR($H648=Lists!$B$3,$H648=Lists!$B$5),IF(AND(LEFT(SUBSTITUTE($I648," ",""),LEN($F648)+1)=$F648&amp;"-",LEN(SUBSTITUTE($I648," ",""))&gt;LEN($F648)+1),"OK","Comment required"),"OK")))</f>
      </c>
    </row>
    <row r="649" spans="1:10" x14ac:dyDescent="0.25">
      <c r="A649" s="1"/>
      <c r="B649" s="20"/>
      <c r="C649" s="1"/>
      <c r="D649" s="1"/>
      <c r="E649" s="1"/>
      <c r="F649" s="1"/>
      <c r="G649" s="1"/>
      <c r="H649" s="1"/>
      <c r="I649" s="1"/>
      <c r="J649" s="1">
        <f>IF($F649="","",IF($H649="","Not rated",IF(OR($H649=Lists!$B$3,$H649=Lists!$B$5),IF(AND(LEFT(SUBSTITUTE($I649," ",""),LEN($F649)+1)=$F649&amp;"-",LEN(SUBSTITUTE($I649," ",""))&gt;LEN($F649)+1),"OK","Comment required"),"OK")))</f>
      </c>
    </row>
    <row r="650" spans="1:10" x14ac:dyDescent="0.25">
      <c r="A650" s="1"/>
      <c r="B650" s="20"/>
      <c r="C650" s="1"/>
      <c r="D650" s="1"/>
      <c r="E650" s="1"/>
      <c r="F650" s="1"/>
      <c r="G650" s="1"/>
      <c r="H650" s="1"/>
      <c r="I650" s="1"/>
      <c r="J650" s="1">
        <f>IF($F650="","",IF($H650="","Not rated",IF(OR($H650=Lists!$B$3,$H650=Lists!$B$5),IF(AND(LEFT(SUBSTITUTE($I650," ",""),LEN($F650)+1)=$F650&amp;"-",LEN(SUBSTITUTE($I650," ",""))&gt;LEN($F650)+1),"OK","Comment required"),"OK")))</f>
      </c>
    </row>
    <row r="651" spans="1:10" x14ac:dyDescent="0.25">
      <c r="A651" s="1"/>
      <c r="B651" s="20"/>
      <c r="C651" s="1"/>
      <c r="D651" s="1"/>
      <c r="E651" s="1"/>
      <c r="F651" s="1"/>
      <c r="G651" s="1"/>
      <c r="H651" s="1"/>
      <c r="I651" s="1"/>
      <c r="J651" s="1">
        <f>IF($F651="","",IF($H651="","Not rated",IF(OR($H651=Lists!$B$3,$H651=Lists!$B$5),IF(AND(LEFT(SUBSTITUTE($I651," ",""),LEN($F651)+1)=$F651&amp;"-",LEN(SUBSTITUTE($I651," ",""))&gt;LEN($F651)+1),"OK","Comment required"),"OK")))</f>
      </c>
    </row>
    <row r="652" spans="1:10" x14ac:dyDescent="0.25">
      <c r="A652" s="1"/>
      <c r="B652" s="20"/>
      <c r="C652" s="1"/>
      <c r="D652" s="1"/>
      <c r="E652" s="1"/>
      <c r="F652" s="1"/>
      <c r="G652" s="1"/>
      <c r="H652" s="1"/>
      <c r="I652" s="1"/>
      <c r="J652" s="1">
        <f>IF($F652="","",IF($H652="","Not rated",IF(OR($H652=Lists!$B$3,$H652=Lists!$B$5),IF(AND(LEFT(SUBSTITUTE($I652," ",""),LEN($F652)+1)=$F652&amp;"-",LEN(SUBSTITUTE($I652," ",""))&gt;LEN($F652)+1),"OK","Comment required"),"OK")))</f>
      </c>
    </row>
    <row r="653" spans="1:10" x14ac:dyDescent="0.25">
      <c r="A653" s="1"/>
      <c r="B653" s="20"/>
      <c r="C653" s="1"/>
      <c r="D653" s="1"/>
      <c r="E653" s="1"/>
      <c r="F653" s="1"/>
      <c r="G653" s="1"/>
      <c r="H653" s="1"/>
      <c r="I653" s="1"/>
      <c r="J653" s="1">
        <f>IF($F653="","",IF($H653="","Not rated",IF(OR($H653=Lists!$B$3,$H653=Lists!$B$5),IF(AND(LEFT(SUBSTITUTE($I653," ",""),LEN($F653)+1)=$F653&amp;"-",LEN(SUBSTITUTE($I653," ",""))&gt;LEN($F653)+1),"OK","Comment required"),"OK")))</f>
      </c>
    </row>
    <row r="654" spans="1:10" x14ac:dyDescent="0.25">
      <c r="A654" s="1"/>
      <c r="B654" s="20"/>
      <c r="C654" s="1"/>
      <c r="D654" s="1"/>
      <c r="E654" s="1"/>
      <c r="F654" s="1"/>
      <c r="G654" s="1"/>
      <c r="H654" s="1"/>
      <c r="I654" s="1"/>
      <c r="J654" s="1">
        <f>IF($F654="","",IF($H654="","Not rated",IF(OR($H654=Lists!$B$3,$H654=Lists!$B$5),IF(AND(LEFT(SUBSTITUTE($I654," ",""),LEN($F654)+1)=$F654&amp;"-",LEN(SUBSTITUTE($I654," ",""))&gt;LEN($F654)+1),"OK","Comment required"),"OK")))</f>
      </c>
    </row>
    <row r="655" spans="1:10" x14ac:dyDescent="0.25">
      <c r="A655" s="1"/>
      <c r="B655" s="20"/>
      <c r="C655" s="1"/>
      <c r="D655" s="1"/>
      <c r="E655" s="1"/>
      <c r="F655" s="1"/>
      <c r="G655" s="1"/>
      <c r="H655" s="1"/>
      <c r="I655" s="1"/>
      <c r="J655" s="1">
        <f>IF($F655="","",IF($H655="","Not rated",IF(OR($H655=Lists!$B$3,$H655=Lists!$B$5),IF(AND(LEFT(SUBSTITUTE($I655," ",""),LEN($F655)+1)=$F655&amp;"-",LEN(SUBSTITUTE($I655," ",""))&gt;LEN($F655)+1),"OK","Comment required"),"OK")))</f>
      </c>
    </row>
    <row r="656" spans="1:10" x14ac:dyDescent="0.25">
      <c r="A656" s="1"/>
      <c r="B656" s="20"/>
      <c r="C656" s="1"/>
      <c r="D656" s="1"/>
      <c r="E656" s="1"/>
      <c r="F656" s="1"/>
      <c r="G656" s="1"/>
      <c r="H656" s="1"/>
      <c r="I656" s="1"/>
      <c r="J656" s="1">
        <f>IF($F656="","",IF($H656="","Not rated",IF(OR($H656=Lists!$B$3,$H656=Lists!$B$5),IF(AND(LEFT(SUBSTITUTE($I656," ",""),LEN($F656)+1)=$F656&amp;"-",LEN(SUBSTITUTE($I656," ",""))&gt;LEN($F656)+1),"OK","Comment required"),"OK")))</f>
      </c>
    </row>
    <row r="657" spans="1:10" x14ac:dyDescent="0.25">
      <c r="A657" s="1"/>
      <c r="B657" s="20"/>
      <c r="C657" s="1"/>
      <c r="D657" s="1"/>
      <c r="E657" s="1"/>
      <c r="F657" s="1"/>
      <c r="G657" s="1"/>
      <c r="H657" s="1"/>
      <c r="I657" s="1"/>
      <c r="J657" s="1">
        <f>IF($F657="","",IF($H657="","Not rated",IF(OR($H657=Lists!$B$3,$H657=Lists!$B$5),IF(AND(LEFT(SUBSTITUTE($I657," ",""),LEN($F657)+1)=$F657&amp;"-",LEN(SUBSTITUTE($I657," ",""))&gt;LEN($F657)+1),"OK","Comment required"),"OK")))</f>
      </c>
    </row>
    <row r="658" spans="1:10" x14ac:dyDescent="0.25">
      <c r="A658" s="1"/>
      <c r="B658" s="20"/>
      <c r="C658" s="1"/>
      <c r="D658" s="1"/>
      <c r="E658" s="1"/>
      <c r="F658" s="1"/>
      <c r="G658" s="1"/>
      <c r="H658" s="1"/>
      <c r="I658" s="1"/>
      <c r="J658" s="1">
        <f>IF($F658="","",IF($H658="","Not rated",IF(OR($H658=Lists!$B$3,$H658=Lists!$B$5),IF(AND(LEFT(SUBSTITUTE($I658," ",""),LEN($F658)+1)=$F658&amp;"-",LEN(SUBSTITUTE($I658," ",""))&gt;LEN($F658)+1),"OK","Comment required"),"OK")))</f>
      </c>
    </row>
    <row r="659" spans="1:10" x14ac:dyDescent="0.25">
      <c r="A659" s="1"/>
      <c r="B659" s="20"/>
      <c r="C659" s="1"/>
      <c r="D659" s="1"/>
      <c r="E659" s="1"/>
      <c r="F659" s="1"/>
      <c r="G659" s="1"/>
      <c r="H659" s="1"/>
      <c r="I659" s="1"/>
      <c r="J659" s="1">
        <f>IF($F659="","",IF($H659="","Not rated",IF(OR($H659=Lists!$B$3,$H659=Lists!$B$5),IF(AND(LEFT(SUBSTITUTE($I659," ",""),LEN($F659)+1)=$F659&amp;"-",LEN(SUBSTITUTE($I659," ",""))&gt;LEN($F659)+1),"OK","Comment required"),"OK")))</f>
      </c>
    </row>
    <row r="660" spans="1:10" x14ac:dyDescent="0.25">
      <c r="A660" s="1"/>
      <c r="B660" s="20"/>
      <c r="C660" s="1"/>
      <c r="D660" s="1"/>
      <c r="E660" s="1"/>
      <c r="F660" s="1"/>
      <c r="G660" s="1"/>
      <c r="H660" s="1"/>
      <c r="I660" s="1"/>
      <c r="J660" s="1">
        <f>IF($F660="","",IF($H660="","Not rated",IF(OR($H660=Lists!$B$3,$H660=Lists!$B$5),IF(AND(LEFT(SUBSTITUTE($I660," ",""),LEN($F660)+1)=$F660&amp;"-",LEN(SUBSTITUTE($I660," ",""))&gt;LEN($F660)+1),"OK","Comment required"),"OK")))</f>
      </c>
    </row>
    <row r="661" spans="1:10" x14ac:dyDescent="0.25">
      <c r="A661" s="1"/>
      <c r="B661" s="20"/>
      <c r="C661" s="1"/>
      <c r="D661" s="1"/>
      <c r="E661" s="1"/>
      <c r="F661" s="1"/>
      <c r="G661" s="1"/>
      <c r="H661" s="1"/>
      <c r="I661" s="1"/>
      <c r="J661" s="1">
        <f>IF($F661="","",IF($H661="","Not rated",IF(OR($H661=Lists!$B$3,$H661=Lists!$B$5),IF(AND(LEFT(SUBSTITUTE($I661," ",""),LEN($F661)+1)=$F661&amp;"-",LEN(SUBSTITUTE($I661," ",""))&gt;LEN($F661)+1),"OK","Comment required"),"OK")))</f>
      </c>
    </row>
    <row r="662" spans="1:10" x14ac:dyDescent="0.25">
      <c r="A662" s="1"/>
      <c r="B662" s="20"/>
      <c r="C662" s="1"/>
      <c r="D662" s="1"/>
      <c r="E662" s="1"/>
      <c r="F662" s="1"/>
      <c r="G662" s="1"/>
      <c r="H662" s="1"/>
      <c r="I662" s="1"/>
      <c r="J662" s="1">
        <f>IF($F662="","",IF($H662="","Not rated",IF(OR($H662=Lists!$B$3,$H662=Lists!$B$5),IF(AND(LEFT(SUBSTITUTE($I662," ",""),LEN($F662)+1)=$F662&amp;"-",LEN(SUBSTITUTE($I662," ",""))&gt;LEN($F662)+1),"OK","Comment required"),"OK")))</f>
      </c>
    </row>
    <row r="663" spans="1:10" x14ac:dyDescent="0.25">
      <c r="A663" s="1"/>
      <c r="B663" s="20"/>
      <c r="C663" s="1"/>
      <c r="D663" s="1"/>
      <c r="E663" s="1"/>
      <c r="F663" s="1"/>
      <c r="G663" s="1"/>
      <c r="H663" s="1"/>
      <c r="I663" s="1"/>
      <c r="J663" s="1">
        <f>IF($F663="","",IF($H663="","Not rated",IF(OR($H663=Lists!$B$3,$H663=Lists!$B$5),IF(AND(LEFT(SUBSTITUTE($I663," ",""),LEN($F663)+1)=$F663&amp;"-",LEN(SUBSTITUTE($I663," ",""))&gt;LEN($F663)+1),"OK","Comment required"),"OK")))</f>
      </c>
    </row>
    <row r="664" spans="1:10" x14ac:dyDescent="0.25">
      <c r="A664" s="1"/>
      <c r="B664" s="20"/>
      <c r="C664" s="1"/>
      <c r="D664" s="1"/>
      <c r="E664" s="1"/>
      <c r="F664" s="1"/>
      <c r="G664" s="1"/>
      <c r="H664" s="1"/>
      <c r="I664" s="1"/>
      <c r="J664" s="1">
        <f>IF($F664="","",IF($H664="","Not rated",IF(OR($H664=Lists!$B$3,$H664=Lists!$B$5),IF(AND(LEFT(SUBSTITUTE($I664," ",""),LEN($F664)+1)=$F664&amp;"-",LEN(SUBSTITUTE($I664," ",""))&gt;LEN($F664)+1),"OK","Comment required"),"OK")))</f>
      </c>
    </row>
    <row r="665" spans="1:10" x14ac:dyDescent="0.25">
      <c r="A665" s="1"/>
      <c r="B665" s="20"/>
      <c r="C665" s="1"/>
      <c r="D665" s="1"/>
      <c r="E665" s="1"/>
      <c r="F665" s="1"/>
      <c r="G665" s="1"/>
      <c r="H665" s="1"/>
      <c r="I665" s="1"/>
      <c r="J665" s="1">
        <f>IF($F665="","",IF($H665="","Not rated",IF(OR($H665=Lists!$B$3,$H665=Lists!$B$5),IF(AND(LEFT(SUBSTITUTE($I665," ",""),LEN($F665)+1)=$F665&amp;"-",LEN(SUBSTITUTE($I665," ",""))&gt;LEN($F665)+1),"OK","Comment required"),"OK")))</f>
      </c>
    </row>
    <row r="666" spans="1:10" x14ac:dyDescent="0.25">
      <c r="A666" s="1"/>
      <c r="B666" s="20"/>
      <c r="C666" s="1"/>
      <c r="D666" s="1"/>
      <c r="E666" s="1"/>
      <c r="F666" s="1"/>
      <c r="G666" s="1"/>
      <c r="H666" s="1"/>
      <c r="I666" s="1"/>
      <c r="J666" s="1">
        <f>IF($F666="","",IF($H666="","Not rated",IF(OR($H666=Lists!$B$3,$H666=Lists!$B$5),IF(AND(LEFT(SUBSTITUTE($I666," ",""),LEN($F666)+1)=$F666&amp;"-",LEN(SUBSTITUTE($I666," ",""))&gt;LEN($F666)+1),"OK","Comment required"),"OK")))</f>
      </c>
    </row>
    <row r="667" spans="1:10" x14ac:dyDescent="0.25">
      <c r="A667" s="1"/>
      <c r="B667" s="20"/>
      <c r="C667" s="1"/>
      <c r="D667" s="1"/>
      <c r="E667" s="1"/>
      <c r="F667" s="1"/>
      <c r="G667" s="1"/>
      <c r="H667" s="1"/>
      <c r="I667" s="1"/>
      <c r="J667" s="1">
        <f>IF($F667="","",IF($H667="","Not rated",IF(OR($H667=Lists!$B$3,$H667=Lists!$B$5),IF(AND(LEFT(SUBSTITUTE($I667," ",""),LEN($F667)+1)=$F667&amp;"-",LEN(SUBSTITUTE($I667," ",""))&gt;LEN($F667)+1),"OK","Comment required"),"OK")))</f>
      </c>
    </row>
    <row r="668" spans="1:10" x14ac:dyDescent="0.25">
      <c r="A668" s="1"/>
      <c r="B668" s="20"/>
      <c r="C668" s="1"/>
      <c r="D668" s="1"/>
      <c r="E668" s="1"/>
      <c r="F668" s="1"/>
      <c r="G668" s="1"/>
      <c r="H668" s="1"/>
      <c r="I668" s="1"/>
      <c r="J668" s="1">
        <f>IF($F668="","",IF($H668="","Not rated",IF(OR($H668=Lists!$B$3,$H668=Lists!$B$5),IF(AND(LEFT(SUBSTITUTE($I668," ",""),LEN($F668)+1)=$F668&amp;"-",LEN(SUBSTITUTE($I668," ",""))&gt;LEN($F668)+1),"OK","Comment required"),"OK")))</f>
      </c>
    </row>
    <row r="669" spans="1:10" x14ac:dyDescent="0.25">
      <c r="A669" s="1"/>
      <c r="B669" s="20"/>
      <c r="C669" s="1"/>
      <c r="D669" s="1"/>
      <c r="E669" s="1"/>
      <c r="F669" s="1"/>
      <c r="G669" s="1"/>
      <c r="H669" s="1"/>
      <c r="I669" s="1"/>
      <c r="J669" s="1">
        <f>IF($F669="","",IF($H669="","Not rated",IF(OR($H669=Lists!$B$3,$H669=Lists!$B$5),IF(AND(LEFT(SUBSTITUTE($I669," ",""),LEN($F669)+1)=$F669&amp;"-",LEN(SUBSTITUTE($I669," ",""))&gt;LEN($F669)+1),"OK","Comment required"),"OK")))</f>
      </c>
    </row>
    <row r="670" spans="1:10" x14ac:dyDescent="0.25">
      <c r="A670" s="1"/>
      <c r="B670" s="20"/>
      <c r="C670" s="1"/>
      <c r="D670" s="1"/>
      <c r="E670" s="1"/>
      <c r="F670" s="1"/>
      <c r="G670" s="1"/>
      <c r="H670" s="1"/>
      <c r="I670" s="1"/>
      <c r="J670" s="1">
        <f>IF($F670="","",IF($H670="","Not rated",IF(OR($H670=Lists!$B$3,$H670=Lists!$B$5),IF(AND(LEFT(SUBSTITUTE($I670," ",""),LEN($F670)+1)=$F670&amp;"-",LEN(SUBSTITUTE($I670," ",""))&gt;LEN($F670)+1),"OK","Comment required"),"OK")))</f>
      </c>
    </row>
    <row r="671" spans="1:10" x14ac:dyDescent="0.25">
      <c r="A671" s="1"/>
      <c r="B671" s="20"/>
      <c r="C671" s="1"/>
      <c r="D671" s="1"/>
      <c r="E671" s="1"/>
      <c r="F671" s="1"/>
      <c r="G671" s="1"/>
      <c r="H671" s="1"/>
      <c r="I671" s="1"/>
      <c r="J671" s="1">
        <f>IF($F671="","",IF($H671="","Not rated",IF(OR($H671=Lists!$B$3,$H671=Lists!$B$5),IF(AND(LEFT(SUBSTITUTE($I671," ",""),LEN($F671)+1)=$F671&amp;"-",LEN(SUBSTITUTE($I671," ",""))&gt;LEN($F671)+1),"OK","Comment required"),"OK")))</f>
      </c>
    </row>
    <row r="672" spans="1:10" x14ac:dyDescent="0.25">
      <c r="A672" s="1"/>
      <c r="B672" s="20"/>
      <c r="C672" s="1"/>
      <c r="D672" s="1"/>
      <c r="E672" s="1"/>
      <c r="F672" s="1"/>
      <c r="G672" s="1"/>
      <c r="H672" s="1"/>
      <c r="I672" s="1"/>
      <c r="J672" s="1">
        <f>IF($F672="","",IF($H672="","Not rated",IF(OR($H672=Lists!$B$3,$H672=Lists!$B$5),IF(AND(LEFT(SUBSTITUTE($I672," ",""),LEN($F672)+1)=$F672&amp;"-",LEN(SUBSTITUTE($I672," ",""))&gt;LEN($F672)+1),"OK","Comment required"),"OK")))</f>
      </c>
    </row>
    <row r="673" spans="1:10" x14ac:dyDescent="0.25">
      <c r="A673" s="1"/>
      <c r="B673" s="20"/>
      <c r="C673" s="1"/>
      <c r="D673" s="1"/>
      <c r="E673" s="1"/>
      <c r="F673" s="1"/>
      <c r="G673" s="1"/>
      <c r="H673" s="1"/>
      <c r="I673" s="1"/>
      <c r="J673" s="1">
        <f>IF($F673="","",IF($H673="","Not rated",IF(OR($H673=Lists!$B$3,$H673=Lists!$B$5),IF(AND(LEFT(SUBSTITUTE($I673," ",""),LEN($F673)+1)=$F673&amp;"-",LEN(SUBSTITUTE($I673," ",""))&gt;LEN($F673)+1),"OK","Comment required"),"OK")))</f>
      </c>
    </row>
    <row r="674" spans="1:10" x14ac:dyDescent="0.25">
      <c r="A674" s="1"/>
      <c r="B674" s="20"/>
      <c r="C674" s="1"/>
      <c r="D674" s="1"/>
      <c r="E674" s="1"/>
      <c r="F674" s="1"/>
      <c r="G674" s="1"/>
      <c r="H674" s="1"/>
      <c r="I674" s="1"/>
      <c r="J674" s="1">
        <f>IF($F674="","",IF($H674="","Not rated",IF(OR($H674=Lists!$B$3,$H674=Lists!$B$5),IF(AND(LEFT(SUBSTITUTE($I674," ",""),LEN($F674)+1)=$F674&amp;"-",LEN(SUBSTITUTE($I674," ",""))&gt;LEN($F674)+1),"OK","Comment required"),"OK")))</f>
      </c>
    </row>
    <row r="675" spans="1:10" x14ac:dyDescent="0.25">
      <c r="A675" s="1"/>
      <c r="B675" s="20"/>
      <c r="C675" s="1"/>
      <c r="D675" s="1"/>
      <c r="E675" s="1"/>
      <c r="F675" s="1"/>
      <c r="G675" s="1"/>
      <c r="H675" s="1"/>
      <c r="I675" s="1"/>
      <c r="J675" s="1">
        <f>IF($F675="","",IF($H675="","Not rated",IF(OR($H675=Lists!$B$3,$H675=Lists!$B$5),IF(AND(LEFT(SUBSTITUTE($I675," ",""),LEN($F675)+1)=$F675&amp;"-",LEN(SUBSTITUTE($I675," ",""))&gt;LEN($F675)+1),"OK","Comment required"),"OK")))</f>
      </c>
    </row>
    <row r="676" spans="1:10" x14ac:dyDescent="0.25">
      <c r="A676" s="1"/>
      <c r="B676" s="20"/>
      <c r="C676" s="1"/>
      <c r="D676" s="1"/>
      <c r="E676" s="1"/>
      <c r="F676" s="1"/>
      <c r="G676" s="1"/>
      <c r="H676" s="1"/>
      <c r="I676" s="1"/>
      <c r="J676" s="1">
        <f>IF($F676="","",IF($H676="","Not rated",IF(OR($H676=Lists!$B$3,$H676=Lists!$B$5),IF(AND(LEFT(SUBSTITUTE($I676," ",""),LEN($F676)+1)=$F676&amp;"-",LEN(SUBSTITUTE($I676," ",""))&gt;LEN($F676)+1),"OK","Comment required"),"OK")))</f>
      </c>
    </row>
    <row r="677" spans="1:10" x14ac:dyDescent="0.25">
      <c r="A677" s="1"/>
      <c r="B677" s="20"/>
      <c r="C677" s="1"/>
      <c r="D677" s="1"/>
      <c r="E677" s="1"/>
      <c r="F677" s="1"/>
      <c r="G677" s="1"/>
      <c r="H677" s="1"/>
      <c r="I677" s="1"/>
      <c r="J677" s="1">
        <f>IF($F677="","",IF($H677="","Not rated",IF(OR($H677=Lists!$B$3,$H677=Lists!$B$5),IF(AND(LEFT(SUBSTITUTE($I677," ",""),LEN($F677)+1)=$F677&amp;"-",LEN(SUBSTITUTE($I677," ",""))&gt;LEN($F677)+1),"OK","Comment required"),"OK")))</f>
      </c>
    </row>
    <row r="678" spans="1:10" x14ac:dyDescent="0.25">
      <c r="A678" s="1"/>
      <c r="B678" s="20"/>
      <c r="C678" s="1"/>
      <c r="D678" s="1"/>
      <c r="E678" s="1"/>
      <c r="F678" s="1"/>
      <c r="G678" s="1"/>
      <c r="H678" s="1"/>
      <c r="I678" s="1"/>
      <c r="J678" s="1">
        <f>IF($F678="","",IF($H678="","Not rated",IF(OR($H678=Lists!$B$3,$H678=Lists!$B$5),IF(AND(LEFT(SUBSTITUTE($I678," ",""),LEN($F678)+1)=$F678&amp;"-",LEN(SUBSTITUTE($I678," ",""))&gt;LEN($F678)+1),"OK","Comment required"),"OK")))</f>
      </c>
    </row>
    <row r="679" spans="1:10" x14ac:dyDescent="0.25">
      <c r="A679" s="1"/>
      <c r="B679" s="20"/>
      <c r="C679" s="1"/>
      <c r="D679" s="1"/>
      <c r="E679" s="1"/>
      <c r="F679" s="1"/>
      <c r="G679" s="1"/>
      <c r="H679" s="1"/>
      <c r="I679" s="1"/>
      <c r="J679" s="1">
        <f>IF($F679="","",IF($H679="","Not rated",IF(OR($H679=Lists!$B$3,$H679=Lists!$B$5),IF(AND(LEFT(SUBSTITUTE($I679," ",""),LEN($F679)+1)=$F679&amp;"-",LEN(SUBSTITUTE($I679," ",""))&gt;LEN($F679)+1),"OK","Comment required"),"OK")))</f>
      </c>
    </row>
    <row r="680" spans="1:10" x14ac:dyDescent="0.25">
      <c r="A680" s="1"/>
      <c r="B680" s="20"/>
      <c r="C680" s="1"/>
      <c r="D680" s="1"/>
      <c r="E680" s="1"/>
      <c r="F680" s="1"/>
      <c r="G680" s="1"/>
      <c r="H680" s="1"/>
      <c r="I680" s="1"/>
      <c r="J680" s="1">
        <f>IF($F680="","",IF($H680="","Not rated",IF(OR($H680=Lists!$B$3,$H680=Lists!$B$5),IF(AND(LEFT(SUBSTITUTE($I680," ",""),LEN($F680)+1)=$F680&amp;"-",LEN(SUBSTITUTE($I680," ",""))&gt;LEN($F680)+1),"OK","Comment required"),"OK")))</f>
      </c>
    </row>
    <row r="681" spans="1:10" x14ac:dyDescent="0.25">
      <c r="A681" s="1"/>
      <c r="B681" s="20"/>
      <c r="C681" s="1"/>
      <c r="D681" s="1"/>
      <c r="E681" s="1"/>
      <c r="F681" s="1"/>
      <c r="G681" s="1"/>
      <c r="H681" s="1"/>
      <c r="I681" s="1"/>
      <c r="J681" s="1">
        <f>IF($F681="","",IF($H681="","Not rated",IF(OR($H681=Lists!$B$3,$H681=Lists!$B$5),IF(AND(LEFT(SUBSTITUTE($I681," ",""),LEN($F681)+1)=$F681&amp;"-",LEN(SUBSTITUTE($I681," ",""))&gt;LEN($F681)+1),"OK","Comment required"),"OK")))</f>
      </c>
    </row>
    <row r="682" spans="1:10" x14ac:dyDescent="0.25">
      <c r="A682" s="1"/>
      <c r="B682" s="20"/>
      <c r="C682" s="1"/>
      <c r="D682" s="1"/>
      <c r="E682" s="1"/>
      <c r="F682" s="1"/>
      <c r="G682" s="1"/>
      <c r="H682" s="1"/>
      <c r="I682" s="1"/>
      <c r="J682" s="1">
        <f>IF($F682="","",IF($H682="","Not rated",IF(OR($H682=Lists!$B$3,$H682=Lists!$B$5),IF(AND(LEFT(SUBSTITUTE($I682," ",""),LEN($F682)+1)=$F682&amp;"-",LEN(SUBSTITUTE($I682," ",""))&gt;LEN($F682)+1),"OK","Comment required"),"OK")))</f>
      </c>
    </row>
    <row r="683" spans="1:10" x14ac:dyDescent="0.25">
      <c r="A683" s="1"/>
      <c r="B683" s="20"/>
      <c r="C683" s="1"/>
      <c r="D683" s="1"/>
      <c r="E683" s="1"/>
      <c r="F683" s="1"/>
      <c r="G683" s="1"/>
      <c r="H683" s="1"/>
      <c r="I683" s="1"/>
      <c r="J683" s="1">
        <f>IF($F683="","",IF($H683="","Not rated",IF(OR($H683=Lists!$B$3,$H683=Lists!$B$5),IF(AND(LEFT(SUBSTITUTE($I683," ",""),LEN($F683)+1)=$F683&amp;"-",LEN(SUBSTITUTE($I683," ",""))&gt;LEN($F683)+1),"OK","Comment required"),"OK")))</f>
      </c>
    </row>
    <row r="684" spans="1:10" x14ac:dyDescent="0.25">
      <c r="A684" s="1"/>
      <c r="B684" s="20"/>
      <c r="C684" s="1"/>
      <c r="D684" s="1"/>
      <c r="E684" s="1"/>
      <c r="F684" s="1"/>
      <c r="G684" s="1"/>
      <c r="H684" s="1"/>
      <c r="I684" s="1"/>
      <c r="J684" s="1">
        <f>IF($F684="","",IF($H684="","Not rated",IF(OR($H684=Lists!$B$3,$H684=Lists!$B$5),IF(AND(LEFT(SUBSTITUTE($I684," ",""),LEN($F684)+1)=$F684&amp;"-",LEN(SUBSTITUTE($I684," ",""))&gt;LEN($F684)+1),"OK","Comment required"),"OK")))</f>
      </c>
    </row>
    <row r="685" spans="1:10" x14ac:dyDescent="0.25">
      <c r="A685" s="1"/>
      <c r="B685" s="20"/>
      <c r="C685" s="1"/>
      <c r="D685" s="1"/>
      <c r="E685" s="1"/>
      <c r="F685" s="1"/>
      <c r="G685" s="1"/>
      <c r="H685" s="1"/>
      <c r="I685" s="1"/>
      <c r="J685" s="1">
        <f>IF($F685="","",IF($H685="","Not rated",IF(OR($H685=Lists!$B$3,$H685=Lists!$B$5),IF(AND(LEFT(SUBSTITUTE($I685," ",""),LEN($F685)+1)=$F685&amp;"-",LEN(SUBSTITUTE($I685," ",""))&gt;LEN($F685)+1),"OK","Comment required"),"OK")))</f>
      </c>
    </row>
    <row r="686" spans="1:10" x14ac:dyDescent="0.25">
      <c r="A686" s="1"/>
      <c r="B686" s="20"/>
      <c r="C686" s="1"/>
      <c r="D686" s="1"/>
      <c r="E686" s="1"/>
      <c r="F686" s="1"/>
      <c r="G686" s="1"/>
      <c r="H686" s="1"/>
      <c r="I686" s="1"/>
      <c r="J686" s="1">
        <f>IF($F686="","",IF($H686="","Not rated",IF(OR($H686=Lists!$B$3,$H686=Lists!$B$5),IF(AND(LEFT(SUBSTITUTE($I686," ",""),LEN($F686)+1)=$F686&amp;"-",LEN(SUBSTITUTE($I686," ",""))&gt;LEN($F686)+1),"OK","Comment required"),"OK")))</f>
      </c>
    </row>
    <row r="687" spans="1:10" x14ac:dyDescent="0.25">
      <c r="A687" s="1"/>
      <c r="B687" s="20"/>
      <c r="C687" s="1"/>
      <c r="D687" s="1"/>
      <c r="E687" s="1"/>
      <c r="F687" s="1"/>
      <c r="G687" s="1"/>
      <c r="H687" s="1"/>
      <c r="I687" s="1"/>
      <c r="J687" s="1">
        <f>IF($F687="","",IF($H687="","Not rated",IF(OR($H687=Lists!$B$3,$H687=Lists!$B$5),IF(AND(LEFT(SUBSTITUTE($I687," ",""),LEN($F687)+1)=$F687&amp;"-",LEN(SUBSTITUTE($I687," ",""))&gt;LEN($F687)+1),"OK","Comment required"),"OK")))</f>
      </c>
    </row>
    <row r="688" spans="1:10" x14ac:dyDescent="0.25">
      <c r="A688" s="1"/>
      <c r="B688" s="20"/>
      <c r="C688" s="1"/>
      <c r="D688" s="1"/>
      <c r="E688" s="1"/>
      <c r="F688" s="1"/>
      <c r="G688" s="1"/>
      <c r="H688" s="1"/>
      <c r="I688" s="1"/>
      <c r="J688" s="1">
        <f>IF($F688="","",IF($H688="","Not rated",IF(OR($H688=Lists!$B$3,$H688=Lists!$B$5),IF(AND(LEFT(SUBSTITUTE($I688," ",""),LEN($F688)+1)=$F688&amp;"-",LEN(SUBSTITUTE($I688," ",""))&gt;LEN($F688)+1),"OK","Comment required"),"OK")))</f>
      </c>
    </row>
    <row r="689" spans="1:10" x14ac:dyDescent="0.25">
      <c r="A689" s="1"/>
      <c r="B689" s="20"/>
      <c r="C689" s="1"/>
      <c r="D689" s="1"/>
      <c r="E689" s="1"/>
      <c r="F689" s="1"/>
      <c r="G689" s="1"/>
      <c r="H689" s="1"/>
      <c r="I689" s="1"/>
      <c r="J689" s="1">
        <f>IF($F689="","",IF($H689="","Not rated",IF(OR($H689=Lists!$B$3,$H689=Lists!$B$5),IF(AND(LEFT(SUBSTITUTE($I689," ",""),LEN($F689)+1)=$F689&amp;"-",LEN(SUBSTITUTE($I689," ",""))&gt;LEN($F689)+1),"OK","Comment required"),"OK")))</f>
      </c>
    </row>
    <row r="690" spans="1:10" x14ac:dyDescent="0.25">
      <c r="A690" s="1"/>
      <c r="B690" s="20"/>
      <c r="C690" s="1"/>
      <c r="D690" s="1"/>
      <c r="E690" s="1"/>
      <c r="F690" s="1"/>
      <c r="G690" s="1"/>
      <c r="H690" s="1"/>
      <c r="I690" s="1"/>
      <c r="J690" s="1">
        <f>IF($F690="","",IF($H690="","Not rated",IF(OR($H690=Lists!$B$3,$H690=Lists!$B$5),IF(AND(LEFT(SUBSTITUTE($I690," ",""),LEN($F690)+1)=$F690&amp;"-",LEN(SUBSTITUTE($I690," ",""))&gt;LEN($F690)+1),"OK","Comment required"),"OK")))</f>
      </c>
    </row>
    <row r="691" spans="1:10" x14ac:dyDescent="0.25">
      <c r="A691" s="1"/>
      <c r="B691" s="20"/>
      <c r="C691" s="1"/>
      <c r="D691" s="1"/>
      <c r="E691" s="1"/>
      <c r="F691" s="1"/>
      <c r="G691" s="1"/>
      <c r="H691" s="1"/>
      <c r="I691" s="1"/>
      <c r="J691" s="1">
        <f>IF($F691="","",IF($H691="","Not rated",IF(OR($H691=Lists!$B$3,$H691=Lists!$B$5),IF(AND(LEFT(SUBSTITUTE($I691," ",""),LEN($F691)+1)=$F691&amp;"-",LEN(SUBSTITUTE($I691," ",""))&gt;LEN($F691)+1),"OK","Comment required"),"OK")))</f>
      </c>
    </row>
    <row r="692" spans="1:10" x14ac:dyDescent="0.25">
      <c r="A692" s="1"/>
      <c r="B692" s="20"/>
      <c r="C692" s="1"/>
      <c r="D692" s="1"/>
      <c r="E692" s="1"/>
      <c r="F692" s="1"/>
      <c r="G692" s="1"/>
      <c r="H692" s="1"/>
      <c r="I692" s="1"/>
      <c r="J692" s="1">
        <f>IF($F692="","",IF($H692="","Not rated",IF(OR($H692=Lists!$B$3,$H692=Lists!$B$5),IF(AND(LEFT(SUBSTITUTE($I692," ",""),LEN($F692)+1)=$F692&amp;"-",LEN(SUBSTITUTE($I692," ",""))&gt;LEN($F692)+1),"OK","Comment required"),"OK")))</f>
      </c>
    </row>
    <row r="693" spans="1:10" x14ac:dyDescent="0.25">
      <c r="A693" s="1"/>
      <c r="B693" s="20"/>
      <c r="C693" s="1"/>
      <c r="D693" s="1"/>
      <c r="E693" s="1"/>
      <c r="F693" s="1"/>
      <c r="G693" s="1"/>
      <c r="H693" s="1"/>
      <c r="I693" s="1"/>
      <c r="J693" s="1">
        <f>IF($F693="","",IF($H693="","Not rated",IF(OR($H693=Lists!$B$3,$H693=Lists!$B$5),IF(AND(LEFT(SUBSTITUTE($I693," ",""),LEN($F693)+1)=$F693&amp;"-",LEN(SUBSTITUTE($I693," ",""))&gt;LEN($F693)+1),"OK","Comment required"),"OK")))</f>
      </c>
    </row>
    <row r="694" spans="1:10" x14ac:dyDescent="0.25">
      <c r="A694" s="1"/>
      <c r="B694" s="20"/>
      <c r="C694" s="1"/>
      <c r="D694" s="1"/>
      <c r="E694" s="1"/>
      <c r="F694" s="1"/>
      <c r="G694" s="1"/>
      <c r="H694" s="1"/>
      <c r="I694" s="1"/>
      <c r="J694" s="1">
        <f>IF($F694="","",IF($H694="","Not rated",IF(OR($H694=Lists!$B$3,$H694=Lists!$B$5),IF(AND(LEFT(SUBSTITUTE($I694," ",""),LEN($F694)+1)=$F694&amp;"-",LEN(SUBSTITUTE($I694," ",""))&gt;LEN($F694)+1),"OK","Comment required"),"OK")))</f>
      </c>
    </row>
    <row r="695" spans="1:10" x14ac:dyDescent="0.25">
      <c r="A695" s="1"/>
      <c r="B695" s="20"/>
      <c r="C695" s="1"/>
      <c r="D695" s="1"/>
      <c r="E695" s="1"/>
      <c r="F695" s="1"/>
      <c r="G695" s="1"/>
      <c r="H695" s="1"/>
      <c r="I695" s="1"/>
      <c r="J695" s="1">
        <f>IF($F695="","",IF($H695="","Not rated",IF(OR($H695=Lists!$B$3,$H695=Lists!$B$5),IF(AND(LEFT(SUBSTITUTE($I695," ",""),LEN($F695)+1)=$F695&amp;"-",LEN(SUBSTITUTE($I695," ",""))&gt;LEN($F695)+1),"OK","Comment required"),"OK")))</f>
      </c>
    </row>
    <row r="696" spans="1:10" x14ac:dyDescent="0.25">
      <c r="A696" s="1"/>
      <c r="B696" s="20"/>
      <c r="C696" s="1"/>
      <c r="D696" s="1"/>
      <c r="E696" s="1"/>
      <c r="F696" s="1"/>
      <c r="G696" s="1"/>
      <c r="H696" s="1"/>
      <c r="I696" s="1"/>
      <c r="J696" s="1">
        <f>IF($F696="","",IF($H696="","Not rated",IF(OR($H696=Lists!$B$3,$H696=Lists!$B$5),IF(AND(LEFT(SUBSTITUTE($I696," ",""),LEN($F696)+1)=$F696&amp;"-",LEN(SUBSTITUTE($I696," ",""))&gt;LEN($F696)+1),"OK","Comment required"),"OK")))</f>
      </c>
    </row>
    <row r="697" spans="1:10" x14ac:dyDescent="0.25">
      <c r="A697" s="1"/>
      <c r="B697" s="20"/>
      <c r="C697" s="1"/>
      <c r="D697" s="1"/>
      <c r="E697" s="1"/>
      <c r="F697" s="1"/>
      <c r="G697" s="1"/>
      <c r="H697" s="1"/>
      <c r="I697" s="1"/>
      <c r="J697" s="1">
        <f>IF($F697="","",IF($H697="","Not rated",IF(OR($H697=Lists!$B$3,$H697=Lists!$B$5),IF(AND(LEFT(SUBSTITUTE($I697," ",""),LEN($F697)+1)=$F697&amp;"-",LEN(SUBSTITUTE($I697," ",""))&gt;LEN($F697)+1),"OK","Comment required"),"OK")))</f>
      </c>
    </row>
    <row r="698" spans="1:10" x14ac:dyDescent="0.25">
      <c r="A698" s="1"/>
      <c r="B698" s="20"/>
      <c r="C698" s="1"/>
      <c r="D698" s="1"/>
      <c r="E698" s="1"/>
      <c r="F698" s="1"/>
      <c r="G698" s="1"/>
      <c r="H698" s="1"/>
      <c r="I698" s="1"/>
      <c r="J698" s="1">
        <f>IF($F698="","",IF($H698="","Not rated",IF(OR($H698=Lists!$B$3,$H698=Lists!$B$5),IF(AND(LEFT(SUBSTITUTE($I698," ",""),LEN($F698)+1)=$F698&amp;"-",LEN(SUBSTITUTE($I698," ",""))&gt;LEN($F698)+1),"OK","Comment required"),"OK")))</f>
      </c>
    </row>
    <row r="699" spans="1:10" x14ac:dyDescent="0.25">
      <c r="A699" s="1"/>
      <c r="B699" s="20"/>
      <c r="C699" s="1"/>
      <c r="D699" s="1"/>
      <c r="E699" s="1"/>
      <c r="F699" s="1"/>
      <c r="G699" s="1"/>
      <c r="H699" s="1"/>
      <c r="I699" s="1"/>
      <c r="J699" s="1">
        <f>IF($F699="","",IF($H699="","Not rated",IF(OR($H699=Lists!$B$3,$H699=Lists!$B$5),IF(AND(LEFT(SUBSTITUTE($I699," ",""),LEN($F699)+1)=$F699&amp;"-",LEN(SUBSTITUTE($I699," ",""))&gt;LEN($F699)+1),"OK","Comment required"),"OK")))</f>
      </c>
    </row>
    <row r="700" spans="1:10" x14ac:dyDescent="0.25">
      <c r="A700" s="1"/>
      <c r="B700" s="20"/>
      <c r="C700" s="1"/>
      <c r="D700" s="1"/>
      <c r="E700" s="1"/>
      <c r="F700" s="1"/>
      <c r="G700" s="1"/>
      <c r="H700" s="1"/>
      <c r="I700" s="1"/>
      <c r="J700" s="1">
        <f>IF($F700="","",IF($H700="","Not rated",IF(OR($H700=Lists!$B$3,$H700=Lists!$B$5),IF(AND(LEFT(SUBSTITUTE($I700," ",""),LEN($F700)+1)=$F700&amp;"-",LEN(SUBSTITUTE($I700," ",""))&gt;LEN($F700)+1),"OK","Comment required"),"OK")))</f>
      </c>
    </row>
    <row r="701" spans="1:10" x14ac:dyDescent="0.25">
      <c r="A701" s="1"/>
      <c r="B701" s="20"/>
      <c r="C701" s="1"/>
      <c r="D701" s="1"/>
      <c r="E701" s="1"/>
      <c r="F701" s="1"/>
      <c r="G701" s="1"/>
      <c r="H701" s="1"/>
      <c r="I701" s="1"/>
      <c r="J701" s="1">
        <f>IF($F701="","",IF($H701="","Not rated",IF(OR($H701=Lists!$B$3,$H701=Lists!$B$5),IF(AND(LEFT(SUBSTITUTE($I701," ",""),LEN($F701)+1)=$F701&amp;"-",LEN(SUBSTITUTE($I701," ",""))&gt;LEN($F701)+1),"OK","Comment required"),"OK")))</f>
      </c>
    </row>
    <row r="702" spans="1:10" x14ac:dyDescent="0.25">
      <c r="A702" s="1"/>
      <c r="B702" s="20"/>
      <c r="C702" s="1"/>
      <c r="D702" s="1"/>
      <c r="E702" s="1"/>
      <c r="F702" s="1"/>
      <c r="G702" s="1"/>
      <c r="H702" s="1"/>
      <c r="I702" s="1"/>
      <c r="J702" s="1">
        <f>IF($F702="","",IF($H702="","Not rated",IF(OR($H702=Lists!$B$3,$H702=Lists!$B$5),IF(AND(LEFT(SUBSTITUTE($I702," ",""),LEN($F702)+1)=$F702&amp;"-",LEN(SUBSTITUTE($I702," ",""))&gt;LEN($F702)+1),"OK","Comment required"),"OK")))</f>
      </c>
    </row>
    <row r="703" spans="1:10" x14ac:dyDescent="0.25">
      <c r="A703" s="1"/>
      <c r="B703" s="20"/>
      <c r="C703" s="1"/>
      <c r="D703" s="1"/>
      <c r="E703" s="1"/>
      <c r="F703" s="1"/>
      <c r="G703" s="1"/>
      <c r="H703" s="1"/>
      <c r="I703" s="1"/>
      <c r="J703" s="1">
        <f>IF($F703="","",IF($H703="","Not rated",IF(OR($H703=Lists!$B$3,$H703=Lists!$B$5),IF(AND(LEFT(SUBSTITUTE($I703," ",""),LEN($F703)+1)=$F703&amp;"-",LEN(SUBSTITUTE($I703," ",""))&gt;LEN($F703)+1),"OK","Comment required"),"OK")))</f>
      </c>
    </row>
    <row r="704" spans="1:10" x14ac:dyDescent="0.25">
      <c r="A704" s="1"/>
      <c r="B704" s="20"/>
      <c r="C704" s="1"/>
      <c r="D704" s="1"/>
      <c r="E704" s="1"/>
      <c r="F704" s="1"/>
      <c r="G704" s="1"/>
      <c r="H704" s="1"/>
      <c r="I704" s="1"/>
      <c r="J704" s="1">
        <f>IF($F704="","",IF($H704="","Not rated",IF(OR($H704=Lists!$B$3,$H704=Lists!$B$5),IF(AND(LEFT(SUBSTITUTE($I704," ",""),LEN($F704)+1)=$F704&amp;"-",LEN(SUBSTITUTE($I704," ",""))&gt;LEN($F704)+1),"OK","Comment required"),"OK")))</f>
      </c>
    </row>
    <row r="705" spans="1:10" x14ac:dyDescent="0.25">
      <c r="A705" s="1"/>
      <c r="B705" s="20"/>
      <c r="C705" s="1"/>
      <c r="D705" s="1"/>
      <c r="E705" s="1"/>
      <c r="F705" s="1"/>
      <c r="G705" s="1"/>
      <c r="H705" s="1"/>
      <c r="I705" s="1"/>
      <c r="J705" s="1">
        <f>IF($F705="","",IF($H705="","Not rated",IF(OR($H705=Lists!$B$3,$H705=Lists!$B$5),IF(AND(LEFT(SUBSTITUTE($I705," ",""),LEN($F705)+1)=$F705&amp;"-",LEN(SUBSTITUTE($I705," ",""))&gt;LEN($F705)+1),"OK","Comment required"),"OK")))</f>
      </c>
    </row>
    <row r="706" spans="1:10" x14ac:dyDescent="0.25">
      <c r="A706" s="1"/>
      <c r="B706" s="20"/>
      <c r="C706" s="1"/>
      <c r="D706" s="1"/>
      <c r="E706" s="1"/>
      <c r="F706" s="1"/>
      <c r="G706" s="1"/>
      <c r="H706" s="1"/>
      <c r="I706" s="1"/>
      <c r="J706" s="1">
        <f>IF($F706="","",IF($H706="","Not rated",IF(OR($H706=Lists!$B$3,$H706=Lists!$B$5),IF(AND(LEFT(SUBSTITUTE($I706," ",""),LEN($F706)+1)=$F706&amp;"-",LEN(SUBSTITUTE($I706," ",""))&gt;LEN($F706)+1),"OK","Comment required"),"OK")))</f>
      </c>
    </row>
    <row r="707" spans="1:10" x14ac:dyDescent="0.25">
      <c r="A707" s="1"/>
      <c r="B707" s="20"/>
      <c r="C707" s="1"/>
      <c r="D707" s="1"/>
      <c r="E707" s="1"/>
      <c r="F707" s="1"/>
      <c r="G707" s="1"/>
      <c r="H707" s="1"/>
      <c r="I707" s="1"/>
      <c r="J707" s="1">
        <f>IF($F707="","",IF($H707="","Not rated",IF(OR($H707=Lists!$B$3,$H707=Lists!$B$5),IF(AND(LEFT(SUBSTITUTE($I707," ",""),LEN($F707)+1)=$F707&amp;"-",LEN(SUBSTITUTE($I707," ",""))&gt;LEN($F707)+1),"OK","Comment required"),"OK")))</f>
      </c>
    </row>
    <row r="708" spans="1:10" x14ac:dyDescent="0.25">
      <c r="A708" s="1"/>
      <c r="B708" s="20"/>
      <c r="C708" s="1"/>
      <c r="D708" s="1"/>
      <c r="E708" s="1"/>
      <c r="F708" s="1"/>
      <c r="G708" s="1"/>
      <c r="H708" s="1"/>
      <c r="I708" s="1"/>
      <c r="J708" s="1">
        <f>IF($F708="","",IF($H708="","Not rated",IF(OR($H708=Lists!$B$3,$H708=Lists!$B$5),IF(AND(LEFT(SUBSTITUTE($I708," ",""),LEN($F708)+1)=$F708&amp;"-",LEN(SUBSTITUTE($I708," ",""))&gt;LEN($F708)+1),"OK","Comment required"),"OK")))</f>
      </c>
    </row>
    <row r="709" spans="1:10" x14ac:dyDescent="0.25">
      <c r="A709" s="1"/>
      <c r="B709" s="20"/>
      <c r="C709" s="1"/>
      <c r="D709" s="1"/>
      <c r="E709" s="1"/>
      <c r="F709" s="1"/>
      <c r="G709" s="1"/>
      <c r="H709" s="1"/>
      <c r="I709" s="1"/>
      <c r="J709" s="1">
        <f>IF($F709="","",IF($H709="","Not rated",IF(OR($H709=Lists!$B$3,$H709=Lists!$B$5),IF(AND(LEFT(SUBSTITUTE($I709," ",""),LEN($F709)+1)=$F709&amp;"-",LEN(SUBSTITUTE($I709," ",""))&gt;LEN($F709)+1),"OK","Comment required"),"OK")))</f>
      </c>
    </row>
    <row r="710" spans="1:10" x14ac:dyDescent="0.25">
      <c r="A710" s="1"/>
      <c r="B710" s="20"/>
      <c r="C710" s="1"/>
      <c r="D710" s="1"/>
      <c r="E710" s="1"/>
      <c r="F710" s="1"/>
      <c r="G710" s="1"/>
      <c r="H710" s="1"/>
      <c r="I710" s="1"/>
      <c r="J710" s="1">
        <f>IF($F710="","",IF($H710="","Not rated",IF(OR($H710=Lists!$B$3,$H710=Lists!$B$5),IF(AND(LEFT(SUBSTITUTE($I710," ",""),LEN($F710)+1)=$F710&amp;"-",LEN(SUBSTITUTE($I710," ",""))&gt;LEN($F710)+1),"OK","Comment required"),"OK")))</f>
      </c>
    </row>
    <row r="711" spans="1:10" x14ac:dyDescent="0.25">
      <c r="A711" s="1"/>
      <c r="B711" s="20"/>
      <c r="C711" s="1"/>
      <c r="D711" s="1"/>
      <c r="E711" s="1"/>
      <c r="F711" s="1"/>
      <c r="G711" s="1"/>
      <c r="H711" s="1"/>
      <c r="I711" s="1"/>
      <c r="J711" s="1">
        <f>IF($F711="","",IF($H711="","Not rated",IF(OR($H711=Lists!$B$3,$H711=Lists!$B$5),IF(AND(LEFT(SUBSTITUTE($I711," ",""),LEN($F711)+1)=$F711&amp;"-",LEN(SUBSTITUTE($I711," ",""))&gt;LEN($F711)+1),"OK","Comment required"),"OK")))</f>
      </c>
    </row>
    <row r="712" spans="1:10" x14ac:dyDescent="0.25">
      <c r="A712" s="1"/>
      <c r="B712" s="20"/>
      <c r="C712" s="1"/>
      <c r="D712" s="1"/>
      <c r="E712" s="1"/>
      <c r="F712" s="1"/>
      <c r="G712" s="1"/>
      <c r="H712" s="1"/>
      <c r="I712" s="1"/>
      <c r="J712" s="1">
        <f>IF($F712="","",IF($H712="","Not rated",IF(OR($H712=Lists!$B$3,$H712=Lists!$B$5),IF(AND(LEFT(SUBSTITUTE($I712," ",""),LEN($F712)+1)=$F712&amp;"-",LEN(SUBSTITUTE($I712," ",""))&gt;LEN($F712)+1),"OK","Comment required"),"OK")))</f>
      </c>
    </row>
    <row r="713" spans="1:10" x14ac:dyDescent="0.25">
      <c r="A713" s="1"/>
      <c r="B713" s="20"/>
      <c r="C713" s="1"/>
      <c r="D713" s="1"/>
      <c r="E713" s="1"/>
      <c r="F713" s="1"/>
      <c r="G713" s="1"/>
      <c r="H713" s="1"/>
      <c r="I713" s="1"/>
      <c r="J713" s="1">
        <f>IF($F713="","",IF($H713="","Not rated",IF(OR($H713=Lists!$B$3,$H713=Lists!$B$5),IF(AND(LEFT(SUBSTITUTE($I713," ",""),LEN($F713)+1)=$F713&amp;"-",LEN(SUBSTITUTE($I713," ",""))&gt;LEN($F713)+1),"OK","Comment required"),"OK")))</f>
      </c>
    </row>
    <row r="714" spans="1:10" x14ac:dyDescent="0.25">
      <c r="A714" s="1"/>
      <c r="B714" s="20"/>
      <c r="C714" s="1"/>
      <c r="D714" s="1"/>
      <c r="E714" s="1"/>
      <c r="F714" s="1"/>
      <c r="G714" s="1"/>
      <c r="H714" s="1"/>
      <c r="I714" s="1"/>
      <c r="J714" s="1">
        <f>IF($F714="","",IF($H714="","Not rated",IF(OR($H714=Lists!$B$3,$H714=Lists!$B$5),IF(AND(LEFT(SUBSTITUTE($I714," ",""),LEN($F714)+1)=$F714&amp;"-",LEN(SUBSTITUTE($I714," ",""))&gt;LEN($F714)+1),"OK","Comment required"),"OK")))</f>
      </c>
    </row>
    <row r="715" spans="1:10" x14ac:dyDescent="0.25">
      <c r="A715" s="1"/>
      <c r="B715" s="20"/>
      <c r="C715" s="1"/>
      <c r="D715" s="1"/>
      <c r="E715" s="1"/>
      <c r="F715" s="1"/>
      <c r="G715" s="1"/>
      <c r="H715" s="1"/>
      <c r="I715" s="1"/>
      <c r="J715" s="1">
        <f>IF($F715="","",IF($H715="","Not rated",IF(OR($H715=Lists!$B$3,$H715=Lists!$B$5),IF(AND(LEFT(SUBSTITUTE($I715," ",""),LEN($F715)+1)=$F715&amp;"-",LEN(SUBSTITUTE($I715," ",""))&gt;LEN($F715)+1),"OK","Comment required"),"OK")))</f>
      </c>
    </row>
    <row r="716" spans="1:10" x14ac:dyDescent="0.25">
      <c r="A716" s="1"/>
      <c r="B716" s="20"/>
      <c r="C716" s="1"/>
      <c r="D716" s="1"/>
      <c r="E716" s="1"/>
      <c r="F716" s="1"/>
      <c r="G716" s="1"/>
      <c r="H716" s="1"/>
      <c r="I716" s="1"/>
      <c r="J716" s="1">
        <f>IF($F716="","",IF($H716="","Not rated",IF(OR($H716=Lists!$B$3,$H716=Lists!$B$5),IF(AND(LEFT(SUBSTITUTE($I716," ",""),LEN($F716)+1)=$F716&amp;"-",LEN(SUBSTITUTE($I716," ",""))&gt;LEN($F716)+1),"OK","Comment required"),"OK")))</f>
      </c>
    </row>
    <row r="717" spans="1:10" x14ac:dyDescent="0.25">
      <c r="A717" s="1"/>
      <c r="B717" s="20"/>
      <c r="C717" s="1"/>
      <c r="D717" s="1"/>
      <c r="E717" s="1"/>
      <c r="F717" s="1"/>
      <c r="G717" s="1"/>
      <c r="H717" s="1"/>
      <c r="I717" s="1"/>
      <c r="J717" s="1">
        <f>IF($F717="","",IF($H717="","Not rated",IF(OR($H717=Lists!$B$3,$H717=Lists!$B$5),IF(AND(LEFT(SUBSTITUTE($I717," ",""),LEN($F717)+1)=$F717&amp;"-",LEN(SUBSTITUTE($I717," ",""))&gt;LEN($F717)+1),"OK","Comment required"),"OK")))</f>
      </c>
    </row>
    <row r="718" spans="1:10" x14ac:dyDescent="0.25">
      <c r="A718" s="1"/>
      <c r="B718" s="20"/>
      <c r="C718" s="1"/>
      <c r="D718" s="1"/>
      <c r="E718" s="1"/>
      <c r="F718" s="1"/>
      <c r="G718" s="1"/>
      <c r="H718" s="1"/>
      <c r="I718" s="1"/>
      <c r="J718" s="1">
        <f>IF($F718="","",IF($H718="","Not rated",IF(OR($H718=Lists!$B$3,$H718=Lists!$B$5),IF(AND(LEFT(SUBSTITUTE($I718," ",""),LEN($F718)+1)=$F718&amp;"-",LEN(SUBSTITUTE($I718," ",""))&gt;LEN($F718)+1),"OK","Comment required"),"OK")))</f>
      </c>
    </row>
    <row r="719" spans="1:10" x14ac:dyDescent="0.25">
      <c r="A719" s="1"/>
      <c r="B719" s="20"/>
      <c r="C719" s="1"/>
      <c r="D719" s="1"/>
      <c r="E719" s="1"/>
      <c r="F719" s="1"/>
      <c r="G719" s="1"/>
      <c r="H719" s="1"/>
      <c r="I719" s="1"/>
      <c r="J719" s="1">
        <f>IF($F719="","",IF($H719="","Not rated",IF(OR($H719=Lists!$B$3,$H719=Lists!$B$5),IF(AND(LEFT(SUBSTITUTE($I719," ",""),LEN($F719)+1)=$F719&amp;"-",LEN(SUBSTITUTE($I719," ",""))&gt;LEN($F719)+1),"OK","Comment required"),"OK")))</f>
      </c>
    </row>
    <row r="720" spans="1:10" x14ac:dyDescent="0.25">
      <c r="A720" s="1"/>
      <c r="B720" s="20"/>
      <c r="C720" s="1"/>
      <c r="D720" s="1"/>
      <c r="E720" s="1"/>
      <c r="F720" s="1"/>
      <c r="G720" s="1"/>
      <c r="H720" s="1"/>
      <c r="I720" s="1"/>
      <c r="J720" s="1">
        <f>IF($F720="","",IF($H720="","Not rated",IF(OR($H720=Lists!$B$3,$H720=Lists!$B$5),IF(AND(LEFT(SUBSTITUTE($I720," ",""),LEN($F720)+1)=$F720&amp;"-",LEN(SUBSTITUTE($I720," ",""))&gt;LEN($F720)+1),"OK","Comment required"),"OK")))</f>
      </c>
    </row>
    <row r="721" spans="1:10" x14ac:dyDescent="0.25">
      <c r="A721" s="1"/>
      <c r="B721" s="20"/>
      <c r="C721" s="1"/>
      <c r="D721" s="1"/>
      <c r="E721" s="1"/>
      <c r="F721" s="1"/>
      <c r="G721" s="1"/>
      <c r="H721" s="1"/>
      <c r="I721" s="1"/>
      <c r="J721" s="1">
        <f>IF($F721="","",IF($H721="","Not rated",IF(OR($H721=Lists!$B$3,$H721=Lists!$B$5),IF(AND(LEFT(SUBSTITUTE($I721," ",""),LEN($F721)+1)=$F721&amp;"-",LEN(SUBSTITUTE($I721," ",""))&gt;LEN($F721)+1),"OK","Comment required"),"OK")))</f>
      </c>
    </row>
    <row r="722" spans="1:10" x14ac:dyDescent="0.25">
      <c r="A722" s="1"/>
      <c r="B722" s="20"/>
      <c r="C722" s="1"/>
      <c r="D722" s="1"/>
      <c r="E722" s="1"/>
      <c r="F722" s="1"/>
      <c r="G722" s="1"/>
      <c r="H722" s="1"/>
      <c r="I722" s="1"/>
      <c r="J722" s="1">
        <f>IF($F722="","",IF($H722="","Not rated",IF(OR($H722=Lists!$B$3,$H722=Lists!$B$5),IF(AND(LEFT(SUBSTITUTE($I722," ",""),LEN($F722)+1)=$F722&amp;"-",LEN(SUBSTITUTE($I722," ",""))&gt;LEN($F722)+1),"OK","Comment required"),"OK")))</f>
      </c>
    </row>
    <row r="723" spans="1:10" x14ac:dyDescent="0.25">
      <c r="A723" s="1"/>
      <c r="B723" s="20"/>
      <c r="C723" s="1"/>
      <c r="D723" s="1"/>
      <c r="E723" s="1"/>
      <c r="F723" s="1"/>
      <c r="G723" s="1"/>
      <c r="H723" s="1"/>
      <c r="I723" s="1"/>
      <c r="J723" s="1">
        <f>IF($F723="","",IF($H723="","Not rated",IF(OR($H723=Lists!$B$3,$H723=Lists!$B$5),IF(AND(LEFT(SUBSTITUTE($I723," ",""),LEN($F723)+1)=$F723&amp;"-",LEN(SUBSTITUTE($I723," ",""))&gt;LEN($F723)+1),"OK","Comment required"),"OK")))</f>
      </c>
    </row>
    <row r="724" spans="1:10" x14ac:dyDescent="0.25">
      <c r="A724" s="1"/>
      <c r="B724" s="20"/>
      <c r="C724" s="1"/>
      <c r="D724" s="1"/>
      <c r="E724" s="1"/>
      <c r="F724" s="1"/>
      <c r="G724" s="1"/>
      <c r="H724" s="1"/>
      <c r="I724" s="1"/>
      <c r="J724" s="1">
        <f>IF($F724="","",IF($H724="","Not rated",IF(OR($H724=Lists!$B$3,$H724=Lists!$B$5),IF(AND(LEFT(SUBSTITUTE($I724," ",""),LEN($F724)+1)=$F724&amp;"-",LEN(SUBSTITUTE($I724," ",""))&gt;LEN($F724)+1),"OK","Comment required"),"OK")))</f>
      </c>
    </row>
    <row r="725" spans="1:10" x14ac:dyDescent="0.25">
      <c r="A725" s="1"/>
      <c r="B725" s="20"/>
      <c r="C725" s="1"/>
      <c r="D725" s="1"/>
      <c r="E725" s="1"/>
      <c r="F725" s="1"/>
      <c r="G725" s="1"/>
      <c r="H725" s="1"/>
      <c r="I725" s="1"/>
      <c r="J725" s="1">
        <f>IF($F725="","",IF($H725="","Not rated",IF(OR($H725=Lists!$B$3,$H725=Lists!$B$5),IF(AND(LEFT(SUBSTITUTE($I725," ",""),LEN($F725)+1)=$F725&amp;"-",LEN(SUBSTITUTE($I725," ",""))&gt;LEN($F725)+1),"OK","Comment required"),"OK")))</f>
      </c>
    </row>
    <row r="726" spans="1:10" x14ac:dyDescent="0.25">
      <c r="A726" s="1"/>
      <c r="B726" s="20"/>
      <c r="C726" s="1"/>
      <c r="D726" s="1"/>
      <c r="E726" s="1"/>
      <c r="F726" s="1"/>
      <c r="G726" s="1"/>
      <c r="H726" s="1"/>
      <c r="I726" s="1"/>
      <c r="J726" s="1">
        <f>IF($F726="","",IF($H726="","Not rated",IF(OR($H726=Lists!$B$3,$H726=Lists!$B$5),IF(AND(LEFT(SUBSTITUTE($I726," ",""),LEN($F726)+1)=$F726&amp;"-",LEN(SUBSTITUTE($I726," ",""))&gt;LEN($F726)+1),"OK","Comment required"),"OK")))</f>
      </c>
    </row>
    <row r="727" spans="1:10" x14ac:dyDescent="0.25">
      <c r="A727" s="1"/>
      <c r="B727" s="20"/>
      <c r="C727" s="1"/>
      <c r="D727" s="1"/>
      <c r="E727" s="1"/>
      <c r="F727" s="1"/>
      <c r="G727" s="1"/>
      <c r="H727" s="1"/>
      <c r="I727" s="1"/>
      <c r="J727" s="1">
        <f>IF($F727="","",IF($H727="","Not rated",IF(OR($H727=Lists!$B$3,$H727=Lists!$B$5),IF(AND(LEFT(SUBSTITUTE($I727," ",""),LEN($F727)+1)=$F727&amp;"-",LEN(SUBSTITUTE($I727," ",""))&gt;LEN($F727)+1),"OK","Comment required"),"OK")))</f>
      </c>
    </row>
    <row r="728" spans="1:10" x14ac:dyDescent="0.25">
      <c r="A728" s="1"/>
      <c r="B728" s="20"/>
      <c r="C728" s="1"/>
      <c r="D728" s="1"/>
      <c r="E728" s="1"/>
      <c r="F728" s="1"/>
      <c r="G728" s="1"/>
      <c r="H728" s="1"/>
      <c r="I728" s="1"/>
      <c r="J728" s="1">
        <f>IF($F728="","",IF($H728="","Not rated",IF(OR($H728=Lists!$B$3,$H728=Lists!$B$5),IF(AND(LEFT(SUBSTITUTE($I728," ",""),LEN($F728)+1)=$F728&amp;"-",LEN(SUBSTITUTE($I728," ",""))&gt;LEN($F728)+1),"OK","Comment required"),"OK")))</f>
      </c>
    </row>
    <row r="729" spans="1:10" x14ac:dyDescent="0.25">
      <c r="A729" s="1"/>
      <c r="B729" s="20"/>
      <c r="C729" s="1"/>
      <c r="D729" s="1"/>
      <c r="E729" s="1"/>
      <c r="F729" s="1"/>
      <c r="G729" s="1"/>
      <c r="H729" s="1"/>
      <c r="I729" s="1"/>
      <c r="J729" s="1">
        <f>IF($F729="","",IF($H729="","Not rated",IF(OR($H729=Lists!$B$3,$H729=Lists!$B$5),IF(AND(LEFT(SUBSTITUTE($I729," ",""),LEN($F729)+1)=$F729&amp;"-",LEN(SUBSTITUTE($I729," ",""))&gt;LEN($F729)+1),"OK","Comment required"),"OK")))</f>
      </c>
    </row>
    <row r="730" spans="1:10" x14ac:dyDescent="0.25">
      <c r="A730" s="1"/>
      <c r="B730" s="20"/>
      <c r="C730" s="1"/>
      <c r="D730" s="1"/>
      <c r="E730" s="1"/>
      <c r="F730" s="1"/>
      <c r="G730" s="1"/>
      <c r="H730" s="1"/>
      <c r="I730" s="1"/>
      <c r="J730" s="1">
        <f>IF($F730="","",IF($H730="","Not rated",IF(OR($H730=Lists!$B$3,$H730=Lists!$B$5),IF(AND(LEFT(SUBSTITUTE($I730," ",""),LEN($F730)+1)=$F730&amp;"-",LEN(SUBSTITUTE($I730," ",""))&gt;LEN($F730)+1),"OK","Comment required"),"OK")))</f>
      </c>
    </row>
    <row r="731" spans="1:10" x14ac:dyDescent="0.25">
      <c r="A731" s="1"/>
      <c r="B731" s="20"/>
      <c r="C731" s="1"/>
      <c r="D731" s="1"/>
      <c r="E731" s="1"/>
      <c r="F731" s="1"/>
      <c r="G731" s="1"/>
      <c r="H731" s="1"/>
      <c r="I731" s="1"/>
      <c r="J731" s="1">
        <f>IF($F731="","",IF($H731="","Not rated",IF(OR($H731=Lists!$B$3,$H731=Lists!$B$5),IF(AND(LEFT(SUBSTITUTE($I731," ",""),LEN($F731)+1)=$F731&amp;"-",LEN(SUBSTITUTE($I731," ",""))&gt;LEN($F731)+1),"OK","Comment required"),"OK")))</f>
      </c>
    </row>
    <row r="732" spans="1:10" x14ac:dyDescent="0.25">
      <c r="A732" s="1"/>
      <c r="B732" s="20"/>
      <c r="C732" s="1"/>
      <c r="D732" s="1"/>
      <c r="E732" s="1"/>
      <c r="F732" s="1"/>
      <c r="G732" s="1"/>
      <c r="H732" s="1"/>
      <c r="I732" s="1"/>
      <c r="J732" s="1">
        <f>IF($F732="","",IF($H732="","Not rated",IF(OR($H732=Lists!$B$3,$H732=Lists!$B$5),IF(AND(LEFT(SUBSTITUTE($I732," ",""),LEN($F732)+1)=$F732&amp;"-",LEN(SUBSTITUTE($I732," ",""))&gt;LEN($F732)+1),"OK","Comment required"),"OK")))</f>
      </c>
    </row>
    <row r="733" spans="1:10" x14ac:dyDescent="0.25">
      <c r="A733" s="1"/>
      <c r="B733" s="20"/>
      <c r="C733" s="1"/>
      <c r="D733" s="1"/>
      <c r="E733" s="1"/>
      <c r="F733" s="1"/>
      <c r="G733" s="1"/>
      <c r="H733" s="1"/>
      <c r="I733" s="1"/>
      <c r="J733" s="1">
        <f>IF($F733="","",IF($H733="","Not rated",IF(OR($H733=Lists!$B$3,$H733=Lists!$B$5),IF(AND(LEFT(SUBSTITUTE($I733," ",""),LEN($F733)+1)=$F733&amp;"-",LEN(SUBSTITUTE($I733," ",""))&gt;LEN($F733)+1),"OK","Comment required"),"OK")))</f>
      </c>
    </row>
    <row r="734" spans="1:10" x14ac:dyDescent="0.25">
      <c r="A734" s="1"/>
      <c r="B734" s="20"/>
      <c r="C734" s="1"/>
      <c r="D734" s="1"/>
      <c r="E734" s="1"/>
      <c r="F734" s="1"/>
      <c r="G734" s="1"/>
      <c r="H734" s="1"/>
      <c r="I734" s="1"/>
      <c r="J734" s="1">
        <f>IF($F734="","",IF($H734="","Not rated",IF(OR($H734=Lists!$B$3,$H734=Lists!$B$5),IF(AND(LEFT(SUBSTITUTE($I734," ",""),LEN($F734)+1)=$F734&amp;"-",LEN(SUBSTITUTE($I734," ",""))&gt;LEN($F734)+1),"OK","Comment required"),"OK")))</f>
      </c>
    </row>
    <row r="735" spans="1:10" x14ac:dyDescent="0.25">
      <c r="A735" s="1"/>
      <c r="B735" s="20"/>
      <c r="C735" s="1"/>
      <c r="D735" s="1"/>
      <c r="E735" s="1"/>
      <c r="F735" s="1"/>
      <c r="G735" s="1"/>
      <c r="H735" s="1"/>
      <c r="I735" s="1"/>
      <c r="J735" s="1">
        <f>IF($F735="","",IF($H735="","Not rated",IF(OR($H735=Lists!$B$3,$H735=Lists!$B$5),IF(AND(LEFT(SUBSTITUTE($I735," ",""),LEN($F735)+1)=$F735&amp;"-",LEN(SUBSTITUTE($I735," ",""))&gt;LEN($F735)+1),"OK","Comment required"),"OK")))</f>
      </c>
    </row>
    <row r="736" spans="1:10" x14ac:dyDescent="0.25">
      <c r="A736" s="1"/>
      <c r="B736" s="20"/>
      <c r="C736" s="1"/>
      <c r="D736" s="1"/>
      <c r="E736" s="1"/>
      <c r="F736" s="1"/>
      <c r="G736" s="1"/>
      <c r="H736" s="1"/>
      <c r="I736" s="1"/>
      <c r="J736" s="1">
        <f>IF($F736="","",IF($H736="","Not rated",IF(OR($H736=Lists!$B$3,$H736=Lists!$B$5),IF(AND(LEFT(SUBSTITUTE($I736," ",""),LEN($F736)+1)=$F736&amp;"-",LEN(SUBSTITUTE($I736," ",""))&gt;LEN($F736)+1),"OK","Comment required"),"OK")))</f>
      </c>
    </row>
    <row r="737" spans="1:10" x14ac:dyDescent="0.25">
      <c r="A737" s="1"/>
      <c r="B737" s="20"/>
      <c r="C737" s="1"/>
      <c r="D737" s="1"/>
      <c r="E737" s="1"/>
      <c r="F737" s="1"/>
      <c r="G737" s="1"/>
      <c r="H737" s="1"/>
      <c r="I737" s="1"/>
      <c r="J737" s="1">
        <f>IF($F737="","",IF($H737="","Not rated",IF(OR($H737=Lists!$B$3,$H737=Lists!$B$5),IF(AND(LEFT(SUBSTITUTE($I737," ",""),LEN($F737)+1)=$F737&amp;"-",LEN(SUBSTITUTE($I737," ",""))&gt;LEN($F737)+1),"OK","Comment required"),"OK")))</f>
      </c>
    </row>
    <row r="738" spans="1:10" x14ac:dyDescent="0.25">
      <c r="A738" s="1"/>
      <c r="B738" s="20"/>
      <c r="C738" s="1"/>
      <c r="D738" s="1"/>
      <c r="E738" s="1"/>
      <c r="F738" s="1"/>
      <c r="G738" s="1"/>
      <c r="H738" s="1"/>
      <c r="I738" s="1"/>
      <c r="J738" s="1">
        <f>IF($F738="","",IF($H738="","Not rated",IF(OR($H738=Lists!$B$3,$H738=Lists!$B$5),IF(AND(LEFT(SUBSTITUTE($I738," ",""),LEN($F738)+1)=$F738&amp;"-",LEN(SUBSTITUTE($I738," ",""))&gt;LEN($F738)+1),"OK","Comment required"),"OK")))</f>
      </c>
    </row>
    <row r="739" spans="1:10" x14ac:dyDescent="0.25">
      <c r="A739" s="1"/>
      <c r="B739" s="20"/>
      <c r="C739" s="1"/>
      <c r="D739" s="1"/>
      <c r="E739" s="1"/>
      <c r="F739" s="1"/>
      <c r="G739" s="1"/>
      <c r="H739" s="1"/>
      <c r="I739" s="1"/>
      <c r="J739" s="1">
        <f>IF($F739="","",IF($H739="","Not rated",IF(OR($H739=Lists!$B$3,$H739=Lists!$B$5),IF(AND(LEFT(SUBSTITUTE($I739," ",""),LEN($F739)+1)=$F739&amp;"-",LEN(SUBSTITUTE($I739," ",""))&gt;LEN($F739)+1),"OK","Comment required"),"OK")))</f>
      </c>
    </row>
    <row r="740" spans="1:10" x14ac:dyDescent="0.25">
      <c r="A740" s="1"/>
      <c r="B740" s="20"/>
      <c r="C740" s="1"/>
      <c r="D740" s="1"/>
      <c r="E740" s="1"/>
      <c r="F740" s="1"/>
      <c r="G740" s="1"/>
      <c r="H740" s="1"/>
      <c r="I740" s="1"/>
      <c r="J740" s="1">
        <f>IF($F740="","",IF($H740="","Not rated",IF(OR($H740=Lists!$B$3,$H740=Lists!$B$5),IF(AND(LEFT(SUBSTITUTE($I740," ",""),LEN($F740)+1)=$F740&amp;"-",LEN(SUBSTITUTE($I740," ",""))&gt;LEN($F740)+1),"OK","Comment required"),"OK")))</f>
      </c>
    </row>
    <row r="741" spans="1:10" x14ac:dyDescent="0.25">
      <c r="A741" s="1"/>
      <c r="B741" s="20"/>
      <c r="C741" s="1"/>
      <c r="D741" s="1"/>
      <c r="E741" s="1"/>
      <c r="F741" s="1"/>
      <c r="G741" s="1"/>
      <c r="H741" s="1"/>
      <c r="I741" s="1"/>
      <c r="J741" s="1">
        <f>IF($F741="","",IF($H741="","Not rated",IF(OR($H741=Lists!$B$3,$H741=Lists!$B$5),IF(AND(LEFT(SUBSTITUTE($I741," ",""),LEN($F741)+1)=$F741&amp;"-",LEN(SUBSTITUTE($I741," ",""))&gt;LEN($F741)+1),"OK","Comment required"),"OK")))</f>
      </c>
    </row>
    <row r="742" spans="1:10" x14ac:dyDescent="0.25">
      <c r="A742" s="1"/>
      <c r="B742" s="20"/>
      <c r="C742" s="1"/>
      <c r="D742" s="1"/>
      <c r="E742" s="1"/>
      <c r="F742" s="1"/>
      <c r="G742" s="1"/>
      <c r="H742" s="1"/>
      <c r="I742" s="1"/>
      <c r="J742" s="1">
        <f>IF($F742="","",IF($H742="","Not rated",IF(OR($H742=Lists!$B$3,$H742=Lists!$B$5),IF(AND(LEFT(SUBSTITUTE($I742," ",""),LEN($F742)+1)=$F742&amp;"-",LEN(SUBSTITUTE($I742," ",""))&gt;LEN($F742)+1),"OK","Comment required"),"OK")))</f>
      </c>
    </row>
    <row r="743" spans="1:10" x14ac:dyDescent="0.25">
      <c r="A743" s="1"/>
      <c r="B743" s="20"/>
      <c r="C743" s="1"/>
      <c r="D743" s="1"/>
      <c r="E743" s="1"/>
      <c r="F743" s="1"/>
      <c r="G743" s="1"/>
      <c r="H743" s="1"/>
      <c r="I743" s="1"/>
      <c r="J743" s="1">
        <f>IF($F743="","",IF($H743="","Not rated",IF(OR($H743=Lists!$B$3,$H743=Lists!$B$5),IF(AND(LEFT(SUBSTITUTE($I743," ",""),LEN($F743)+1)=$F743&amp;"-",LEN(SUBSTITUTE($I743," ",""))&gt;LEN($F743)+1),"OK","Comment required"),"OK")))</f>
      </c>
    </row>
    <row r="744" spans="1:10" x14ac:dyDescent="0.25">
      <c r="A744" s="1"/>
      <c r="B744" s="20"/>
      <c r="C744" s="1"/>
      <c r="D744" s="1"/>
      <c r="E744" s="1"/>
      <c r="F744" s="1"/>
      <c r="G744" s="1"/>
      <c r="H744" s="1"/>
      <c r="I744" s="1"/>
      <c r="J744" s="1">
        <f>IF($F744="","",IF($H744="","Not rated",IF(OR($H744=Lists!$B$3,$H744=Lists!$B$5),IF(AND(LEFT(SUBSTITUTE($I744," ",""),LEN($F744)+1)=$F744&amp;"-",LEN(SUBSTITUTE($I744," ",""))&gt;LEN($F744)+1),"OK","Comment required"),"OK")))</f>
      </c>
    </row>
    <row r="745" spans="1:10" x14ac:dyDescent="0.25">
      <c r="A745" s="1"/>
      <c r="B745" s="20"/>
      <c r="C745" s="1"/>
      <c r="D745" s="1"/>
      <c r="E745" s="1"/>
      <c r="F745" s="1"/>
      <c r="G745" s="1"/>
      <c r="H745" s="1"/>
      <c r="I745" s="1"/>
      <c r="J745" s="1">
        <f>IF($F745="","",IF($H745="","Not rated",IF(OR($H745=Lists!$B$3,$H745=Lists!$B$5),IF(AND(LEFT(SUBSTITUTE($I745," ",""),LEN($F745)+1)=$F745&amp;"-",LEN(SUBSTITUTE($I745," ",""))&gt;LEN($F745)+1),"OK","Comment required"),"OK")))</f>
      </c>
    </row>
    <row r="746" spans="1:10" x14ac:dyDescent="0.25">
      <c r="A746" s="1"/>
      <c r="B746" s="20"/>
      <c r="C746" s="1"/>
      <c r="D746" s="1"/>
      <c r="E746" s="1"/>
      <c r="F746" s="1"/>
      <c r="G746" s="1"/>
      <c r="H746" s="1"/>
      <c r="I746" s="1"/>
      <c r="J746" s="1">
        <f>IF($F746="","",IF($H746="","Not rated",IF(OR($H746=Lists!$B$3,$H746=Lists!$B$5),IF(AND(LEFT(SUBSTITUTE($I746," ",""),LEN($F746)+1)=$F746&amp;"-",LEN(SUBSTITUTE($I746," ",""))&gt;LEN($F746)+1),"OK","Comment required"),"OK")))</f>
      </c>
    </row>
    <row r="747" spans="1:10" x14ac:dyDescent="0.25">
      <c r="A747" s="1"/>
      <c r="B747" s="20"/>
      <c r="C747" s="1"/>
      <c r="D747" s="1"/>
      <c r="E747" s="1"/>
      <c r="F747" s="1"/>
      <c r="G747" s="1"/>
      <c r="H747" s="1"/>
      <c r="I747" s="1"/>
      <c r="J747" s="1">
        <f>IF($F747="","",IF($H747="","Not rated",IF(OR($H747=Lists!$B$3,$H747=Lists!$B$5),IF(AND(LEFT(SUBSTITUTE($I747," ",""),LEN($F747)+1)=$F747&amp;"-",LEN(SUBSTITUTE($I747," ",""))&gt;LEN($F747)+1),"OK","Comment required"),"OK")))</f>
      </c>
    </row>
    <row r="748" spans="1:10" x14ac:dyDescent="0.25">
      <c r="A748" s="1"/>
      <c r="B748" s="20"/>
      <c r="C748" s="1"/>
      <c r="D748" s="1"/>
      <c r="E748" s="1"/>
      <c r="F748" s="1"/>
      <c r="G748" s="1"/>
      <c r="H748" s="1"/>
      <c r="I748" s="1"/>
      <c r="J748" s="1">
        <f>IF($F748="","",IF($H748="","Not rated",IF(OR($H748=Lists!$B$3,$H748=Lists!$B$5),IF(AND(LEFT(SUBSTITUTE($I748," ",""),LEN($F748)+1)=$F748&amp;"-",LEN(SUBSTITUTE($I748," ",""))&gt;LEN($F748)+1),"OK","Comment required"),"OK")))</f>
      </c>
    </row>
    <row r="749" spans="1:10" x14ac:dyDescent="0.25">
      <c r="A749" s="1"/>
      <c r="B749" s="20"/>
      <c r="C749" s="1"/>
      <c r="D749" s="1"/>
      <c r="E749" s="1"/>
      <c r="F749" s="1"/>
      <c r="G749" s="1"/>
      <c r="H749" s="1"/>
      <c r="I749" s="1"/>
      <c r="J749" s="1">
        <f>IF($F749="","",IF($H749="","Not rated",IF(OR($H749=Lists!$B$3,$H749=Lists!$B$5),IF(AND(LEFT(SUBSTITUTE($I749," ",""),LEN($F749)+1)=$F749&amp;"-",LEN(SUBSTITUTE($I749," ",""))&gt;LEN($F749)+1),"OK","Comment required"),"OK")))</f>
      </c>
    </row>
    <row r="750" spans="1:10" x14ac:dyDescent="0.25">
      <c r="A750" s="1"/>
      <c r="B750" s="20"/>
      <c r="C750" s="1"/>
      <c r="D750" s="1"/>
      <c r="E750" s="1"/>
      <c r="F750" s="1"/>
      <c r="G750" s="1"/>
      <c r="H750" s="1"/>
      <c r="I750" s="1"/>
      <c r="J750" s="1">
        <f>IF($F750="","",IF($H750="","Not rated",IF(OR($H750=Lists!$B$3,$H750=Lists!$B$5),IF(AND(LEFT(SUBSTITUTE($I750," ",""),LEN($F750)+1)=$F750&amp;"-",LEN(SUBSTITUTE($I750," ",""))&gt;LEN($F750)+1),"OK","Comment required"),"OK")))</f>
      </c>
    </row>
    <row r="751" spans="1:10" x14ac:dyDescent="0.25">
      <c r="A751" s="1"/>
      <c r="B751" s="20"/>
      <c r="C751" s="1"/>
      <c r="D751" s="1"/>
      <c r="E751" s="1"/>
      <c r="F751" s="1"/>
      <c r="G751" s="1"/>
      <c r="H751" s="1"/>
      <c r="I751" s="1"/>
      <c r="J751" s="1">
        <f>IF($F751="","",IF($H751="","Not rated",IF(OR($H751=Lists!$B$3,$H751=Lists!$B$5),IF(AND(LEFT(SUBSTITUTE($I751," ",""),LEN($F751)+1)=$F751&amp;"-",LEN(SUBSTITUTE($I751," ",""))&gt;LEN($F751)+1),"OK","Comment required"),"OK")))</f>
      </c>
    </row>
    <row r="752" spans="1:10" x14ac:dyDescent="0.25">
      <c r="A752" s="1"/>
      <c r="B752" s="20"/>
      <c r="C752" s="1"/>
      <c r="D752" s="1"/>
      <c r="E752" s="1"/>
      <c r="F752" s="1"/>
      <c r="G752" s="1"/>
      <c r="H752" s="1"/>
      <c r="I752" s="1"/>
      <c r="J752" s="1">
        <f>IF($F752="","",IF($H752="","Not rated",IF(OR($H752=Lists!$B$3,$H752=Lists!$B$5),IF(AND(LEFT(SUBSTITUTE($I752," ",""),LEN($F752)+1)=$F752&amp;"-",LEN(SUBSTITUTE($I752," ",""))&gt;LEN($F752)+1),"OK","Comment required"),"OK")))</f>
      </c>
    </row>
    <row r="753" spans="1:10" x14ac:dyDescent="0.25">
      <c r="A753" s="1"/>
      <c r="B753" s="20"/>
      <c r="C753" s="1"/>
      <c r="D753" s="1"/>
      <c r="E753" s="1"/>
      <c r="F753" s="1"/>
      <c r="G753" s="1"/>
      <c r="H753" s="1"/>
      <c r="I753" s="1"/>
      <c r="J753" s="1">
        <f>IF($F753="","",IF($H753="","Not rated",IF(OR($H753=Lists!$B$3,$H753=Lists!$B$5),IF(AND(LEFT(SUBSTITUTE($I753," ",""),LEN($F753)+1)=$F753&amp;"-",LEN(SUBSTITUTE($I753," ",""))&gt;LEN($F753)+1),"OK","Comment required"),"OK")))</f>
      </c>
    </row>
    <row r="754" spans="1:10" x14ac:dyDescent="0.25">
      <c r="A754" s="1"/>
      <c r="B754" s="20"/>
      <c r="C754" s="1"/>
      <c r="D754" s="1"/>
      <c r="E754" s="1"/>
      <c r="F754" s="1"/>
      <c r="G754" s="1"/>
      <c r="H754" s="1"/>
      <c r="I754" s="1"/>
      <c r="J754" s="1">
        <f>IF($F754="","",IF($H754="","Not rated",IF(OR($H754=Lists!$B$3,$H754=Lists!$B$5),IF(AND(LEFT(SUBSTITUTE($I754," ",""),LEN($F754)+1)=$F754&amp;"-",LEN(SUBSTITUTE($I754," ",""))&gt;LEN($F754)+1),"OK","Comment required"),"OK")))</f>
      </c>
    </row>
    <row r="755" spans="1:10" x14ac:dyDescent="0.25">
      <c r="A755" s="1"/>
      <c r="B755" s="20"/>
      <c r="C755" s="1"/>
      <c r="D755" s="1"/>
      <c r="E755" s="1"/>
      <c r="F755" s="1"/>
      <c r="G755" s="1"/>
      <c r="H755" s="1"/>
      <c r="I755" s="1"/>
      <c r="J755" s="1">
        <f>IF($F755="","",IF($H755="","Not rated",IF(OR($H755=Lists!$B$3,$H755=Lists!$B$5),IF(AND(LEFT(SUBSTITUTE($I755," ",""),LEN($F755)+1)=$F755&amp;"-",LEN(SUBSTITUTE($I755," ",""))&gt;LEN($F755)+1),"OK","Comment required"),"OK")))</f>
      </c>
    </row>
    <row r="756" spans="1:10" x14ac:dyDescent="0.25">
      <c r="A756" s="1"/>
      <c r="B756" s="20"/>
      <c r="C756" s="1"/>
      <c r="D756" s="1"/>
      <c r="E756" s="1"/>
      <c r="F756" s="1"/>
      <c r="G756" s="1"/>
      <c r="H756" s="1"/>
      <c r="I756" s="1"/>
      <c r="J756" s="1">
        <f>IF($F756="","",IF($H756="","Not rated",IF(OR($H756=Lists!$B$3,$H756=Lists!$B$5),IF(AND(LEFT(SUBSTITUTE($I756," ",""),LEN($F756)+1)=$F756&amp;"-",LEN(SUBSTITUTE($I756," ",""))&gt;LEN($F756)+1),"OK","Comment required"),"OK")))</f>
      </c>
    </row>
    <row r="757" spans="1:10" x14ac:dyDescent="0.25">
      <c r="A757" s="1"/>
      <c r="B757" s="20"/>
      <c r="C757" s="1"/>
      <c r="D757" s="1"/>
      <c r="E757" s="1"/>
      <c r="F757" s="1"/>
      <c r="G757" s="1"/>
      <c r="H757" s="1"/>
      <c r="I757" s="1"/>
      <c r="J757" s="1">
        <f>IF($F757="","",IF($H757="","Not rated",IF(OR($H757=Lists!$B$3,$H757=Lists!$B$5),IF(AND(LEFT(SUBSTITUTE($I757," ",""),LEN($F757)+1)=$F757&amp;"-",LEN(SUBSTITUTE($I757," ",""))&gt;LEN($F757)+1),"OK","Comment required"),"OK")))</f>
      </c>
    </row>
    <row r="758" spans="1:10" x14ac:dyDescent="0.25">
      <c r="A758" s="1"/>
      <c r="B758" s="20"/>
      <c r="C758" s="1"/>
      <c r="D758" s="1"/>
      <c r="E758" s="1"/>
      <c r="F758" s="1"/>
      <c r="G758" s="1"/>
      <c r="H758" s="1"/>
      <c r="I758" s="1"/>
      <c r="J758" s="1">
        <f>IF($F758="","",IF($H758="","Not rated",IF(OR($H758=Lists!$B$3,$H758=Lists!$B$5),IF(AND(LEFT(SUBSTITUTE($I758," ",""),LEN($F758)+1)=$F758&amp;"-",LEN(SUBSTITUTE($I758," ",""))&gt;LEN($F758)+1),"OK","Comment required"),"OK")))</f>
      </c>
    </row>
    <row r="759" spans="1:10" x14ac:dyDescent="0.25">
      <c r="A759" s="1"/>
      <c r="B759" s="20"/>
      <c r="C759" s="1"/>
      <c r="D759" s="1"/>
      <c r="E759" s="1"/>
      <c r="F759" s="1"/>
      <c r="G759" s="1"/>
      <c r="H759" s="1"/>
      <c r="I759" s="1"/>
      <c r="J759" s="1">
        <f>IF($F759="","",IF($H759="","Not rated",IF(OR($H759=Lists!$B$3,$H759=Lists!$B$5),IF(AND(LEFT(SUBSTITUTE($I759," ",""),LEN($F759)+1)=$F759&amp;"-",LEN(SUBSTITUTE($I759," ",""))&gt;LEN($F759)+1),"OK","Comment required"),"OK")))</f>
      </c>
    </row>
    <row r="760" spans="1:10" x14ac:dyDescent="0.25">
      <c r="A760" s="1"/>
      <c r="B760" s="20"/>
      <c r="C760" s="1"/>
      <c r="D760" s="1"/>
      <c r="E760" s="1"/>
      <c r="F760" s="1"/>
      <c r="G760" s="1"/>
      <c r="H760" s="1"/>
      <c r="I760" s="1"/>
      <c r="J760" s="1">
        <f>IF($F760="","",IF($H760="","Not rated",IF(OR($H760=Lists!$B$3,$H760=Lists!$B$5),IF(AND(LEFT(SUBSTITUTE($I760," ",""),LEN($F760)+1)=$F760&amp;"-",LEN(SUBSTITUTE($I760," ",""))&gt;LEN($F760)+1),"OK","Comment required"),"OK")))</f>
      </c>
    </row>
    <row r="761" spans="1:10" x14ac:dyDescent="0.25">
      <c r="A761" s="1"/>
      <c r="B761" s="20"/>
      <c r="C761" s="1"/>
      <c r="D761" s="1"/>
      <c r="E761" s="1"/>
      <c r="F761" s="1"/>
      <c r="G761" s="1"/>
      <c r="H761" s="1"/>
      <c r="I761" s="1"/>
      <c r="J761" s="1">
        <f>IF($F761="","",IF($H761="","Not rated",IF(OR($H761=Lists!$B$3,$H761=Lists!$B$5),IF(AND(LEFT(SUBSTITUTE($I761," ",""),LEN($F761)+1)=$F761&amp;"-",LEN(SUBSTITUTE($I761," ",""))&gt;LEN($F761)+1),"OK","Comment required"),"OK")))</f>
      </c>
    </row>
    <row r="762" spans="1:10" x14ac:dyDescent="0.25">
      <c r="A762" s="1"/>
      <c r="B762" s="20"/>
      <c r="C762" s="1"/>
      <c r="D762" s="1"/>
      <c r="E762" s="1"/>
      <c r="F762" s="1"/>
      <c r="G762" s="1"/>
      <c r="H762" s="1"/>
      <c r="I762" s="1"/>
      <c r="J762" s="1">
        <f>IF($F762="","",IF($H762="","Not rated",IF(OR($H762=Lists!$B$3,$H762=Lists!$B$5),IF(AND(LEFT(SUBSTITUTE($I762," ",""),LEN($F762)+1)=$F762&amp;"-",LEN(SUBSTITUTE($I762," ",""))&gt;LEN($F762)+1),"OK","Comment required"),"OK")))</f>
      </c>
    </row>
    <row r="763" spans="1:10" x14ac:dyDescent="0.25">
      <c r="A763" s="1"/>
      <c r="B763" s="20"/>
      <c r="C763" s="1"/>
      <c r="D763" s="1"/>
      <c r="E763" s="1"/>
      <c r="F763" s="1"/>
      <c r="G763" s="1"/>
      <c r="H763" s="1"/>
      <c r="I763" s="1"/>
      <c r="J763" s="1">
        <f>IF($F763="","",IF($H763="","Not rated",IF(OR($H763=Lists!$B$3,$H763=Lists!$B$5),IF(AND(LEFT(SUBSTITUTE($I763," ",""),LEN($F763)+1)=$F763&amp;"-",LEN(SUBSTITUTE($I763," ",""))&gt;LEN($F763)+1),"OK","Comment required"),"OK")))</f>
      </c>
    </row>
    <row r="764" spans="1:10" x14ac:dyDescent="0.25">
      <c r="A764" s="1"/>
      <c r="B764" s="20"/>
      <c r="C764" s="1"/>
      <c r="D764" s="1"/>
      <c r="E764" s="1"/>
      <c r="F764" s="1"/>
      <c r="G764" s="1"/>
      <c r="H764" s="1"/>
      <c r="I764" s="1"/>
      <c r="J764" s="1">
        <f>IF($F764="","",IF($H764="","Not rated",IF(OR($H764=Lists!$B$3,$H764=Lists!$B$5),IF(AND(LEFT(SUBSTITUTE($I764," ",""),LEN($F764)+1)=$F764&amp;"-",LEN(SUBSTITUTE($I764," ",""))&gt;LEN($F764)+1),"OK","Comment required"),"OK")))</f>
      </c>
    </row>
    <row r="765" spans="1:10" x14ac:dyDescent="0.25">
      <c r="A765" s="1"/>
      <c r="B765" s="20"/>
      <c r="C765" s="1"/>
      <c r="D765" s="1"/>
      <c r="E765" s="1"/>
      <c r="F765" s="1"/>
      <c r="G765" s="1"/>
      <c r="H765" s="1"/>
      <c r="I765" s="1"/>
      <c r="J765" s="1">
        <f>IF($F765="","",IF($H765="","Not rated",IF(OR($H765=Lists!$B$3,$H765=Lists!$B$5),IF(AND(LEFT(SUBSTITUTE($I765," ",""),LEN($F765)+1)=$F765&amp;"-",LEN(SUBSTITUTE($I765," ",""))&gt;LEN($F765)+1),"OK","Comment required"),"OK")))</f>
      </c>
    </row>
    <row r="766" spans="1:10" x14ac:dyDescent="0.25">
      <c r="A766" s="1"/>
      <c r="B766" s="20"/>
      <c r="C766" s="1"/>
      <c r="D766" s="1"/>
      <c r="E766" s="1"/>
      <c r="F766" s="1"/>
      <c r="G766" s="1"/>
      <c r="H766" s="1"/>
      <c r="I766" s="1"/>
      <c r="J766" s="1">
        <f>IF($F766="","",IF($H766="","Not rated",IF(OR($H766=Lists!$B$3,$H766=Lists!$B$5),IF(AND(LEFT(SUBSTITUTE($I766," ",""),LEN($F766)+1)=$F766&amp;"-",LEN(SUBSTITUTE($I766," ",""))&gt;LEN($F766)+1),"OK","Comment required"),"OK")))</f>
      </c>
    </row>
    <row r="767" spans="1:10" x14ac:dyDescent="0.25">
      <c r="A767" s="1"/>
      <c r="B767" s="20"/>
      <c r="C767" s="1"/>
      <c r="D767" s="1"/>
      <c r="E767" s="1"/>
      <c r="F767" s="1"/>
      <c r="G767" s="1"/>
      <c r="H767" s="1"/>
      <c r="I767" s="1"/>
      <c r="J767" s="1">
        <f>IF($F767="","",IF($H767="","Not rated",IF(OR($H767=Lists!$B$3,$H767=Lists!$B$5),IF(AND(LEFT(SUBSTITUTE($I767," ",""),LEN($F767)+1)=$F767&amp;"-",LEN(SUBSTITUTE($I767," ",""))&gt;LEN($F767)+1),"OK","Comment required"),"OK")))</f>
      </c>
    </row>
    <row r="768" spans="1:10" x14ac:dyDescent="0.25">
      <c r="A768" s="1"/>
      <c r="B768" s="20"/>
      <c r="C768" s="1"/>
      <c r="D768" s="1"/>
      <c r="E768" s="1"/>
      <c r="F768" s="1"/>
      <c r="G768" s="1"/>
      <c r="H768" s="1"/>
      <c r="I768" s="1"/>
      <c r="J768" s="1">
        <f>IF($F768="","",IF($H768="","Not rated",IF(OR($H768=Lists!$B$3,$H768=Lists!$B$5),IF(AND(LEFT(SUBSTITUTE($I768," ",""),LEN($F768)+1)=$F768&amp;"-",LEN(SUBSTITUTE($I768," ",""))&gt;LEN($F768)+1),"OK","Comment required"),"OK")))</f>
      </c>
    </row>
    <row r="769" spans="1:10" x14ac:dyDescent="0.25">
      <c r="A769" s="1"/>
      <c r="B769" s="20"/>
      <c r="C769" s="1"/>
      <c r="D769" s="1"/>
      <c r="E769" s="1"/>
      <c r="F769" s="1"/>
      <c r="G769" s="1"/>
      <c r="H769" s="1"/>
      <c r="I769" s="1"/>
      <c r="J769" s="1">
        <f>IF($F769="","",IF($H769="","Not rated",IF(OR($H769=Lists!$B$3,$H769=Lists!$B$5),IF(AND(LEFT(SUBSTITUTE($I769," ",""),LEN($F769)+1)=$F769&amp;"-",LEN(SUBSTITUTE($I769," ",""))&gt;LEN($F769)+1),"OK","Comment required"),"OK")))</f>
      </c>
    </row>
    <row r="770" spans="1:10" x14ac:dyDescent="0.25">
      <c r="A770" s="1"/>
      <c r="B770" s="20"/>
      <c r="C770" s="1"/>
      <c r="D770" s="1"/>
      <c r="E770" s="1"/>
      <c r="F770" s="1"/>
      <c r="G770" s="1"/>
      <c r="H770" s="1"/>
      <c r="I770" s="1"/>
      <c r="J770" s="1">
        <f>IF($F770="","",IF($H770="","Not rated",IF(OR($H770=Lists!$B$3,$H770=Lists!$B$5),IF(AND(LEFT(SUBSTITUTE($I770," ",""),LEN($F770)+1)=$F770&amp;"-",LEN(SUBSTITUTE($I770," ",""))&gt;LEN($F770)+1),"OK","Comment required"),"OK")))</f>
      </c>
    </row>
    <row r="771" spans="1:10" x14ac:dyDescent="0.25">
      <c r="A771" s="1"/>
      <c r="B771" s="20"/>
      <c r="C771" s="1"/>
      <c r="D771" s="1"/>
      <c r="E771" s="1"/>
      <c r="F771" s="1"/>
      <c r="G771" s="1"/>
      <c r="H771" s="1"/>
      <c r="I771" s="1"/>
      <c r="J771" s="1">
        <f>IF($F771="","",IF($H771="","Not rated",IF(OR($H771=Lists!$B$3,$H771=Lists!$B$5),IF(AND(LEFT(SUBSTITUTE($I771," ",""),LEN($F771)+1)=$F771&amp;"-",LEN(SUBSTITUTE($I771," ",""))&gt;LEN($F771)+1),"OK","Comment required"),"OK")))</f>
      </c>
    </row>
    <row r="772" spans="1:10" x14ac:dyDescent="0.25">
      <c r="A772" s="1"/>
      <c r="B772" s="20"/>
      <c r="C772" s="1"/>
      <c r="D772" s="1"/>
      <c r="E772" s="1"/>
      <c r="F772" s="1"/>
      <c r="G772" s="1"/>
      <c r="H772" s="1"/>
      <c r="I772" s="1"/>
      <c r="J772" s="1">
        <f>IF($F772="","",IF($H772="","Not rated",IF(OR($H772=Lists!$B$3,$H772=Lists!$B$5),IF(AND(LEFT(SUBSTITUTE($I772," ",""),LEN($F772)+1)=$F772&amp;"-",LEN(SUBSTITUTE($I772," ",""))&gt;LEN($F772)+1),"OK","Comment required"),"OK")))</f>
      </c>
    </row>
    <row r="773" spans="1:10" x14ac:dyDescent="0.25">
      <c r="A773" s="1"/>
      <c r="B773" s="20"/>
      <c r="C773" s="1"/>
      <c r="D773" s="1"/>
      <c r="E773" s="1"/>
      <c r="F773" s="1"/>
      <c r="G773" s="1"/>
      <c r="H773" s="1"/>
      <c r="I773" s="1"/>
      <c r="J773" s="1">
        <f>IF($F773="","",IF($H773="","Not rated",IF(OR($H773=Lists!$B$3,$H773=Lists!$B$5),IF(AND(LEFT(SUBSTITUTE($I773," ",""),LEN($F773)+1)=$F773&amp;"-",LEN(SUBSTITUTE($I773," ",""))&gt;LEN($F773)+1),"OK","Comment required"),"OK")))</f>
      </c>
    </row>
    <row r="774" spans="1:10" x14ac:dyDescent="0.25">
      <c r="A774" s="1"/>
      <c r="B774" s="20"/>
      <c r="C774" s="1"/>
      <c r="D774" s="1"/>
      <c r="E774" s="1"/>
      <c r="F774" s="1"/>
      <c r="G774" s="1"/>
      <c r="H774" s="1"/>
      <c r="I774" s="1"/>
      <c r="J774" s="1">
        <f>IF($F774="","",IF($H774="","Not rated",IF(OR($H774=Lists!$B$3,$H774=Lists!$B$5),IF(AND(LEFT(SUBSTITUTE($I774," ",""),LEN($F774)+1)=$F774&amp;"-",LEN(SUBSTITUTE($I774," ",""))&gt;LEN($F774)+1),"OK","Comment required"),"OK")))</f>
      </c>
    </row>
    <row r="775" spans="1:10" x14ac:dyDescent="0.25">
      <c r="A775" s="1"/>
      <c r="B775" s="20"/>
      <c r="C775" s="1"/>
      <c r="D775" s="1"/>
      <c r="E775" s="1"/>
      <c r="F775" s="1"/>
      <c r="G775" s="1"/>
      <c r="H775" s="1"/>
      <c r="I775" s="1"/>
      <c r="J775" s="1">
        <f>IF($F775="","",IF($H775="","Not rated",IF(OR($H775=Lists!$B$3,$H775=Lists!$B$5),IF(AND(LEFT(SUBSTITUTE($I775," ",""),LEN($F775)+1)=$F775&amp;"-",LEN(SUBSTITUTE($I775," ",""))&gt;LEN($F775)+1),"OK","Comment required"),"OK")))</f>
      </c>
    </row>
    <row r="776" spans="1:10" x14ac:dyDescent="0.25">
      <c r="A776" s="1"/>
      <c r="B776" s="20"/>
      <c r="C776" s="1"/>
      <c r="D776" s="1"/>
      <c r="E776" s="1"/>
      <c r="F776" s="1"/>
      <c r="G776" s="1"/>
      <c r="H776" s="1"/>
      <c r="I776" s="1"/>
      <c r="J776" s="1">
        <f>IF($F776="","",IF($H776="","Not rated",IF(OR($H776=Lists!$B$3,$H776=Lists!$B$5),IF(AND(LEFT(SUBSTITUTE($I776," ",""),LEN($F776)+1)=$F776&amp;"-",LEN(SUBSTITUTE($I776," ",""))&gt;LEN($F776)+1),"OK","Comment required"),"OK")))</f>
      </c>
    </row>
    <row r="777" spans="1:10" x14ac:dyDescent="0.25">
      <c r="A777" s="1"/>
      <c r="B777" s="20"/>
      <c r="C777" s="1"/>
      <c r="D777" s="1"/>
      <c r="E777" s="1"/>
      <c r="F777" s="1"/>
      <c r="G777" s="1"/>
      <c r="H777" s="1"/>
      <c r="I777" s="1"/>
      <c r="J777" s="1">
        <f>IF($F777="","",IF($H777="","Not rated",IF(OR($H777=Lists!$B$3,$H777=Lists!$B$5),IF(AND(LEFT(SUBSTITUTE($I777," ",""),LEN($F777)+1)=$F777&amp;"-",LEN(SUBSTITUTE($I777," ",""))&gt;LEN($F777)+1),"OK","Comment required"),"OK")))</f>
      </c>
    </row>
    <row r="778" spans="1:10" x14ac:dyDescent="0.25">
      <c r="A778" s="1"/>
      <c r="B778" s="20"/>
      <c r="C778" s="1"/>
      <c r="D778" s="1"/>
      <c r="E778" s="1"/>
      <c r="F778" s="1"/>
      <c r="G778" s="1"/>
      <c r="H778" s="1"/>
      <c r="I778" s="1"/>
      <c r="J778" s="1">
        <f>IF($F778="","",IF($H778="","Not rated",IF(OR($H778=Lists!$B$3,$H778=Lists!$B$5),IF(AND(LEFT(SUBSTITUTE($I778," ",""),LEN($F778)+1)=$F778&amp;"-",LEN(SUBSTITUTE($I778," ",""))&gt;LEN($F778)+1),"OK","Comment required"),"OK")))</f>
      </c>
    </row>
    <row r="779" spans="1:10" x14ac:dyDescent="0.25">
      <c r="A779" s="1"/>
      <c r="B779" s="20"/>
      <c r="C779" s="1"/>
      <c r="D779" s="1"/>
      <c r="E779" s="1"/>
      <c r="F779" s="1"/>
      <c r="G779" s="1"/>
      <c r="H779" s="1"/>
      <c r="I779" s="1"/>
      <c r="J779" s="1">
        <f>IF($F779="","",IF($H779="","Not rated",IF(OR($H779=Lists!$B$3,$H779=Lists!$B$5),IF(AND(LEFT(SUBSTITUTE($I779," ",""),LEN($F779)+1)=$F779&amp;"-",LEN(SUBSTITUTE($I779," ",""))&gt;LEN($F779)+1),"OK","Comment required"),"OK")))</f>
      </c>
    </row>
    <row r="780" spans="1:10" x14ac:dyDescent="0.25">
      <c r="A780" s="1"/>
      <c r="B780" s="20"/>
      <c r="C780" s="1"/>
      <c r="D780" s="1"/>
      <c r="E780" s="1"/>
      <c r="F780" s="1"/>
      <c r="G780" s="1"/>
      <c r="H780" s="1"/>
      <c r="I780" s="1"/>
      <c r="J780" s="1">
        <f>IF($F780="","",IF($H780="","Not rated",IF(OR($H780=Lists!$B$3,$H780=Lists!$B$5),IF(AND(LEFT(SUBSTITUTE($I780," ",""),LEN($F780)+1)=$F780&amp;"-",LEN(SUBSTITUTE($I780," ",""))&gt;LEN($F780)+1),"OK","Comment required"),"OK")))</f>
      </c>
    </row>
    <row r="781" spans="1:10" x14ac:dyDescent="0.25">
      <c r="A781" s="1"/>
      <c r="B781" s="20"/>
      <c r="C781" s="1"/>
      <c r="D781" s="1"/>
      <c r="E781" s="1"/>
      <c r="F781" s="1"/>
      <c r="G781" s="1"/>
      <c r="H781" s="1"/>
      <c r="I781" s="1"/>
      <c r="J781" s="1">
        <f>IF($F781="","",IF($H781="","Not rated",IF(OR($H781=Lists!$B$3,$H781=Lists!$B$5),IF(AND(LEFT(SUBSTITUTE($I781," ",""),LEN($F781)+1)=$F781&amp;"-",LEN(SUBSTITUTE($I781," ",""))&gt;LEN($F781)+1),"OK","Comment required"),"OK")))</f>
      </c>
    </row>
    <row r="782" spans="1:10" x14ac:dyDescent="0.25">
      <c r="A782" s="1"/>
      <c r="B782" s="20"/>
      <c r="C782" s="1"/>
      <c r="D782" s="1"/>
      <c r="E782" s="1"/>
      <c r="F782" s="1"/>
      <c r="G782" s="1"/>
      <c r="H782" s="1"/>
      <c r="I782" s="1"/>
      <c r="J782" s="1">
        <f>IF($F782="","",IF($H782="","Not rated",IF(OR($H782=Lists!$B$3,$H782=Lists!$B$5),IF(AND(LEFT(SUBSTITUTE($I782," ",""),LEN($F782)+1)=$F782&amp;"-",LEN(SUBSTITUTE($I782," ",""))&gt;LEN($F782)+1),"OK","Comment required"),"OK")))</f>
      </c>
    </row>
    <row r="783" spans="1:10" x14ac:dyDescent="0.25">
      <c r="A783" s="1"/>
      <c r="B783" s="20"/>
      <c r="C783" s="1"/>
      <c r="D783" s="1"/>
      <c r="E783" s="1"/>
      <c r="F783" s="1"/>
      <c r="G783" s="1"/>
      <c r="H783" s="1"/>
      <c r="I783" s="1"/>
      <c r="J783" s="1">
        <f>IF($F783="","",IF($H783="","Not rated",IF(OR($H783=Lists!$B$3,$H783=Lists!$B$5),IF(AND(LEFT(SUBSTITUTE($I783," ",""),LEN($F783)+1)=$F783&amp;"-",LEN(SUBSTITUTE($I783," ",""))&gt;LEN($F783)+1),"OK","Comment required"),"OK")))</f>
      </c>
    </row>
    <row r="784" spans="1:10" x14ac:dyDescent="0.25">
      <c r="A784" s="1"/>
      <c r="B784" s="20"/>
      <c r="C784" s="1"/>
      <c r="D784" s="1"/>
      <c r="E784" s="1"/>
      <c r="F784" s="1"/>
      <c r="G784" s="1"/>
      <c r="H784" s="1"/>
      <c r="I784" s="1"/>
      <c r="J784" s="1">
        <f>IF($F784="","",IF($H784="","Not rated",IF(OR($H784=Lists!$B$3,$H784=Lists!$B$5),IF(AND(LEFT(SUBSTITUTE($I784," ",""),LEN($F784)+1)=$F784&amp;"-",LEN(SUBSTITUTE($I784," ",""))&gt;LEN($F784)+1),"OK","Comment required"),"OK")))</f>
      </c>
    </row>
    <row r="785" spans="1:10" x14ac:dyDescent="0.25">
      <c r="A785" s="1"/>
      <c r="B785" s="20"/>
      <c r="C785" s="1"/>
      <c r="D785" s="1"/>
      <c r="E785" s="1"/>
      <c r="F785" s="1"/>
      <c r="G785" s="1"/>
      <c r="H785" s="1"/>
      <c r="I785" s="1"/>
      <c r="J785" s="1">
        <f>IF($F785="","",IF($H785="","Not rated",IF(OR($H785=Lists!$B$3,$H785=Lists!$B$5),IF(AND(LEFT(SUBSTITUTE($I785," ",""),LEN($F785)+1)=$F785&amp;"-",LEN(SUBSTITUTE($I785," ",""))&gt;LEN($F785)+1),"OK","Comment required"),"OK")))</f>
      </c>
    </row>
    <row r="786" spans="1:10" x14ac:dyDescent="0.25">
      <c r="A786" s="1"/>
      <c r="B786" s="20"/>
      <c r="C786" s="1"/>
      <c r="D786" s="1"/>
      <c r="E786" s="1"/>
      <c r="F786" s="1"/>
      <c r="G786" s="1"/>
      <c r="H786" s="1"/>
      <c r="I786" s="1"/>
      <c r="J786" s="1">
        <f>IF($F786="","",IF($H786="","Not rated",IF(OR($H786=Lists!$B$3,$H786=Lists!$B$5),IF(AND(LEFT(SUBSTITUTE($I786," ",""),LEN($F786)+1)=$F786&amp;"-",LEN(SUBSTITUTE($I786," ",""))&gt;LEN($F786)+1),"OK","Comment required"),"OK")))</f>
      </c>
    </row>
    <row r="787" spans="1:10" x14ac:dyDescent="0.25">
      <c r="A787" s="1"/>
      <c r="B787" s="20"/>
      <c r="C787" s="1"/>
      <c r="D787" s="1"/>
      <c r="E787" s="1"/>
      <c r="F787" s="1"/>
      <c r="G787" s="1"/>
      <c r="H787" s="1"/>
      <c r="I787" s="1"/>
      <c r="J787" s="1">
        <f>IF($F787="","",IF($H787="","Not rated",IF(OR($H787=Lists!$B$3,$H787=Lists!$B$5),IF(AND(LEFT(SUBSTITUTE($I787," ",""),LEN($F787)+1)=$F787&amp;"-",LEN(SUBSTITUTE($I787," ",""))&gt;LEN($F787)+1),"OK","Comment required"),"OK")))</f>
      </c>
    </row>
    <row r="788" spans="1:10" x14ac:dyDescent="0.25">
      <c r="A788" s="1"/>
      <c r="B788" s="20"/>
      <c r="C788" s="1"/>
      <c r="D788" s="1"/>
      <c r="E788" s="1"/>
      <c r="F788" s="1"/>
      <c r="G788" s="1"/>
      <c r="H788" s="1"/>
      <c r="I788" s="1"/>
      <c r="J788" s="1">
        <f>IF($F788="","",IF($H788="","Not rated",IF(OR($H788=Lists!$B$3,$H788=Lists!$B$5),IF(AND(LEFT(SUBSTITUTE($I788," ",""),LEN($F788)+1)=$F788&amp;"-",LEN(SUBSTITUTE($I788," ",""))&gt;LEN($F788)+1),"OK","Comment required"),"OK")))</f>
      </c>
    </row>
    <row r="789" spans="1:10" x14ac:dyDescent="0.25">
      <c r="A789" s="1"/>
      <c r="B789" s="20"/>
      <c r="C789" s="1"/>
      <c r="D789" s="1"/>
      <c r="E789" s="1"/>
      <c r="F789" s="1"/>
      <c r="G789" s="1"/>
      <c r="H789" s="1"/>
      <c r="I789" s="1"/>
      <c r="J789" s="1">
        <f>IF($F789="","",IF($H789="","Not rated",IF(OR($H789=Lists!$B$3,$H789=Lists!$B$5),IF(AND(LEFT(SUBSTITUTE($I789," ",""),LEN($F789)+1)=$F789&amp;"-",LEN(SUBSTITUTE($I789," ",""))&gt;LEN($F789)+1),"OK","Comment required"),"OK")))</f>
      </c>
    </row>
    <row r="790" spans="1:10" x14ac:dyDescent="0.25">
      <c r="A790" s="1"/>
      <c r="B790" s="20"/>
      <c r="C790" s="1"/>
      <c r="D790" s="1"/>
      <c r="E790" s="1"/>
      <c r="F790" s="1"/>
      <c r="G790" s="1"/>
      <c r="H790" s="1"/>
      <c r="I790" s="1"/>
      <c r="J790" s="1">
        <f>IF($F790="","",IF($H790="","Not rated",IF(OR($H790=Lists!$B$3,$H790=Lists!$B$5),IF(AND(LEFT(SUBSTITUTE($I790," ",""),LEN($F790)+1)=$F790&amp;"-",LEN(SUBSTITUTE($I790," ",""))&gt;LEN($F790)+1),"OK","Comment required"),"OK")))</f>
      </c>
    </row>
    <row r="791" spans="1:10" x14ac:dyDescent="0.25">
      <c r="A791" s="1"/>
      <c r="B791" s="20"/>
      <c r="C791" s="1"/>
      <c r="D791" s="1"/>
      <c r="E791" s="1"/>
      <c r="F791" s="1"/>
      <c r="G791" s="1"/>
      <c r="H791" s="1"/>
      <c r="I791" s="1"/>
      <c r="J791" s="1">
        <f>IF($F791="","",IF($H791="","Not rated",IF(OR($H791=Lists!$B$3,$H791=Lists!$B$5),IF(AND(LEFT(SUBSTITUTE($I791," ",""),LEN($F791)+1)=$F791&amp;"-",LEN(SUBSTITUTE($I791," ",""))&gt;LEN($F791)+1),"OK","Comment required"),"OK")))</f>
      </c>
    </row>
    <row r="792" spans="1:10" x14ac:dyDescent="0.25">
      <c r="A792" s="1"/>
      <c r="B792" s="20"/>
      <c r="C792" s="1"/>
      <c r="D792" s="1"/>
      <c r="E792" s="1"/>
      <c r="F792" s="1"/>
      <c r="G792" s="1"/>
      <c r="H792" s="1"/>
      <c r="I792" s="1"/>
      <c r="J792" s="1">
        <f>IF($F792="","",IF($H792="","Not rated",IF(OR($H792=Lists!$B$3,$H792=Lists!$B$5),IF(AND(LEFT(SUBSTITUTE($I792," ",""),LEN($F792)+1)=$F792&amp;"-",LEN(SUBSTITUTE($I792," ",""))&gt;LEN($F792)+1),"OK","Comment required"),"OK")))</f>
      </c>
    </row>
    <row r="793" spans="1:10" x14ac:dyDescent="0.25">
      <c r="A793" s="1"/>
      <c r="B793" s="20"/>
      <c r="C793" s="1"/>
      <c r="D793" s="1"/>
      <c r="E793" s="1"/>
      <c r="F793" s="1"/>
      <c r="G793" s="1"/>
      <c r="H793" s="1"/>
      <c r="I793" s="1"/>
      <c r="J793" s="1">
        <f>IF($F793="","",IF($H793="","Not rated",IF(OR($H793=Lists!$B$3,$H793=Lists!$B$5),IF(AND(LEFT(SUBSTITUTE($I793," ",""),LEN($F793)+1)=$F793&amp;"-",LEN(SUBSTITUTE($I793," ",""))&gt;LEN($F793)+1),"OK","Comment required"),"OK")))</f>
      </c>
    </row>
    <row r="794" spans="1:10" x14ac:dyDescent="0.25">
      <c r="A794" s="1"/>
      <c r="B794" s="20"/>
      <c r="C794" s="1"/>
      <c r="D794" s="1"/>
      <c r="E794" s="1"/>
      <c r="F794" s="1"/>
      <c r="G794" s="1"/>
      <c r="H794" s="1"/>
      <c r="I794" s="1"/>
      <c r="J794" s="1">
        <f>IF($F794="","",IF($H794="","Not rated",IF(OR($H794=Lists!$B$3,$H794=Lists!$B$5),IF(AND(LEFT(SUBSTITUTE($I794," ",""),LEN($F794)+1)=$F794&amp;"-",LEN(SUBSTITUTE($I794," ",""))&gt;LEN($F794)+1),"OK","Comment required"),"OK")))</f>
      </c>
    </row>
    <row r="795" spans="1:10" x14ac:dyDescent="0.25">
      <c r="A795" s="1"/>
      <c r="B795" s="20"/>
      <c r="C795" s="1"/>
      <c r="D795" s="1"/>
      <c r="E795" s="1"/>
      <c r="F795" s="1"/>
      <c r="G795" s="1"/>
      <c r="H795" s="1"/>
      <c r="I795" s="1"/>
      <c r="J795" s="1">
        <f>IF($F795="","",IF($H795="","Not rated",IF(OR($H795=Lists!$B$3,$H795=Lists!$B$5),IF(AND(LEFT(SUBSTITUTE($I795," ",""),LEN($F795)+1)=$F795&amp;"-",LEN(SUBSTITUTE($I795," ",""))&gt;LEN($F795)+1),"OK","Comment required"),"OK")))</f>
      </c>
    </row>
    <row r="796" spans="1:10" x14ac:dyDescent="0.25">
      <c r="A796" s="1"/>
      <c r="B796" s="20"/>
      <c r="C796" s="1"/>
      <c r="D796" s="1"/>
      <c r="E796" s="1"/>
      <c r="F796" s="1"/>
      <c r="G796" s="1"/>
      <c r="H796" s="1"/>
      <c r="I796" s="1"/>
      <c r="J796" s="1">
        <f>IF($F796="","",IF($H796="","Not rated",IF(OR($H796=Lists!$B$3,$H796=Lists!$B$5),IF(AND(LEFT(SUBSTITUTE($I796," ",""),LEN($F796)+1)=$F796&amp;"-",LEN(SUBSTITUTE($I796," ",""))&gt;LEN($F796)+1),"OK","Comment required"),"OK")))</f>
      </c>
    </row>
    <row r="797" spans="1:10" x14ac:dyDescent="0.25">
      <c r="A797" s="1"/>
      <c r="B797" s="20"/>
      <c r="C797" s="1"/>
      <c r="D797" s="1"/>
      <c r="E797" s="1"/>
      <c r="F797" s="1"/>
      <c r="G797" s="1"/>
      <c r="H797" s="1"/>
      <c r="I797" s="1"/>
      <c r="J797" s="1">
        <f>IF($F797="","",IF($H797="","Not rated",IF(OR($H797=Lists!$B$3,$H797=Lists!$B$5),IF(AND(LEFT(SUBSTITUTE($I797," ",""),LEN($F797)+1)=$F797&amp;"-",LEN(SUBSTITUTE($I797," ",""))&gt;LEN($F797)+1),"OK","Comment required"),"OK")))</f>
      </c>
    </row>
    <row r="798" spans="1:10" x14ac:dyDescent="0.25">
      <c r="A798" s="1"/>
      <c r="B798" s="20"/>
      <c r="C798" s="1"/>
      <c r="D798" s="1"/>
      <c r="E798" s="1"/>
      <c r="F798" s="1"/>
      <c r="G798" s="1"/>
      <c r="H798" s="1"/>
      <c r="I798" s="1"/>
      <c r="J798" s="1">
        <f>IF($F798="","",IF($H798="","Not rated",IF(OR($H798=Lists!$B$3,$H798=Lists!$B$5),IF(AND(LEFT(SUBSTITUTE($I798," ",""),LEN($F798)+1)=$F798&amp;"-",LEN(SUBSTITUTE($I798," ",""))&gt;LEN($F798)+1),"OK","Comment required"),"OK")))</f>
      </c>
    </row>
    <row r="799" spans="1:10" x14ac:dyDescent="0.25">
      <c r="A799" s="1"/>
      <c r="B799" s="20"/>
      <c r="C799" s="1"/>
      <c r="D799" s="1"/>
      <c r="E799" s="1"/>
      <c r="F799" s="1"/>
      <c r="G799" s="1"/>
      <c r="H799" s="1"/>
      <c r="I799" s="1"/>
      <c r="J799" s="1">
        <f>IF($F799="","",IF($H799="","Not rated",IF(OR($H799=Lists!$B$3,$H799=Lists!$B$5),IF(AND(LEFT(SUBSTITUTE($I799," ",""),LEN($F799)+1)=$F799&amp;"-",LEN(SUBSTITUTE($I799," ",""))&gt;LEN($F799)+1),"OK","Comment required"),"OK")))</f>
      </c>
    </row>
    <row r="800" spans="1:10" x14ac:dyDescent="0.25">
      <c r="A800" s="1"/>
      <c r="B800" s="20"/>
      <c r="C800" s="1"/>
      <c r="D800" s="1"/>
      <c r="E800" s="1"/>
      <c r="F800" s="1"/>
      <c r="G800" s="1"/>
      <c r="H800" s="1"/>
      <c r="I800" s="1"/>
      <c r="J800" s="1">
        <f>IF($F800="","",IF($H800="","Not rated",IF(OR($H800=Lists!$B$3,$H800=Lists!$B$5),IF(AND(LEFT(SUBSTITUTE($I800," ",""),LEN($F800)+1)=$F800&amp;"-",LEN(SUBSTITUTE($I800," ",""))&gt;LEN($F800)+1),"OK","Comment required"),"OK")))</f>
      </c>
    </row>
    <row r="801" spans="1:10" x14ac:dyDescent="0.25">
      <c r="A801" s="1"/>
      <c r="B801" s="20"/>
      <c r="C801" s="1"/>
      <c r="D801" s="1"/>
      <c r="E801" s="1"/>
      <c r="F801" s="1"/>
      <c r="G801" s="1"/>
      <c r="H801" s="1"/>
      <c r="I801" s="1"/>
      <c r="J801" s="1">
        <f>IF($F801="","",IF($H801="","Not rated",IF(OR($H801=Lists!$B$3,$H801=Lists!$B$5),IF(AND(LEFT(SUBSTITUTE($I801," ",""),LEN($F801)+1)=$F801&amp;"-",LEN(SUBSTITUTE($I801," ",""))&gt;LEN($F801)+1),"OK","Comment required"),"OK")))</f>
      </c>
    </row>
    <row r="802" spans="1:10" x14ac:dyDescent="0.25">
      <c r="A802" s="1"/>
      <c r="B802" s="20"/>
      <c r="C802" s="1"/>
      <c r="D802" s="1"/>
      <c r="E802" s="1"/>
      <c r="F802" s="1"/>
      <c r="G802" s="1"/>
      <c r="H802" s="1"/>
      <c r="I802" s="1"/>
      <c r="J802" s="1">
        <f>IF($F802="","",IF($H802="","Not rated",IF(OR($H802=Lists!$B$3,$H802=Lists!$B$5),IF(AND(LEFT(SUBSTITUTE($I802," ",""),LEN($F802)+1)=$F802&amp;"-",LEN(SUBSTITUTE($I802," ",""))&gt;LEN($F802)+1),"OK","Comment required"),"OK")))</f>
      </c>
    </row>
    <row r="803" spans="1:10" x14ac:dyDescent="0.25">
      <c r="A803" s="1"/>
      <c r="B803" s="20"/>
      <c r="C803" s="1"/>
      <c r="D803" s="1"/>
      <c r="E803" s="1"/>
      <c r="F803" s="1"/>
      <c r="G803" s="1"/>
      <c r="H803" s="1"/>
      <c r="I803" s="1"/>
      <c r="J803" s="1">
        <f>IF($F803="","",IF($H803="","Not rated",IF(OR($H803=Lists!$B$3,$H803=Lists!$B$5),IF(AND(LEFT(SUBSTITUTE($I803," ",""),LEN($F803)+1)=$F803&amp;"-",LEN(SUBSTITUTE($I803," ",""))&gt;LEN($F803)+1),"OK","Comment required"),"OK")))</f>
      </c>
    </row>
    <row r="804" spans="1:10" x14ac:dyDescent="0.25">
      <c r="A804" s="1"/>
      <c r="B804" s="20"/>
      <c r="C804" s="1"/>
      <c r="D804" s="1"/>
      <c r="E804" s="1"/>
      <c r="F804" s="1"/>
      <c r="G804" s="1"/>
      <c r="H804" s="1"/>
      <c r="I804" s="1"/>
      <c r="J804" s="1">
        <f>IF($F804="","",IF($H804="","Not rated",IF(OR($H804=Lists!$B$3,$H804=Lists!$B$5),IF(AND(LEFT(SUBSTITUTE($I804," ",""),LEN($F804)+1)=$F804&amp;"-",LEN(SUBSTITUTE($I804," ",""))&gt;LEN($F804)+1),"OK","Comment required"),"OK")))</f>
      </c>
    </row>
    <row r="805" spans="1:10" x14ac:dyDescent="0.25">
      <c r="A805" s="1"/>
      <c r="B805" s="20"/>
      <c r="C805" s="1"/>
      <c r="D805" s="1"/>
      <c r="E805" s="1"/>
      <c r="F805" s="1"/>
      <c r="G805" s="1"/>
      <c r="H805" s="1"/>
      <c r="I805" s="1"/>
      <c r="J805" s="1">
        <f>IF($F805="","",IF($H805="","Not rated",IF(OR($H805=Lists!$B$3,$H805=Lists!$B$5),IF(AND(LEFT(SUBSTITUTE($I805," ",""),LEN($F805)+1)=$F805&amp;"-",LEN(SUBSTITUTE($I805," ",""))&gt;LEN($F805)+1),"OK","Comment required"),"OK")))</f>
      </c>
    </row>
    <row r="806" spans="1:10" x14ac:dyDescent="0.25">
      <c r="A806" s="1"/>
      <c r="B806" s="20"/>
      <c r="C806" s="1"/>
      <c r="D806" s="1"/>
      <c r="E806" s="1"/>
      <c r="F806" s="1"/>
      <c r="G806" s="1"/>
      <c r="H806" s="1"/>
      <c r="I806" s="1"/>
      <c r="J806" s="1">
        <f>IF($F806="","",IF($H806="","Not rated",IF(OR($H806=Lists!$B$3,$H806=Lists!$B$5),IF(AND(LEFT(SUBSTITUTE($I806," ",""),LEN($F806)+1)=$F806&amp;"-",LEN(SUBSTITUTE($I806," ",""))&gt;LEN($F806)+1),"OK","Comment required"),"OK")))</f>
      </c>
    </row>
    <row r="807" spans="1:10" x14ac:dyDescent="0.25">
      <c r="A807" s="1"/>
      <c r="B807" s="20"/>
      <c r="C807" s="1"/>
      <c r="D807" s="1"/>
      <c r="E807" s="1"/>
      <c r="F807" s="1"/>
      <c r="G807" s="1"/>
      <c r="H807" s="1"/>
      <c r="I807" s="1"/>
      <c r="J807" s="1">
        <f>IF($F807="","",IF($H807="","Not rated",IF(OR($H807=Lists!$B$3,$H807=Lists!$B$5),IF(AND(LEFT(SUBSTITUTE($I807," ",""),LEN($F807)+1)=$F807&amp;"-",LEN(SUBSTITUTE($I807," ",""))&gt;LEN($F807)+1),"OK","Comment required"),"OK")))</f>
      </c>
    </row>
    <row r="808" spans="1:10" x14ac:dyDescent="0.25">
      <c r="A808" s="1"/>
      <c r="B808" s="20"/>
      <c r="C808" s="1"/>
      <c r="D808" s="1"/>
      <c r="E808" s="1"/>
      <c r="F808" s="1"/>
      <c r="G808" s="1"/>
      <c r="H808" s="1"/>
      <c r="I808" s="1"/>
      <c r="J808" s="1">
        <f>IF($F808="","",IF($H808="","Not rated",IF(OR($H808=Lists!$B$3,$H808=Lists!$B$5),IF(AND(LEFT(SUBSTITUTE($I808," ",""),LEN($F808)+1)=$F808&amp;"-",LEN(SUBSTITUTE($I808," ",""))&gt;LEN($F808)+1),"OK","Comment required"),"OK")))</f>
      </c>
    </row>
    <row r="809" spans="1:10" x14ac:dyDescent="0.25">
      <c r="A809" s="1"/>
      <c r="B809" s="20"/>
      <c r="C809" s="1"/>
      <c r="D809" s="1"/>
      <c r="E809" s="1"/>
      <c r="F809" s="1"/>
      <c r="G809" s="1"/>
      <c r="H809" s="1"/>
      <c r="I809" s="1"/>
      <c r="J809" s="1">
        <f>IF($F809="","",IF($H809="","Not rated",IF(OR($H809=Lists!$B$3,$H809=Lists!$B$5),IF(AND(LEFT(SUBSTITUTE($I809," ",""),LEN($F809)+1)=$F809&amp;"-",LEN(SUBSTITUTE($I809," ",""))&gt;LEN($F809)+1),"OK","Comment required"),"OK")))</f>
      </c>
    </row>
    <row r="810" spans="1:10" x14ac:dyDescent="0.25">
      <c r="A810" s="1"/>
      <c r="B810" s="20"/>
      <c r="C810" s="1"/>
      <c r="D810" s="1"/>
      <c r="E810" s="1"/>
      <c r="F810" s="1"/>
      <c r="G810" s="1"/>
      <c r="H810" s="1"/>
      <c r="I810" s="1"/>
      <c r="J810" s="1">
        <f>IF($F810="","",IF($H810="","Not rated",IF(OR($H810=Lists!$B$3,$H810=Lists!$B$5),IF(AND(LEFT(SUBSTITUTE($I810," ",""),LEN($F810)+1)=$F810&amp;"-",LEN(SUBSTITUTE($I810," ",""))&gt;LEN($F810)+1),"OK","Comment required"),"OK")))</f>
      </c>
    </row>
    <row r="811" spans="1:10" x14ac:dyDescent="0.25">
      <c r="A811" s="1"/>
      <c r="B811" s="20"/>
      <c r="C811" s="1"/>
      <c r="D811" s="1"/>
      <c r="E811" s="1"/>
      <c r="F811" s="1"/>
      <c r="G811" s="1"/>
      <c r="H811" s="1"/>
      <c r="I811" s="1"/>
      <c r="J811" s="1">
        <f>IF($F811="","",IF($H811="","Not rated",IF(OR($H811=Lists!$B$3,$H811=Lists!$B$5),IF(AND(LEFT(SUBSTITUTE($I811," ",""),LEN($F811)+1)=$F811&amp;"-",LEN(SUBSTITUTE($I811," ",""))&gt;LEN($F811)+1),"OK","Comment required"),"OK")))</f>
      </c>
    </row>
    <row r="812" spans="1:10" x14ac:dyDescent="0.25">
      <c r="A812" s="1"/>
      <c r="B812" s="20"/>
      <c r="C812" s="1"/>
      <c r="D812" s="1"/>
      <c r="E812" s="1"/>
      <c r="F812" s="1"/>
      <c r="G812" s="1"/>
      <c r="H812" s="1"/>
      <c r="I812" s="1"/>
      <c r="J812" s="1">
        <f>IF($F812="","",IF($H812="","Not rated",IF(OR($H812=Lists!$B$3,$H812=Lists!$B$5),IF(AND(LEFT(SUBSTITUTE($I812," ",""),LEN($F812)+1)=$F812&amp;"-",LEN(SUBSTITUTE($I812," ",""))&gt;LEN($F812)+1),"OK","Comment required"),"OK")))</f>
      </c>
    </row>
    <row r="813" spans="1:10" x14ac:dyDescent="0.25">
      <c r="A813" s="1"/>
      <c r="B813" s="20"/>
      <c r="C813" s="1"/>
      <c r="D813" s="1"/>
      <c r="E813" s="1"/>
      <c r="F813" s="1"/>
      <c r="G813" s="1"/>
      <c r="H813" s="1"/>
      <c r="I813" s="1"/>
      <c r="J813" s="1">
        <f>IF($F813="","",IF($H813="","Not rated",IF(OR($H813=Lists!$B$3,$H813=Lists!$B$5),IF(AND(LEFT(SUBSTITUTE($I813," ",""),LEN($F813)+1)=$F813&amp;"-",LEN(SUBSTITUTE($I813," ",""))&gt;LEN($F813)+1),"OK","Comment required"),"OK")))</f>
      </c>
    </row>
    <row r="814" spans="1:10" x14ac:dyDescent="0.25">
      <c r="A814" s="1"/>
      <c r="B814" s="20"/>
      <c r="C814" s="1"/>
      <c r="D814" s="1"/>
      <c r="E814" s="1"/>
      <c r="F814" s="1"/>
      <c r="G814" s="1"/>
      <c r="H814" s="1"/>
      <c r="I814" s="1"/>
      <c r="J814" s="1">
        <f>IF($F814="","",IF($H814="","Not rated",IF(OR($H814=Lists!$B$3,$H814=Lists!$B$5),IF(AND(LEFT(SUBSTITUTE($I814," ",""),LEN($F814)+1)=$F814&amp;"-",LEN(SUBSTITUTE($I814," ",""))&gt;LEN($F814)+1),"OK","Comment required"),"OK")))</f>
      </c>
    </row>
    <row r="815" spans="1:10" x14ac:dyDescent="0.25">
      <c r="A815" s="1"/>
      <c r="B815" s="20"/>
      <c r="C815" s="1"/>
      <c r="D815" s="1"/>
      <c r="E815" s="1"/>
      <c r="F815" s="1"/>
      <c r="G815" s="1"/>
      <c r="H815" s="1"/>
      <c r="I815" s="1"/>
      <c r="J815" s="1">
        <f>IF($F815="","",IF($H815="","Not rated",IF(OR($H815=Lists!$B$3,$H815=Lists!$B$5),IF(AND(LEFT(SUBSTITUTE($I815," ",""),LEN($F815)+1)=$F815&amp;"-",LEN(SUBSTITUTE($I815," ",""))&gt;LEN($F815)+1),"OK","Comment required"),"OK")))</f>
      </c>
    </row>
    <row r="816" spans="1:10" x14ac:dyDescent="0.25">
      <c r="A816" s="1"/>
      <c r="B816" s="20"/>
      <c r="C816" s="1"/>
      <c r="D816" s="1"/>
      <c r="E816" s="1"/>
      <c r="F816" s="1"/>
      <c r="G816" s="1"/>
      <c r="H816" s="1"/>
      <c r="I816" s="1"/>
      <c r="J816" s="1">
        <f>IF($F816="","",IF($H816="","Not rated",IF(OR($H816=Lists!$B$3,$H816=Lists!$B$5),IF(AND(LEFT(SUBSTITUTE($I816," ",""),LEN($F816)+1)=$F816&amp;"-",LEN(SUBSTITUTE($I816," ",""))&gt;LEN($F816)+1),"OK","Comment required"),"OK")))</f>
      </c>
    </row>
    <row r="817" spans="1:10" x14ac:dyDescent="0.25">
      <c r="A817" s="1"/>
      <c r="B817" s="20"/>
      <c r="C817" s="1"/>
      <c r="D817" s="1"/>
      <c r="E817" s="1"/>
      <c r="F817" s="1"/>
      <c r="G817" s="1"/>
      <c r="H817" s="1"/>
      <c r="I817" s="1"/>
      <c r="J817" s="1">
        <f>IF($F817="","",IF($H817="","Not rated",IF(OR($H817=Lists!$B$3,$H817=Lists!$B$5),IF(AND(LEFT(SUBSTITUTE($I817," ",""),LEN($F817)+1)=$F817&amp;"-",LEN(SUBSTITUTE($I817," ",""))&gt;LEN($F817)+1),"OK","Comment required"),"OK")))</f>
      </c>
    </row>
    <row r="818" spans="1:10" x14ac:dyDescent="0.25">
      <c r="A818" s="1"/>
      <c r="B818" s="20"/>
      <c r="C818" s="1"/>
      <c r="D818" s="1"/>
      <c r="E818" s="1"/>
      <c r="F818" s="1"/>
      <c r="G818" s="1"/>
      <c r="H818" s="1"/>
      <c r="I818" s="1"/>
      <c r="J818" s="1">
        <f>IF($F818="","",IF($H818="","Not rated",IF(OR($H818=Lists!$B$3,$H818=Lists!$B$5),IF(AND(LEFT(SUBSTITUTE($I818," ",""),LEN($F818)+1)=$F818&amp;"-",LEN(SUBSTITUTE($I818," ",""))&gt;LEN($F818)+1),"OK","Comment required"),"OK")))</f>
      </c>
    </row>
    <row r="819" spans="1:10" x14ac:dyDescent="0.25">
      <c r="A819" s="1"/>
      <c r="B819" s="20"/>
      <c r="C819" s="1"/>
      <c r="D819" s="1"/>
      <c r="E819" s="1"/>
      <c r="F819" s="1"/>
      <c r="G819" s="1"/>
      <c r="H819" s="1"/>
      <c r="I819" s="1"/>
      <c r="J819" s="1">
        <f>IF($F819="","",IF($H819="","Not rated",IF(OR($H819=Lists!$B$3,$H819=Lists!$B$5),IF(AND(LEFT(SUBSTITUTE($I819," ",""),LEN($F819)+1)=$F819&amp;"-",LEN(SUBSTITUTE($I819," ",""))&gt;LEN($F819)+1),"OK","Comment required"),"OK")))</f>
      </c>
    </row>
    <row r="820" spans="1:10" x14ac:dyDescent="0.25">
      <c r="A820" s="1"/>
      <c r="B820" s="20"/>
      <c r="C820" s="1"/>
      <c r="D820" s="1"/>
      <c r="E820" s="1"/>
      <c r="F820" s="1"/>
      <c r="G820" s="1"/>
      <c r="H820" s="1"/>
      <c r="I820" s="1"/>
      <c r="J820" s="1">
        <f>IF($F820="","",IF($H820="","Not rated",IF(OR($H820=Lists!$B$3,$H820=Lists!$B$5),IF(AND(LEFT(SUBSTITUTE($I820," ",""),LEN($F820)+1)=$F820&amp;"-",LEN(SUBSTITUTE($I820," ",""))&gt;LEN($F820)+1),"OK","Comment required"),"OK")))</f>
      </c>
    </row>
    <row r="821" spans="1:10" x14ac:dyDescent="0.25">
      <c r="A821" s="1"/>
      <c r="B821" s="20"/>
      <c r="C821" s="1"/>
      <c r="D821" s="1"/>
      <c r="E821" s="1"/>
      <c r="F821" s="1"/>
      <c r="G821" s="1"/>
      <c r="H821" s="1"/>
      <c r="I821" s="1"/>
      <c r="J821" s="1">
        <f>IF($F821="","",IF($H821="","Not rated",IF(OR($H821=Lists!$B$3,$H821=Lists!$B$5),IF(AND(LEFT(SUBSTITUTE($I821," ",""),LEN($F821)+1)=$F821&amp;"-",LEN(SUBSTITUTE($I821," ",""))&gt;LEN($F821)+1),"OK","Comment required"),"OK")))</f>
      </c>
    </row>
    <row r="822" spans="1:10" x14ac:dyDescent="0.25">
      <c r="A822" s="1"/>
      <c r="B822" s="20"/>
      <c r="C822" s="1"/>
      <c r="D822" s="1"/>
      <c r="E822" s="1"/>
      <c r="F822" s="1"/>
      <c r="G822" s="1"/>
      <c r="H822" s="1"/>
      <c r="I822" s="1"/>
      <c r="J822" s="1">
        <f>IF($F822="","",IF($H822="","Not rated",IF(OR($H822=Lists!$B$3,$H822=Lists!$B$5),IF(AND(LEFT(SUBSTITUTE($I822," ",""),LEN($F822)+1)=$F822&amp;"-",LEN(SUBSTITUTE($I822," ",""))&gt;LEN($F822)+1),"OK","Comment required"),"OK")))</f>
      </c>
    </row>
    <row r="823" spans="1:10" x14ac:dyDescent="0.25">
      <c r="A823" s="1"/>
      <c r="B823" s="20"/>
      <c r="C823" s="1"/>
      <c r="D823" s="1"/>
      <c r="E823" s="1"/>
      <c r="F823" s="1"/>
      <c r="G823" s="1"/>
      <c r="H823" s="1"/>
      <c r="I823" s="1"/>
      <c r="J823" s="1">
        <f>IF($F823="","",IF($H823="","Not rated",IF(OR($H823=Lists!$B$3,$H823=Lists!$B$5),IF(AND(LEFT(SUBSTITUTE($I823," ",""),LEN($F823)+1)=$F823&amp;"-",LEN(SUBSTITUTE($I823," ",""))&gt;LEN($F823)+1),"OK","Comment required"),"OK")))</f>
      </c>
    </row>
    <row r="824" spans="1:10" x14ac:dyDescent="0.25">
      <c r="A824" s="1"/>
      <c r="B824" s="20"/>
      <c r="C824" s="1"/>
      <c r="D824" s="1"/>
      <c r="E824" s="1"/>
      <c r="F824" s="1"/>
      <c r="G824" s="1"/>
      <c r="H824" s="1"/>
      <c r="I824" s="1"/>
      <c r="J824" s="1">
        <f>IF($F824="","",IF($H824="","Not rated",IF(OR($H824=Lists!$B$3,$H824=Lists!$B$5),IF(AND(LEFT(SUBSTITUTE($I824," ",""),LEN($F824)+1)=$F824&amp;"-",LEN(SUBSTITUTE($I824," ",""))&gt;LEN($F824)+1),"OK","Comment required"),"OK")))</f>
      </c>
    </row>
    <row r="825" spans="1:10" x14ac:dyDescent="0.25">
      <c r="A825" s="1"/>
      <c r="B825" s="20"/>
      <c r="C825" s="1"/>
      <c r="D825" s="1"/>
      <c r="E825" s="1"/>
      <c r="F825" s="1"/>
      <c r="G825" s="1"/>
      <c r="H825" s="1"/>
      <c r="I825" s="1"/>
      <c r="J825" s="1">
        <f>IF($F825="","",IF($H825="","Not rated",IF(OR($H825=Lists!$B$3,$H825=Lists!$B$5),IF(AND(LEFT(SUBSTITUTE($I825," ",""),LEN($F825)+1)=$F825&amp;"-",LEN(SUBSTITUTE($I825," ",""))&gt;LEN($F825)+1),"OK","Comment required"),"OK")))</f>
      </c>
    </row>
    <row r="826" spans="1:10" x14ac:dyDescent="0.25">
      <c r="A826" s="1"/>
      <c r="B826" s="20"/>
      <c r="C826" s="1"/>
      <c r="D826" s="1"/>
      <c r="E826" s="1"/>
      <c r="F826" s="1"/>
      <c r="G826" s="1"/>
      <c r="H826" s="1"/>
      <c r="I826" s="1"/>
      <c r="J826" s="1">
        <f>IF($F826="","",IF($H826="","Not rated",IF(OR($H826=Lists!$B$3,$H826=Lists!$B$5),IF(AND(LEFT(SUBSTITUTE($I826," ",""),LEN($F826)+1)=$F826&amp;"-",LEN(SUBSTITUTE($I826," ",""))&gt;LEN($F826)+1),"OK","Comment required"),"OK")))</f>
      </c>
    </row>
    <row r="827" spans="1:10" x14ac:dyDescent="0.25">
      <c r="A827" s="1"/>
      <c r="B827" s="20"/>
      <c r="C827" s="1"/>
      <c r="D827" s="1"/>
      <c r="E827" s="1"/>
      <c r="F827" s="1"/>
      <c r="G827" s="1"/>
      <c r="H827" s="1"/>
      <c r="I827" s="1"/>
      <c r="J827" s="1">
        <f>IF($F827="","",IF($H827="","Not rated",IF(OR($H827=Lists!$B$3,$H827=Lists!$B$5),IF(AND(LEFT(SUBSTITUTE($I827," ",""),LEN($F827)+1)=$F827&amp;"-",LEN(SUBSTITUTE($I827," ",""))&gt;LEN($F827)+1),"OK","Comment required"),"OK")))</f>
      </c>
    </row>
    <row r="828" spans="1:10" x14ac:dyDescent="0.25">
      <c r="A828" s="1"/>
      <c r="B828" s="20"/>
      <c r="C828" s="1"/>
      <c r="D828" s="1"/>
      <c r="E828" s="1"/>
      <c r="F828" s="1"/>
      <c r="G828" s="1"/>
      <c r="H828" s="1"/>
      <c r="I828" s="1"/>
      <c r="J828" s="1">
        <f>IF($F828="","",IF($H828="","Not rated",IF(OR($H828=Lists!$B$3,$H828=Lists!$B$5),IF(AND(LEFT(SUBSTITUTE($I828," ",""),LEN($F828)+1)=$F828&amp;"-",LEN(SUBSTITUTE($I828," ",""))&gt;LEN($F828)+1),"OK","Comment required"),"OK")))</f>
      </c>
    </row>
    <row r="829" spans="1:10" x14ac:dyDescent="0.25">
      <c r="A829" s="1"/>
      <c r="B829" s="20"/>
      <c r="C829" s="1"/>
      <c r="D829" s="1"/>
      <c r="E829" s="1"/>
      <c r="F829" s="1"/>
      <c r="G829" s="1"/>
      <c r="H829" s="1"/>
      <c r="I829" s="1"/>
      <c r="J829" s="1">
        <f>IF($F829="","",IF($H829="","Not rated",IF(OR($H829=Lists!$B$3,$H829=Lists!$B$5),IF(AND(LEFT(SUBSTITUTE($I829," ",""),LEN($F829)+1)=$F829&amp;"-",LEN(SUBSTITUTE($I829," ",""))&gt;LEN($F829)+1),"OK","Comment required"),"OK")))</f>
      </c>
    </row>
    <row r="830" spans="1:10" x14ac:dyDescent="0.25">
      <c r="A830" s="1"/>
      <c r="B830" s="20"/>
      <c r="C830" s="1"/>
      <c r="D830" s="1"/>
      <c r="E830" s="1"/>
      <c r="F830" s="1"/>
      <c r="G830" s="1"/>
      <c r="H830" s="1"/>
      <c r="I830" s="1"/>
      <c r="J830" s="1">
        <f>IF($F830="","",IF($H830="","Not rated",IF(OR($H830=Lists!$B$3,$H830=Lists!$B$5),IF(AND(LEFT(SUBSTITUTE($I830," ",""),LEN($F830)+1)=$F830&amp;"-",LEN(SUBSTITUTE($I830," ",""))&gt;LEN($F830)+1),"OK","Comment required"),"OK")))</f>
      </c>
    </row>
    <row r="831" spans="1:10" x14ac:dyDescent="0.25">
      <c r="A831" s="1"/>
      <c r="B831" s="20"/>
      <c r="C831" s="1"/>
      <c r="D831" s="1"/>
      <c r="E831" s="1"/>
      <c r="F831" s="1"/>
      <c r="G831" s="1"/>
      <c r="H831" s="1"/>
      <c r="I831" s="1"/>
      <c r="J831" s="1">
        <f>IF($F831="","",IF($H831="","Not rated",IF(OR($H831=Lists!$B$3,$H831=Lists!$B$5),IF(AND(LEFT(SUBSTITUTE($I831," ",""),LEN($F831)+1)=$F831&amp;"-",LEN(SUBSTITUTE($I831," ",""))&gt;LEN($F831)+1),"OK","Comment required"),"OK")))</f>
      </c>
    </row>
    <row r="832" spans="1:10" x14ac:dyDescent="0.25">
      <c r="A832" s="1"/>
      <c r="B832" s="20"/>
      <c r="C832" s="1"/>
      <c r="D832" s="1"/>
      <c r="E832" s="1"/>
      <c r="F832" s="1"/>
      <c r="G832" s="1"/>
      <c r="H832" s="1"/>
      <c r="I832" s="1"/>
      <c r="J832" s="1">
        <f>IF($F832="","",IF($H832="","Not rated",IF(OR($H832=Lists!$B$3,$H832=Lists!$B$5),IF(AND(LEFT(SUBSTITUTE($I832," ",""),LEN($F832)+1)=$F832&amp;"-",LEN(SUBSTITUTE($I832," ",""))&gt;LEN($F832)+1),"OK","Comment required"),"OK")))</f>
      </c>
    </row>
    <row r="833" spans="1:10" x14ac:dyDescent="0.25">
      <c r="A833" s="1"/>
      <c r="B833" s="20"/>
      <c r="C833" s="1"/>
      <c r="D833" s="1"/>
      <c r="E833" s="1"/>
      <c r="F833" s="1"/>
      <c r="G833" s="1"/>
      <c r="H833" s="1"/>
      <c r="I833" s="1"/>
      <c r="J833" s="1">
        <f>IF($F833="","",IF($H833="","Not rated",IF(OR($H833=Lists!$B$3,$H833=Lists!$B$5),IF(AND(LEFT(SUBSTITUTE($I833," ",""),LEN($F833)+1)=$F833&amp;"-",LEN(SUBSTITUTE($I833," ",""))&gt;LEN($F833)+1),"OK","Comment required"),"OK")))</f>
      </c>
    </row>
    <row r="834" spans="1:10" x14ac:dyDescent="0.25">
      <c r="A834" s="1"/>
      <c r="B834" s="20"/>
      <c r="C834" s="1"/>
      <c r="D834" s="1"/>
      <c r="E834" s="1"/>
      <c r="F834" s="1"/>
      <c r="G834" s="1"/>
      <c r="H834" s="1"/>
      <c r="I834" s="1"/>
      <c r="J834" s="1">
        <f>IF($F834="","",IF($H834="","Not rated",IF(OR($H834=Lists!$B$3,$H834=Lists!$B$5),IF(AND(LEFT(SUBSTITUTE($I834," ",""),LEN($F834)+1)=$F834&amp;"-",LEN(SUBSTITUTE($I834," ",""))&gt;LEN($F834)+1),"OK","Comment required"),"OK")))</f>
      </c>
    </row>
    <row r="835" spans="1:10" x14ac:dyDescent="0.25">
      <c r="A835" s="1"/>
      <c r="B835" s="20"/>
      <c r="C835" s="1"/>
      <c r="D835" s="1"/>
      <c r="E835" s="1"/>
      <c r="F835" s="1"/>
      <c r="G835" s="1"/>
      <c r="H835" s="1"/>
      <c r="I835" s="1"/>
      <c r="J835" s="1">
        <f>IF($F835="","",IF($H835="","Not rated",IF(OR($H835=Lists!$B$3,$H835=Lists!$B$5),IF(AND(LEFT(SUBSTITUTE($I835," ",""),LEN($F835)+1)=$F835&amp;"-",LEN(SUBSTITUTE($I835," ",""))&gt;LEN($F835)+1),"OK","Comment required"),"OK")))</f>
      </c>
    </row>
    <row r="836" spans="1:10" x14ac:dyDescent="0.25">
      <c r="A836" s="1"/>
      <c r="B836" s="20"/>
      <c r="C836" s="1"/>
      <c r="D836" s="1"/>
      <c r="E836" s="1"/>
      <c r="F836" s="1"/>
      <c r="G836" s="1"/>
      <c r="H836" s="1"/>
      <c r="I836" s="1"/>
      <c r="J836" s="1">
        <f>IF($F836="","",IF($H836="","Not rated",IF(OR($H836=Lists!$B$3,$H836=Lists!$B$5),IF(AND(LEFT(SUBSTITUTE($I836," ",""),LEN($F836)+1)=$F836&amp;"-",LEN(SUBSTITUTE($I836," ",""))&gt;LEN($F836)+1),"OK","Comment required"),"OK")))</f>
      </c>
    </row>
    <row r="837" spans="1:10" x14ac:dyDescent="0.25">
      <c r="A837" s="1"/>
      <c r="B837" s="20"/>
      <c r="C837" s="1"/>
      <c r="D837" s="1"/>
      <c r="E837" s="1"/>
      <c r="F837" s="1"/>
      <c r="G837" s="1"/>
      <c r="H837" s="1"/>
      <c r="I837" s="1"/>
      <c r="J837" s="1">
        <f>IF($F837="","",IF($H837="","Not rated",IF(OR($H837=Lists!$B$3,$H837=Lists!$B$5),IF(AND(LEFT(SUBSTITUTE($I837," ",""),LEN($F837)+1)=$F837&amp;"-",LEN(SUBSTITUTE($I837," ",""))&gt;LEN($F837)+1),"OK","Comment required"),"OK")))</f>
      </c>
    </row>
    <row r="838" spans="1:10" x14ac:dyDescent="0.25">
      <c r="A838" s="1"/>
      <c r="B838" s="20"/>
      <c r="C838" s="1"/>
      <c r="D838" s="1"/>
      <c r="E838" s="1"/>
      <c r="F838" s="1"/>
      <c r="G838" s="1"/>
      <c r="H838" s="1"/>
      <c r="I838" s="1"/>
      <c r="J838" s="1">
        <f>IF($F838="","",IF($H838="","Not rated",IF(OR($H838=Lists!$B$3,$H838=Lists!$B$5),IF(AND(LEFT(SUBSTITUTE($I838," ",""),LEN($F838)+1)=$F838&amp;"-",LEN(SUBSTITUTE($I838," ",""))&gt;LEN($F838)+1),"OK","Comment required"),"OK")))</f>
      </c>
    </row>
    <row r="839" spans="1:10" x14ac:dyDescent="0.25">
      <c r="A839" s="1"/>
      <c r="B839" s="20"/>
      <c r="C839" s="1"/>
      <c r="D839" s="1"/>
      <c r="E839" s="1"/>
      <c r="F839" s="1"/>
      <c r="G839" s="1"/>
      <c r="H839" s="1"/>
      <c r="I839" s="1"/>
      <c r="J839" s="1">
        <f>IF($F839="","",IF($H839="","Not rated",IF(OR($H839=Lists!$B$3,$H839=Lists!$B$5),IF(AND(LEFT(SUBSTITUTE($I839," ",""),LEN($F839)+1)=$F839&amp;"-",LEN(SUBSTITUTE($I839," ",""))&gt;LEN($F839)+1),"OK","Comment required"),"OK")))</f>
      </c>
    </row>
    <row r="840" spans="1:10" x14ac:dyDescent="0.25">
      <c r="A840" s="1"/>
      <c r="B840" s="20"/>
      <c r="C840" s="1"/>
      <c r="D840" s="1"/>
      <c r="E840" s="1"/>
      <c r="F840" s="1"/>
      <c r="G840" s="1"/>
      <c r="H840" s="1"/>
      <c r="I840" s="1"/>
      <c r="J840" s="1">
        <f>IF($F840="","",IF($H840="","Not rated",IF(OR($H840=Lists!$B$3,$H840=Lists!$B$5),IF(AND(LEFT(SUBSTITUTE($I840," ",""),LEN($F840)+1)=$F840&amp;"-",LEN(SUBSTITUTE($I840," ",""))&gt;LEN($F840)+1),"OK","Comment required"),"OK")))</f>
      </c>
    </row>
    <row r="841" spans="1:10" x14ac:dyDescent="0.25">
      <c r="A841" s="1"/>
      <c r="B841" s="20"/>
      <c r="C841" s="1"/>
      <c r="D841" s="1"/>
      <c r="E841" s="1"/>
      <c r="F841" s="1"/>
      <c r="G841" s="1"/>
      <c r="H841" s="1"/>
      <c r="I841" s="1"/>
      <c r="J841" s="1">
        <f>IF($F841="","",IF($H841="","Not rated",IF(OR($H841=Lists!$B$3,$H841=Lists!$B$5),IF(AND(LEFT(SUBSTITUTE($I841," ",""),LEN($F841)+1)=$F841&amp;"-",LEN(SUBSTITUTE($I841," ",""))&gt;LEN($F841)+1),"OK","Comment required"),"OK")))</f>
      </c>
    </row>
    <row r="842" spans="1:10" x14ac:dyDescent="0.25">
      <c r="A842" s="1"/>
      <c r="B842" s="20"/>
      <c r="C842" s="1"/>
      <c r="D842" s="1"/>
      <c r="E842" s="1"/>
      <c r="F842" s="1"/>
      <c r="G842" s="1"/>
      <c r="H842" s="1"/>
      <c r="I842" s="1"/>
      <c r="J842" s="1">
        <f>IF($F842="","",IF($H842="","Not rated",IF(OR($H842=Lists!$B$3,$H842=Lists!$B$5),IF(AND(LEFT(SUBSTITUTE($I842," ",""),LEN($F842)+1)=$F842&amp;"-",LEN(SUBSTITUTE($I842," ",""))&gt;LEN($F842)+1),"OK","Comment required"),"OK")))</f>
      </c>
    </row>
    <row r="843" spans="1:10" x14ac:dyDescent="0.25">
      <c r="A843" s="1"/>
      <c r="B843" s="20"/>
      <c r="C843" s="1"/>
      <c r="D843" s="1"/>
      <c r="E843" s="1"/>
      <c r="F843" s="1"/>
      <c r="G843" s="1"/>
      <c r="H843" s="1"/>
      <c r="I843" s="1"/>
      <c r="J843" s="1">
        <f>IF($F843="","",IF($H843="","Not rated",IF(OR($H843=Lists!$B$3,$H843=Lists!$B$5),IF(AND(LEFT(SUBSTITUTE($I843," ",""),LEN($F843)+1)=$F843&amp;"-",LEN(SUBSTITUTE($I843," ",""))&gt;LEN($F843)+1),"OK","Comment required"),"OK")))</f>
      </c>
    </row>
    <row r="844" spans="1:10" x14ac:dyDescent="0.25">
      <c r="A844" s="1"/>
      <c r="B844" s="20"/>
      <c r="C844" s="1"/>
      <c r="D844" s="1"/>
      <c r="E844" s="1"/>
      <c r="F844" s="1"/>
      <c r="G844" s="1"/>
      <c r="H844" s="1"/>
      <c r="I844" s="1"/>
      <c r="J844" s="1">
        <f>IF($F844="","",IF($H844="","Not rated",IF(OR($H844=Lists!$B$3,$H844=Lists!$B$5),IF(AND(LEFT(SUBSTITUTE($I844," ",""),LEN($F844)+1)=$F844&amp;"-",LEN(SUBSTITUTE($I844," ",""))&gt;LEN($F844)+1),"OK","Comment required"),"OK")))</f>
      </c>
    </row>
    <row r="845" spans="1:10" x14ac:dyDescent="0.25">
      <c r="A845" s="1"/>
      <c r="B845" s="20"/>
      <c r="C845" s="1"/>
      <c r="D845" s="1"/>
      <c r="E845" s="1"/>
      <c r="F845" s="1"/>
      <c r="G845" s="1"/>
      <c r="H845" s="1"/>
      <c r="I845" s="1"/>
      <c r="J845" s="1">
        <f>IF($F845="","",IF($H845="","Not rated",IF(OR($H845=Lists!$B$3,$H845=Lists!$B$5),IF(AND(LEFT(SUBSTITUTE($I845," ",""),LEN($F845)+1)=$F845&amp;"-",LEN(SUBSTITUTE($I845," ",""))&gt;LEN($F845)+1),"OK","Comment required"),"OK")))</f>
      </c>
    </row>
    <row r="846" spans="1:10" x14ac:dyDescent="0.25">
      <c r="A846" s="1"/>
      <c r="B846" s="20"/>
      <c r="C846" s="1"/>
      <c r="D846" s="1"/>
      <c r="E846" s="1"/>
      <c r="F846" s="1"/>
      <c r="G846" s="1"/>
      <c r="H846" s="1"/>
      <c r="I846" s="1"/>
      <c r="J846" s="1">
        <f>IF($F846="","",IF($H846="","Not rated",IF(OR($H846=Lists!$B$3,$H846=Lists!$B$5),IF(AND(LEFT(SUBSTITUTE($I846," ",""),LEN($F846)+1)=$F846&amp;"-",LEN(SUBSTITUTE($I846," ",""))&gt;LEN($F846)+1),"OK","Comment required"),"OK")))</f>
      </c>
    </row>
    <row r="847" spans="1:10" x14ac:dyDescent="0.25">
      <c r="A847" s="1"/>
      <c r="B847" s="20"/>
      <c r="C847" s="1"/>
      <c r="D847" s="1"/>
      <c r="E847" s="1"/>
      <c r="F847" s="1"/>
      <c r="G847" s="1"/>
      <c r="H847" s="1"/>
      <c r="I847" s="1"/>
      <c r="J847" s="1">
        <f>IF($F847="","",IF($H847="","Not rated",IF(OR($H847=Lists!$B$3,$H847=Lists!$B$5),IF(AND(LEFT(SUBSTITUTE($I847," ",""),LEN($F847)+1)=$F847&amp;"-",LEN(SUBSTITUTE($I847," ",""))&gt;LEN($F847)+1),"OK","Comment required"),"OK")))</f>
      </c>
    </row>
    <row r="848" spans="1:10" x14ac:dyDescent="0.25">
      <c r="A848" s="1"/>
      <c r="B848" s="20"/>
      <c r="C848" s="1"/>
      <c r="D848" s="1"/>
      <c r="E848" s="1"/>
      <c r="F848" s="1"/>
      <c r="G848" s="1"/>
      <c r="H848" s="1"/>
      <c r="I848" s="1"/>
      <c r="J848" s="1">
        <f>IF($F848="","",IF($H848="","Not rated",IF(OR($H848=Lists!$B$3,$H848=Lists!$B$5),IF(AND(LEFT(SUBSTITUTE($I848," ",""),LEN($F848)+1)=$F848&amp;"-",LEN(SUBSTITUTE($I848," ",""))&gt;LEN($F848)+1),"OK","Comment required"),"OK")))</f>
      </c>
    </row>
    <row r="849" spans="1:10" x14ac:dyDescent="0.25">
      <c r="A849" s="1"/>
      <c r="B849" s="20"/>
      <c r="C849" s="1"/>
      <c r="D849" s="1"/>
      <c r="E849" s="1"/>
      <c r="F849" s="1"/>
      <c r="G849" s="1"/>
      <c r="H849" s="1"/>
      <c r="I849" s="1"/>
      <c r="J849" s="1">
        <f>IF($F849="","",IF($H849="","Not rated",IF(OR($H849=Lists!$B$3,$H849=Lists!$B$5),IF(AND(LEFT(SUBSTITUTE($I849," ",""),LEN($F849)+1)=$F849&amp;"-",LEN(SUBSTITUTE($I849," ",""))&gt;LEN($F849)+1),"OK","Comment required"),"OK")))</f>
      </c>
    </row>
    <row r="850" spans="1:10" x14ac:dyDescent="0.25">
      <c r="A850" s="1"/>
      <c r="B850" s="20"/>
      <c r="C850" s="1"/>
      <c r="D850" s="1"/>
      <c r="E850" s="1"/>
      <c r="F850" s="1"/>
      <c r="G850" s="1"/>
      <c r="H850" s="1"/>
      <c r="I850" s="1"/>
      <c r="J850" s="1">
        <f>IF($F850="","",IF($H850="","Not rated",IF(OR($H850=Lists!$B$3,$H850=Lists!$B$5),IF(AND(LEFT(SUBSTITUTE($I850," ",""),LEN($F850)+1)=$F850&amp;"-",LEN(SUBSTITUTE($I850," ",""))&gt;LEN($F850)+1),"OK","Comment required"),"OK")))</f>
      </c>
    </row>
    <row r="851" spans="1:10" x14ac:dyDescent="0.25">
      <c r="A851" s="1"/>
      <c r="B851" s="20"/>
      <c r="C851" s="1"/>
      <c r="D851" s="1"/>
      <c r="E851" s="1"/>
      <c r="F851" s="1"/>
      <c r="G851" s="1"/>
      <c r="H851" s="1"/>
      <c r="I851" s="1"/>
      <c r="J851" s="1">
        <f>IF($F851="","",IF($H851="","Not rated",IF(OR($H851=Lists!$B$3,$H851=Lists!$B$5),IF(AND(LEFT(SUBSTITUTE($I851," ",""),LEN($F851)+1)=$F851&amp;"-",LEN(SUBSTITUTE($I851," ",""))&gt;LEN($F851)+1),"OK","Comment required"),"OK")))</f>
      </c>
    </row>
    <row r="852" spans="1:10" x14ac:dyDescent="0.25">
      <c r="A852" s="1"/>
      <c r="B852" s="20"/>
      <c r="C852" s="1"/>
      <c r="D852" s="1"/>
      <c r="E852" s="1"/>
      <c r="F852" s="1"/>
      <c r="G852" s="1"/>
      <c r="H852" s="1"/>
      <c r="I852" s="1"/>
      <c r="J852" s="1">
        <f>IF($F852="","",IF($H852="","Not rated",IF(OR($H852=Lists!$B$3,$H852=Lists!$B$5),IF(AND(LEFT(SUBSTITUTE($I852," ",""),LEN($F852)+1)=$F852&amp;"-",LEN(SUBSTITUTE($I852," ",""))&gt;LEN($F852)+1),"OK","Comment required"),"OK")))</f>
      </c>
    </row>
    <row r="853" spans="1:10" x14ac:dyDescent="0.25">
      <c r="A853" s="1"/>
      <c r="B853" s="20"/>
      <c r="C853" s="1"/>
      <c r="D853" s="1"/>
      <c r="E853" s="1"/>
      <c r="F853" s="1"/>
      <c r="G853" s="1"/>
      <c r="H853" s="1"/>
      <c r="I853" s="1"/>
      <c r="J853" s="1">
        <f>IF($F853="","",IF($H853="","Not rated",IF(OR($H853=Lists!$B$3,$H853=Lists!$B$5),IF(AND(LEFT(SUBSTITUTE($I853," ",""),LEN($F853)+1)=$F853&amp;"-",LEN(SUBSTITUTE($I853," ",""))&gt;LEN($F853)+1),"OK","Comment required"),"OK")))</f>
      </c>
    </row>
    <row r="854" spans="1:10" x14ac:dyDescent="0.25">
      <c r="A854" s="1"/>
      <c r="B854" s="20"/>
      <c r="C854" s="1"/>
      <c r="D854" s="1"/>
      <c r="E854" s="1"/>
      <c r="F854" s="1"/>
      <c r="G854" s="1"/>
      <c r="H854" s="1"/>
      <c r="I854" s="1"/>
      <c r="J854" s="1">
        <f>IF($F854="","",IF($H854="","Not rated",IF(OR($H854=Lists!$B$3,$H854=Lists!$B$5),IF(AND(LEFT(SUBSTITUTE($I854," ",""),LEN($F854)+1)=$F854&amp;"-",LEN(SUBSTITUTE($I854," ",""))&gt;LEN($F854)+1),"OK","Comment required"),"OK")))</f>
      </c>
    </row>
    <row r="855" spans="1:10" x14ac:dyDescent="0.25">
      <c r="A855" s="1"/>
      <c r="B855" s="20"/>
      <c r="C855" s="1"/>
      <c r="D855" s="1"/>
      <c r="E855" s="1"/>
      <c r="F855" s="1"/>
      <c r="G855" s="1"/>
      <c r="H855" s="1"/>
      <c r="I855" s="1"/>
      <c r="J855" s="1">
        <f>IF($F855="","",IF($H855="","Not rated",IF(OR($H855=Lists!$B$3,$H855=Lists!$B$5),IF(AND(LEFT(SUBSTITUTE($I855," ",""),LEN($F855)+1)=$F855&amp;"-",LEN(SUBSTITUTE($I855," ",""))&gt;LEN($F855)+1),"OK","Comment required"),"OK")))</f>
      </c>
    </row>
    <row r="856" spans="1:10" x14ac:dyDescent="0.25">
      <c r="A856" s="1"/>
      <c r="B856" s="20"/>
      <c r="C856" s="1"/>
      <c r="D856" s="1"/>
      <c r="E856" s="1"/>
      <c r="F856" s="1"/>
      <c r="G856" s="1"/>
      <c r="H856" s="1"/>
      <c r="I856" s="1"/>
      <c r="J856" s="1">
        <f>IF($F856="","",IF($H856="","Not rated",IF(OR($H856=Lists!$B$3,$H856=Lists!$B$5),IF(AND(LEFT(SUBSTITUTE($I856," ",""),LEN($F856)+1)=$F856&amp;"-",LEN(SUBSTITUTE($I856," ",""))&gt;LEN($F856)+1),"OK","Comment required"),"OK")))</f>
      </c>
    </row>
    <row r="857" spans="1:10" x14ac:dyDescent="0.25">
      <c r="A857" s="1"/>
      <c r="B857" s="20"/>
      <c r="C857" s="1"/>
      <c r="D857" s="1"/>
      <c r="E857" s="1"/>
      <c r="F857" s="1"/>
      <c r="G857" s="1"/>
      <c r="H857" s="1"/>
      <c r="I857" s="1"/>
      <c r="J857" s="1">
        <f>IF($F857="","",IF($H857="","Not rated",IF(OR($H857=Lists!$B$3,$H857=Lists!$B$5),IF(AND(LEFT(SUBSTITUTE($I857," ",""),LEN($F857)+1)=$F857&amp;"-",LEN(SUBSTITUTE($I857," ",""))&gt;LEN($F857)+1),"OK","Comment required"),"OK")))</f>
      </c>
    </row>
    <row r="858" spans="1:10" x14ac:dyDescent="0.25">
      <c r="A858" s="1"/>
      <c r="B858" s="20"/>
      <c r="C858" s="1"/>
      <c r="D858" s="1"/>
      <c r="E858" s="1"/>
      <c r="F858" s="1"/>
      <c r="G858" s="1"/>
      <c r="H858" s="1"/>
      <c r="I858" s="1"/>
      <c r="J858" s="1">
        <f>IF($F858="","",IF($H858="","Not rated",IF(OR($H858=Lists!$B$3,$H858=Lists!$B$5),IF(AND(LEFT(SUBSTITUTE($I858," ",""),LEN($F858)+1)=$F858&amp;"-",LEN(SUBSTITUTE($I858," ",""))&gt;LEN($F858)+1),"OK","Comment required"),"OK")))</f>
      </c>
    </row>
    <row r="859" spans="1:10" x14ac:dyDescent="0.25">
      <c r="A859" s="1"/>
      <c r="B859" s="20"/>
      <c r="C859" s="1"/>
      <c r="D859" s="1"/>
      <c r="E859" s="1"/>
      <c r="F859" s="1"/>
      <c r="G859" s="1"/>
      <c r="H859" s="1"/>
      <c r="I859" s="1"/>
      <c r="J859" s="1">
        <f>IF($F859="","",IF($H859="","Not rated",IF(OR($H859=Lists!$B$3,$H859=Lists!$B$5),IF(AND(LEFT(SUBSTITUTE($I859," ",""),LEN($F859)+1)=$F859&amp;"-",LEN(SUBSTITUTE($I859," ",""))&gt;LEN($F859)+1),"OK","Comment required"),"OK")))</f>
      </c>
    </row>
    <row r="860" spans="1:10" x14ac:dyDescent="0.25">
      <c r="A860" s="1"/>
      <c r="B860" s="20"/>
      <c r="C860" s="1"/>
      <c r="D860" s="1"/>
      <c r="E860" s="1"/>
      <c r="F860" s="1"/>
      <c r="G860" s="1"/>
      <c r="H860" s="1"/>
      <c r="I860" s="1"/>
      <c r="J860" s="1">
        <f>IF($F860="","",IF($H860="","Not rated",IF(OR($H860=Lists!$B$3,$H860=Lists!$B$5),IF(AND(LEFT(SUBSTITUTE($I860," ",""),LEN($F860)+1)=$F860&amp;"-",LEN(SUBSTITUTE($I860," ",""))&gt;LEN($F860)+1),"OK","Comment required"),"OK")))</f>
      </c>
    </row>
    <row r="861" spans="1:10" x14ac:dyDescent="0.25">
      <c r="A861" s="1"/>
      <c r="B861" s="20"/>
      <c r="C861" s="1"/>
      <c r="D861" s="1"/>
      <c r="E861" s="1"/>
      <c r="F861" s="1"/>
      <c r="G861" s="1"/>
      <c r="H861" s="1"/>
      <c r="I861" s="1"/>
      <c r="J861" s="1">
        <f>IF($F861="","",IF($H861="","Not rated",IF(OR($H861=Lists!$B$3,$H861=Lists!$B$5),IF(AND(LEFT(SUBSTITUTE($I861," ",""),LEN($F861)+1)=$F861&amp;"-",LEN(SUBSTITUTE($I861," ",""))&gt;LEN($F861)+1),"OK","Comment required"),"OK")))</f>
      </c>
    </row>
    <row r="862" spans="1:10" x14ac:dyDescent="0.25">
      <c r="A862" s="1"/>
      <c r="B862" s="20"/>
      <c r="C862" s="1"/>
      <c r="D862" s="1"/>
      <c r="E862" s="1"/>
      <c r="F862" s="1"/>
      <c r="G862" s="1"/>
      <c r="H862" s="1"/>
      <c r="I862" s="1"/>
      <c r="J862" s="1">
        <f>IF($F862="","",IF($H862="","Not rated",IF(OR($H862=Lists!$B$3,$H862=Lists!$B$5),IF(AND(LEFT(SUBSTITUTE($I862," ",""),LEN($F862)+1)=$F862&amp;"-",LEN(SUBSTITUTE($I862," ",""))&gt;LEN($F862)+1),"OK","Comment required"),"OK")))</f>
      </c>
    </row>
    <row r="863" spans="1:10" x14ac:dyDescent="0.25">
      <c r="A863" s="1"/>
      <c r="B863" s="20"/>
      <c r="C863" s="1"/>
      <c r="D863" s="1"/>
      <c r="E863" s="1"/>
      <c r="F863" s="1"/>
      <c r="G863" s="1"/>
      <c r="H863" s="1"/>
      <c r="I863" s="1"/>
      <c r="J863" s="1">
        <f>IF($F863="","",IF($H863="","Not rated",IF(OR($H863=Lists!$B$3,$H863=Lists!$B$5),IF(AND(LEFT(SUBSTITUTE($I863," ",""),LEN($F863)+1)=$F863&amp;"-",LEN(SUBSTITUTE($I863," ",""))&gt;LEN($F863)+1),"OK","Comment required"),"OK")))</f>
      </c>
    </row>
    <row r="864" spans="1:10" x14ac:dyDescent="0.25">
      <c r="A864" s="1"/>
      <c r="B864" s="20"/>
      <c r="C864" s="1"/>
      <c r="D864" s="1"/>
      <c r="E864" s="1"/>
      <c r="F864" s="1"/>
      <c r="G864" s="1"/>
      <c r="H864" s="1"/>
      <c r="I864" s="1"/>
      <c r="J864" s="1">
        <f>IF($F864="","",IF($H864="","Not rated",IF(OR($H864=Lists!$B$3,$H864=Lists!$B$5),IF(AND(LEFT(SUBSTITUTE($I864," ",""),LEN($F864)+1)=$F864&amp;"-",LEN(SUBSTITUTE($I864," ",""))&gt;LEN($F864)+1),"OK","Comment required"),"OK")))</f>
      </c>
    </row>
    <row r="865" spans="1:10" x14ac:dyDescent="0.25">
      <c r="A865" s="1"/>
      <c r="B865" s="20"/>
      <c r="C865" s="1"/>
      <c r="D865" s="1"/>
      <c r="E865" s="1"/>
      <c r="F865" s="1"/>
      <c r="G865" s="1"/>
      <c r="H865" s="1"/>
      <c r="I865" s="1"/>
      <c r="J865" s="1">
        <f>IF($F865="","",IF($H865="","Not rated",IF(OR($H865=Lists!$B$3,$H865=Lists!$B$5),IF(AND(LEFT(SUBSTITUTE($I865," ",""),LEN($F865)+1)=$F865&amp;"-",LEN(SUBSTITUTE($I865," ",""))&gt;LEN($F865)+1),"OK","Comment required"),"OK")))</f>
      </c>
    </row>
    <row r="866" spans="1:10" x14ac:dyDescent="0.25">
      <c r="A866" s="1"/>
      <c r="B866" s="20"/>
      <c r="C866" s="1"/>
      <c r="D866" s="1"/>
      <c r="E866" s="1"/>
      <c r="F866" s="1"/>
      <c r="G866" s="1"/>
      <c r="H866" s="1"/>
      <c r="I866" s="1"/>
      <c r="J866" s="1">
        <f>IF($F866="","",IF($H866="","Not rated",IF(OR($H866=Lists!$B$3,$H866=Lists!$B$5),IF(AND(LEFT(SUBSTITUTE($I866," ",""),LEN($F866)+1)=$F866&amp;"-",LEN(SUBSTITUTE($I866," ",""))&gt;LEN($F866)+1),"OK","Comment required"),"OK")))</f>
      </c>
    </row>
    <row r="867" spans="1:10" x14ac:dyDescent="0.25">
      <c r="A867" s="1"/>
      <c r="B867" s="20"/>
      <c r="C867" s="1"/>
      <c r="D867" s="1"/>
      <c r="E867" s="1"/>
      <c r="F867" s="1"/>
      <c r="G867" s="1"/>
      <c r="H867" s="1"/>
      <c r="I867" s="1"/>
      <c r="J867" s="1">
        <f>IF($F867="","",IF($H867="","Not rated",IF(OR($H867=Lists!$B$3,$H867=Lists!$B$5),IF(AND(LEFT(SUBSTITUTE($I867," ",""),LEN($F867)+1)=$F867&amp;"-",LEN(SUBSTITUTE($I867," ",""))&gt;LEN($F867)+1),"OK","Comment required"),"OK")))</f>
      </c>
    </row>
    <row r="868" spans="1:10" x14ac:dyDescent="0.25">
      <c r="A868" s="1"/>
      <c r="B868" s="20"/>
      <c r="C868" s="1"/>
      <c r="D868" s="1"/>
      <c r="E868" s="1"/>
      <c r="F868" s="1"/>
      <c r="G868" s="1"/>
      <c r="H868" s="1"/>
      <c r="I868" s="1"/>
      <c r="J868" s="1">
        <f>IF($F868="","",IF($H868="","Not rated",IF(OR($H868=Lists!$B$3,$H868=Lists!$B$5),IF(AND(LEFT(SUBSTITUTE($I868," ",""),LEN($F868)+1)=$F868&amp;"-",LEN(SUBSTITUTE($I868," ",""))&gt;LEN($F868)+1),"OK","Comment required"),"OK")))</f>
      </c>
    </row>
    <row r="869" spans="1:10" x14ac:dyDescent="0.25">
      <c r="A869" s="1"/>
      <c r="B869" s="20"/>
      <c r="C869" s="1"/>
      <c r="D869" s="1"/>
      <c r="E869" s="1"/>
      <c r="F869" s="1"/>
      <c r="G869" s="1"/>
      <c r="H869" s="1"/>
      <c r="I869" s="1"/>
      <c r="J869" s="1">
        <f>IF($F869="","",IF($H869="","Not rated",IF(OR($H869=Lists!$B$3,$H869=Lists!$B$5),IF(AND(LEFT(SUBSTITUTE($I869," ",""),LEN($F869)+1)=$F869&amp;"-",LEN(SUBSTITUTE($I869," ",""))&gt;LEN($F869)+1),"OK","Comment required"),"OK")))</f>
      </c>
    </row>
    <row r="870" spans="1:10" x14ac:dyDescent="0.25">
      <c r="A870" s="1"/>
      <c r="B870" s="20"/>
      <c r="C870" s="1"/>
      <c r="D870" s="1"/>
      <c r="E870" s="1"/>
      <c r="F870" s="1"/>
      <c r="G870" s="1"/>
      <c r="H870" s="1"/>
      <c r="I870" s="1"/>
      <c r="J870" s="1">
        <f>IF($F870="","",IF($H870="","Not rated",IF(OR($H870=Lists!$B$3,$H870=Lists!$B$5),IF(AND(LEFT(SUBSTITUTE($I870," ",""),LEN($F870)+1)=$F870&amp;"-",LEN(SUBSTITUTE($I870," ",""))&gt;LEN($F870)+1),"OK","Comment required"),"OK")))</f>
      </c>
    </row>
    <row r="871" spans="1:10" x14ac:dyDescent="0.25">
      <c r="A871" s="1"/>
      <c r="B871" s="20"/>
      <c r="C871" s="1"/>
      <c r="D871" s="1"/>
      <c r="E871" s="1"/>
      <c r="F871" s="1"/>
      <c r="G871" s="1"/>
      <c r="H871" s="1"/>
      <c r="I871" s="1"/>
      <c r="J871" s="1">
        <f>IF($F871="","",IF($H871="","Not rated",IF(OR($H871=Lists!$B$3,$H871=Lists!$B$5),IF(AND(LEFT(SUBSTITUTE($I871," ",""),LEN($F871)+1)=$F871&amp;"-",LEN(SUBSTITUTE($I871," ",""))&gt;LEN($F871)+1),"OK","Comment required"),"OK")))</f>
      </c>
    </row>
    <row r="872" spans="1:10" x14ac:dyDescent="0.25">
      <c r="A872" s="1"/>
      <c r="B872" s="20"/>
      <c r="C872" s="1"/>
      <c r="D872" s="1"/>
      <c r="E872" s="1"/>
      <c r="F872" s="1"/>
      <c r="G872" s="1"/>
      <c r="H872" s="1"/>
      <c r="I872" s="1"/>
      <c r="J872" s="1">
        <f>IF($F872="","",IF($H872="","Not rated",IF(OR($H872=Lists!$B$3,$H872=Lists!$B$5),IF(AND(LEFT(SUBSTITUTE($I872," ",""),LEN($F872)+1)=$F872&amp;"-",LEN(SUBSTITUTE($I872," ",""))&gt;LEN($F872)+1),"OK","Comment required"),"OK")))</f>
      </c>
    </row>
    <row r="873" spans="1:10" x14ac:dyDescent="0.25">
      <c r="A873" s="1"/>
      <c r="B873" s="20"/>
      <c r="C873" s="1"/>
      <c r="D873" s="1"/>
      <c r="E873" s="1"/>
      <c r="F873" s="1"/>
      <c r="G873" s="1"/>
      <c r="H873" s="1"/>
      <c r="I873" s="1"/>
      <c r="J873" s="1">
        <f>IF($F873="","",IF($H873="","Not rated",IF(OR($H873=Lists!$B$3,$H873=Lists!$B$5),IF(AND(LEFT(SUBSTITUTE($I873," ",""),LEN($F873)+1)=$F873&amp;"-",LEN(SUBSTITUTE($I873," ",""))&gt;LEN($F873)+1),"OK","Comment required"),"OK")))</f>
      </c>
    </row>
    <row r="874" spans="1:10" x14ac:dyDescent="0.25">
      <c r="A874" s="1"/>
      <c r="B874" s="20"/>
      <c r="C874" s="1"/>
      <c r="D874" s="1"/>
      <c r="E874" s="1"/>
      <c r="F874" s="1"/>
      <c r="G874" s="1"/>
      <c r="H874" s="1"/>
      <c r="I874" s="1"/>
      <c r="J874" s="1">
        <f>IF($F874="","",IF($H874="","Not rated",IF(OR($H874=Lists!$B$3,$H874=Lists!$B$5),IF(AND(LEFT(SUBSTITUTE($I874," ",""),LEN($F874)+1)=$F874&amp;"-",LEN(SUBSTITUTE($I874," ",""))&gt;LEN($F874)+1),"OK","Comment required"),"OK")))</f>
      </c>
    </row>
    <row r="875" spans="1:10" x14ac:dyDescent="0.25">
      <c r="A875" s="1"/>
      <c r="B875" s="20"/>
      <c r="C875" s="1"/>
      <c r="D875" s="1"/>
      <c r="E875" s="1"/>
      <c r="F875" s="1"/>
      <c r="G875" s="1"/>
      <c r="H875" s="1"/>
      <c r="I875" s="1"/>
      <c r="J875" s="1">
        <f>IF($F875="","",IF($H875="","Not rated",IF(OR($H875=Lists!$B$3,$H875=Lists!$B$5),IF(AND(LEFT(SUBSTITUTE($I875," ",""),LEN($F875)+1)=$F875&amp;"-",LEN(SUBSTITUTE($I875," ",""))&gt;LEN($F875)+1),"OK","Comment required"),"OK")))</f>
      </c>
    </row>
    <row r="876" spans="1:10" x14ac:dyDescent="0.25">
      <c r="A876" s="1"/>
      <c r="B876" s="20"/>
      <c r="C876" s="1"/>
      <c r="D876" s="1"/>
      <c r="E876" s="1"/>
      <c r="F876" s="1"/>
      <c r="G876" s="1"/>
      <c r="H876" s="1"/>
      <c r="I876" s="1"/>
      <c r="J876" s="1">
        <f>IF($F876="","",IF($H876="","Not rated",IF(OR($H876=Lists!$B$3,$H876=Lists!$B$5),IF(AND(LEFT(SUBSTITUTE($I876," ",""),LEN($F876)+1)=$F876&amp;"-",LEN(SUBSTITUTE($I876," ",""))&gt;LEN($F876)+1),"OK","Comment required"),"OK")))</f>
      </c>
    </row>
    <row r="877" spans="1:10" x14ac:dyDescent="0.25">
      <c r="A877" s="1"/>
      <c r="B877" s="20"/>
      <c r="C877" s="1"/>
      <c r="D877" s="1"/>
      <c r="E877" s="1"/>
      <c r="F877" s="1"/>
      <c r="G877" s="1"/>
      <c r="H877" s="1"/>
      <c r="I877" s="1"/>
      <c r="J877" s="1">
        <f>IF($F877="","",IF($H877="","Not rated",IF(OR($H877=Lists!$B$3,$H877=Lists!$B$5),IF(AND(LEFT(SUBSTITUTE($I877," ",""),LEN($F877)+1)=$F877&amp;"-",LEN(SUBSTITUTE($I877," ",""))&gt;LEN($F877)+1),"OK","Comment required"),"OK")))</f>
      </c>
    </row>
    <row r="878" spans="1:10" x14ac:dyDescent="0.25">
      <c r="A878" s="1"/>
      <c r="B878" s="20"/>
      <c r="C878" s="1"/>
      <c r="D878" s="1"/>
      <c r="E878" s="1"/>
      <c r="F878" s="1"/>
      <c r="G878" s="1"/>
      <c r="H878" s="1"/>
      <c r="I878" s="1"/>
      <c r="J878" s="1">
        <f>IF($F878="","",IF($H878="","Not rated",IF(OR($H878=Lists!$B$3,$H878=Lists!$B$5),IF(AND(LEFT(SUBSTITUTE($I878," ",""),LEN($F878)+1)=$F878&amp;"-",LEN(SUBSTITUTE($I878," ",""))&gt;LEN($F878)+1),"OK","Comment required"),"OK")))</f>
      </c>
    </row>
    <row r="879" spans="1:10" x14ac:dyDescent="0.25">
      <c r="A879" s="1"/>
      <c r="B879" s="20"/>
      <c r="C879" s="1"/>
      <c r="D879" s="1"/>
      <c r="E879" s="1"/>
      <c r="F879" s="1"/>
      <c r="G879" s="1"/>
      <c r="H879" s="1"/>
      <c r="I879" s="1"/>
      <c r="J879" s="1">
        <f>IF($F879="","",IF($H879="","Not rated",IF(OR($H879=Lists!$B$3,$H879=Lists!$B$5),IF(AND(LEFT(SUBSTITUTE($I879," ",""),LEN($F879)+1)=$F879&amp;"-",LEN(SUBSTITUTE($I879," ",""))&gt;LEN($F879)+1),"OK","Comment required"),"OK")))</f>
      </c>
    </row>
    <row r="880" spans="1:10" x14ac:dyDescent="0.25">
      <c r="A880" s="1"/>
      <c r="B880" s="20"/>
      <c r="C880" s="1"/>
      <c r="D880" s="1"/>
      <c r="E880" s="1"/>
      <c r="F880" s="1"/>
      <c r="G880" s="1"/>
      <c r="H880" s="1"/>
      <c r="I880" s="1"/>
      <c r="J880" s="1">
        <f>IF($F880="","",IF($H880="","Not rated",IF(OR($H880=Lists!$B$3,$H880=Lists!$B$5),IF(AND(LEFT(SUBSTITUTE($I880," ",""),LEN($F880)+1)=$F880&amp;"-",LEN(SUBSTITUTE($I880," ",""))&gt;LEN($F880)+1),"OK","Comment required"),"OK")))</f>
      </c>
    </row>
    <row r="881" spans="1:10" x14ac:dyDescent="0.25">
      <c r="A881" s="1"/>
      <c r="B881" s="20"/>
      <c r="C881" s="1"/>
      <c r="D881" s="1"/>
      <c r="E881" s="1"/>
      <c r="F881" s="1"/>
      <c r="G881" s="1"/>
      <c r="H881" s="1"/>
      <c r="I881" s="1"/>
      <c r="J881" s="1">
        <f>IF($F881="","",IF($H881="","Not rated",IF(OR($H881=Lists!$B$3,$H881=Lists!$B$5),IF(AND(LEFT(SUBSTITUTE($I881," ",""),LEN($F881)+1)=$F881&amp;"-",LEN(SUBSTITUTE($I881," ",""))&gt;LEN($F881)+1),"OK","Comment required"),"OK")))</f>
      </c>
    </row>
    <row r="882" spans="1:10" x14ac:dyDescent="0.25">
      <c r="A882" s="1"/>
      <c r="B882" s="20"/>
      <c r="C882" s="1"/>
      <c r="D882" s="1"/>
      <c r="E882" s="1"/>
      <c r="F882" s="1"/>
      <c r="G882" s="1"/>
      <c r="H882" s="1"/>
      <c r="I882" s="1"/>
      <c r="J882" s="1">
        <f>IF($F882="","",IF($H882="","Not rated",IF(OR($H882=Lists!$B$3,$H882=Lists!$B$5),IF(AND(LEFT(SUBSTITUTE($I882," ",""),LEN($F882)+1)=$F882&amp;"-",LEN(SUBSTITUTE($I882," ",""))&gt;LEN($F882)+1),"OK","Comment required"),"OK")))</f>
      </c>
    </row>
    <row r="883" spans="1:10" x14ac:dyDescent="0.25">
      <c r="A883" s="1"/>
      <c r="B883" s="20"/>
      <c r="C883" s="1"/>
      <c r="D883" s="1"/>
      <c r="E883" s="1"/>
      <c r="F883" s="1"/>
      <c r="G883" s="1"/>
      <c r="H883" s="1"/>
      <c r="I883" s="1"/>
      <c r="J883" s="1">
        <f>IF($F883="","",IF($H883="","Not rated",IF(OR($H883=Lists!$B$3,$H883=Lists!$B$5),IF(AND(LEFT(SUBSTITUTE($I883," ",""),LEN($F883)+1)=$F883&amp;"-",LEN(SUBSTITUTE($I883," ",""))&gt;LEN($F883)+1),"OK","Comment required"),"OK")))</f>
      </c>
    </row>
    <row r="884" spans="1:10" x14ac:dyDescent="0.25">
      <c r="A884" s="1"/>
      <c r="B884" s="20"/>
      <c r="C884" s="1"/>
      <c r="D884" s="1"/>
      <c r="E884" s="1"/>
      <c r="F884" s="1"/>
      <c r="G884" s="1"/>
      <c r="H884" s="1"/>
      <c r="I884" s="1"/>
      <c r="J884" s="1">
        <f>IF($F884="","",IF($H884="","Not rated",IF(OR($H884=Lists!$B$3,$H884=Lists!$B$5),IF(AND(LEFT(SUBSTITUTE($I884," ",""),LEN($F884)+1)=$F884&amp;"-",LEN(SUBSTITUTE($I884," ",""))&gt;LEN($F884)+1),"OK","Comment required"),"OK")))</f>
      </c>
    </row>
    <row r="885" spans="1:10" x14ac:dyDescent="0.25">
      <c r="A885" s="1"/>
      <c r="B885" s="20"/>
      <c r="C885" s="1"/>
      <c r="D885" s="1"/>
      <c r="E885" s="1"/>
      <c r="F885" s="1"/>
      <c r="G885" s="1"/>
      <c r="H885" s="1"/>
      <c r="I885" s="1"/>
      <c r="J885" s="1">
        <f>IF($F885="","",IF($H885="","Not rated",IF(OR($H885=Lists!$B$3,$H885=Lists!$B$5),IF(AND(LEFT(SUBSTITUTE($I885," ",""),LEN($F885)+1)=$F885&amp;"-",LEN(SUBSTITUTE($I885," ",""))&gt;LEN($F885)+1),"OK","Comment required"),"OK")))</f>
      </c>
    </row>
    <row r="886" spans="1:10" x14ac:dyDescent="0.25">
      <c r="A886" s="1"/>
      <c r="B886" s="20"/>
      <c r="C886" s="1"/>
      <c r="D886" s="1"/>
      <c r="E886" s="1"/>
      <c r="F886" s="1"/>
      <c r="G886" s="1"/>
      <c r="H886" s="1"/>
      <c r="I886" s="1"/>
      <c r="J886" s="1">
        <f>IF($F886="","",IF($H886="","Not rated",IF(OR($H886=Lists!$B$3,$H886=Lists!$B$5),IF(AND(LEFT(SUBSTITUTE($I886," ",""),LEN($F886)+1)=$F886&amp;"-",LEN(SUBSTITUTE($I886," ",""))&gt;LEN($F886)+1),"OK","Comment required"),"OK")))</f>
      </c>
    </row>
    <row r="887" spans="1:10" x14ac:dyDescent="0.25">
      <c r="A887" s="1"/>
      <c r="B887" s="20"/>
      <c r="C887" s="1"/>
      <c r="D887" s="1"/>
      <c r="E887" s="1"/>
      <c r="F887" s="1"/>
      <c r="G887" s="1"/>
      <c r="H887" s="1"/>
      <c r="I887" s="1"/>
      <c r="J887" s="1">
        <f>IF($F887="","",IF($H887="","Not rated",IF(OR($H887=Lists!$B$3,$H887=Lists!$B$5),IF(AND(LEFT(SUBSTITUTE($I887," ",""),LEN($F887)+1)=$F887&amp;"-",LEN(SUBSTITUTE($I887," ",""))&gt;LEN($F887)+1),"OK","Comment required"),"OK")))</f>
      </c>
    </row>
    <row r="888" spans="1:10" x14ac:dyDescent="0.25">
      <c r="A888" s="1"/>
      <c r="B888" s="20"/>
      <c r="C888" s="1"/>
      <c r="D888" s="1"/>
      <c r="E888" s="1"/>
      <c r="F888" s="1"/>
      <c r="G888" s="1"/>
      <c r="H888" s="1"/>
      <c r="I888" s="1"/>
      <c r="J888" s="1">
        <f>IF($F888="","",IF($H888="","Not rated",IF(OR($H888=Lists!$B$3,$H888=Lists!$B$5),IF(AND(LEFT(SUBSTITUTE($I888," ",""),LEN($F888)+1)=$F888&amp;"-",LEN(SUBSTITUTE($I888," ",""))&gt;LEN($F888)+1),"OK","Comment required"),"OK")))</f>
      </c>
    </row>
    <row r="889" spans="1:10" x14ac:dyDescent="0.25">
      <c r="A889" s="1"/>
      <c r="B889" s="20"/>
      <c r="C889" s="1"/>
      <c r="D889" s="1"/>
      <c r="E889" s="1"/>
      <c r="F889" s="1"/>
      <c r="G889" s="1"/>
      <c r="H889" s="1"/>
      <c r="I889" s="1"/>
      <c r="J889" s="1">
        <f>IF($F889="","",IF($H889="","Not rated",IF(OR($H889=Lists!$B$3,$H889=Lists!$B$5),IF(AND(LEFT(SUBSTITUTE($I889," ",""),LEN($F889)+1)=$F889&amp;"-",LEN(SUBSTITUTE($I889," ",""))&gt;LEN($F889)+1),"OK","Comment required"),"OK")))</f>
      </c>
    </row>
    <row r="890" spans="1:10" x14ac:dyDescent="0.25">
      <c r="A890" s="1"/>
      <c r="B890" s="20"/>
      <c r="C890" s="1"/>
      <c r="D890" s="1"/>
      <c r="E890" s="1"/>
      <c r="F890" s="1"/>
      <c r="G890" s="1"/>
      <c r="H890" s="1"/>
      <c r="I890" s="1"/>
      <c r="J890" s="1">
        <f>IF($F890="","",IF($H890="","Not rated",IF(OR($H890=Lists!$B$3,$H890=Lists!$B$5),IF(AND(LEFT(SUBSTITUTE($I890," ",""),LEN($F890)+1)=$F890&amp;"-",LEN(SUBSTITUTE($I890," ",""))&gt;LEN($F890)+1),"OK","Comment required"),"OK")))</f>
      </c>
    </row>
    <row r="891" spans="1:10" x14ac:dyDescent="0.25">
      <c r="A891" s="1"/>
      <c r="B891" s="20"/>
      <c r="C891" s="1"/>
      <c r="D891" s="1"/>
      <c r="E891" s="1"/>
      <c r="F891" s="1"/>
      <c r="G891" s="1"/>
      <c r="H891" s="1"/>
      <c r="I891" s="1"/>
      <c r="J891" s="1">
        <f>IF($F891="","",IF($H891="","Not rated",IF(OR($H891=Lists!$B$3,$H891=Lists!$B$5),IF(AND(LEFT(SUBSTITUTE($I891," ",""),LEN($F891)+1)=$F891&amp;"-",LEN(SUBSTITUTE($I891," ",""))&gt;LEN($F891)+1),"OK","Comment required"),"OK")))</f>
      </c>
    </row>
    <row r="892" spans="1:10" x14ac:dyDescent="0.25">
      <c r="A892" s="1"/>
      <c r="B892" s="20"/>
      <c r="C892" s="1"/>
      <c r="D892" s="1"/>
      <c r="E892" s="1"/>
      <c r="F892" s="1"/>
      <c r="G892" s="1"/>
      <c r="H892" s="1"/>
      <c r="I892" s="1"/>
      <c r="J892" s="1">
        <f>IF($F892="","",IF($H892="","Not rated",IF(OR($H892=Lists!$B$3,$H892=Lists!$B$5),IF(AND(LEFT(SUBSTITUTE($I892," ",""),LEN($F892)+1)=$F892&amp;"-",LEN(SUBSTITUTE($I892," ",""))&gt;LEN($F892)+1),"OK","Comment required"),"OK")))</f>
      </c>
    </row>
    <row r="893" spans="1:10" x14ac:dyDescent="0.25">
      <c r="A893" s="1"/>
      <c r="B893" s="20"/>
      <c r="C893" s="1"/>
      <c r="D893" s="1"/>
      <c r="E893" s="1"/>
      <c r="F893" s="1"/>
      <c r="G893" s="1"/>
      <c r="H893" s="1"/>
      <c r="I893" s="1"/>
      <c r="J893" s="1">
        <f>IF($F893="","",IF($H893="","Not rated",IF(OR($H893=Lists!$B$3,$H893=Lists!$B$5),IF(AND(LEFT(SUBSTITUTE($I893," ",""),LEN($F893)+1)=$F893&amp;"-",LEN(SUBSTITUTE($I893," ",""))&gt;LEN($F893)+1),"OK","Comment required"),"OK")))</f>
      </c>
    </row>
    <row r="894" spans="1:10" x14ac:dyDescent="0.25">
      <c r="A894" s="1"/>
      <c r="B894" s="20"/>
      <c r="C894" s="1"/>
      <c r="D894" s="1"/>
      <c r="E894" s="1"/>
      <c r="F894" s="1"/>
      <c r="G894" s="1"/>
      <c r="H894" s="1"/>
      <c r="I894" s="1"/>
      <c r="J894" s="1">
        <f>IF($F894="","",IF($H894="","Not rated",IF(OR($H894=Lists!$B$3,$H894=Lists!$B$5),IF(AND(LEFT(SUBSTITUTE($I894," ",""),LEN($F894)+1)=$F894&amp;"-",LEN(SUBSTITUTE($I894," ",""))&gt;LEN($F894)+1),"OK","Comment required"),"OK")))</f>
      </c>
    </row>
    <row r="895" spans="1:10" x14ac:dyDescent="0.25">
      <c r="A895" s="1"/>
      <c r="B895" s="20"/>
      <c r="C895" s="1"/>
      <c r="D895" s="1"/>
      <c r="E895" s="1"/>
      <c r="F895" s="1"/>
      <c r="G895" s="1"/>
      <c r="H895" s="1"/>
      <c r="I895" s="1"/>
      <c r="J895" s="1">
        <f>IF($F895="","",IF($H895="","Not rated",IF(OR($H895=Lists!$B$3,$H895=Lists!$B$5),IF(AND(LEFT(SUBSTITUTE($I895," ",""),LEN($F895)+1)=$F895&amp;"-",LEN(SUBSTITUTE($I895," ",""))&gt;LEN($F895)+1),"OK","Comment required"),"OK")))</f>
      </c>
    </row>
    <row r="896" spans="1:10" x14ac:dyDescent="0.25">
      <c r="A896" s="1"/>
      <c r="B896" s="20"/>
      <c r="C896" s="1"/>
      <c r="D896" s="1"/>
      <c r="E896" s="1"/>
      <c r="F896" s="1"/>
      <c r="G896" s="1"/>
      <c r="H896" s="1"/>
      <c r="I896" s="1"/>
      <c r="J896" s="1">
        <f>IF($F896="","",IF($H896="","Not rated",IF(OR($H896=Lists!$B$3,$H896=Lists!$B$5),IF(AND(LEFT(SUBSTITUTE($I896," ",""),LEN($F896)+1)=$F896&amp;"-",LEN(SUBSTITUTE($I896," ",""))&gt;LEN($F896)+1),"OK","Comment required"),"OK")))</f>
      </c>
    </row>
    <row r="897" spans="1:10" x14ac:dyDescent="0.25">
      <c r="A897" s="1"/>
      <c r="B897" s="20"/>
      <c r="C897" s="1"/>
      <c r="D897" s="1"/>
      <c r="E897" s="1"/>
      <c r="F897" s="1"/>
      <c r="G897" s="1"/>
      <c r="H897" s="1"/>
      <c r="I897" s="1"/>
      <c r="J897" s="1">
        <f>IF($F897="","",IF($H897="","Not rated",IF(OR($H897=Lists!$B$3,$H897=Lists!$B$5),IF(AND(LEFT(SUBSTITUTE($I897," ",""),LEN($F897)+1)=$F897&amp;"-",LEN(SUBSTITUTE($I897," ",""))&gt;LEN($F897)+1),"OK","Comment required"),"OK")))</f>
      </c>
    </row>
    <row r="898" spans="1:10" x14ac:dyDescent="0.25">
      <c r="A898" s="1"/>
      <c r="B898" s="20"/>
      <c r="C898" s="1"/>
      <c r="D898" s="1"/>
      <c r="E898" s="1"/>
      <c r="F898" s="1"/>
      <c r="G898" s="1"/>
      <c r="H898" s="1"/>
      <c r="I898" s="1"/>
      <c r="J898" s="1">
        <f>IF($F898="","",IF($H898="","Not rated",IF(OR($H898=Lists!$B$3,$H898=Lists!$B$5),IF(AND(LEFT(SUBSTITUTE($I898," ",""),LEN($F898)+1)=$F898&amp;"-",LEN(SUBSTITUTE($I898," ",""))&gt;LEN($F898)+1),"OK","Comment required"),"OK")))</f>
      </c>
    </row>
    <row r="899" spans="1:10" x14ac:dyDescent="0.25">
      <c r="A899" s="1"/>
      <c r="B899" s="20"/>
      <c r="C899" s="1"/>
      <c r="D899" s="1"/>
      <c r="E899" s="1"/>
      <c r="F899" s="1"/>
      <c r="G899" s="1"/>
      <c r="H899" s="1"/>
      <c r="I899" s="1"/>
      <c r="J899" s="1">
        <f>IF($F899="","",IF($H899="","Not rated",IF(OR($H899=Lists!$B$3,$H899=Lists!$B$5),IF(AND(LEFT(SUBSTITUTE($I899," ",""),LEN($F899)+1)=$F899&amp;"-",LEN(SUBSTITUTE($I899," ",""))&gt;LEN($F899)+1),"OK","Comment required"),"OK")))</f>
      </c>
    </row>
    <row r="900" spans="1:10" x14ac:dyDescent="0.25">
      <c r="A900" s="1"/>
      <c r="B900" s="20"/>
      <c r="C900" s="1"/>
      <c r="D900" s="1"/>
      <c r="E900" s="1"/>
      <c r="F900" s="1"/>
      <c r="G900" s="1"/>
      <c r="H900" s="1"/>
      <c r="I900" s="1"/>
      <c r="J900" s="1">
        <f>IF($F900="","",IF($H900="","Not rated",IF(OR($H900=Lists!$B$3,$H900=Lists!$B$5),IF(AND(LEFT(SUBSTITUTE($I900," ",""),LEN($F900)+1)=$F900&amp;"-",LEN(SUBSTITUTE($I900," ",""))&gt;LEN($F900)+1),"OK","Comment required"),"OK")))</f>
      </c>
    </row>
    <row r="901" spans="1:10" x14ac:dyDescent="0.25">
      <c r="A901" s="1"/>
      <c r="B901" s="20"/>
      <c r="C901" s="1"/>
      <c r="D901" s="1"/>
      <c r="E901" s="1"/>
      <c r="F901" s="1"/>
      <c r="G901" s="1"/>
      <c r="H901" s="1"/>
      <c r="I901" s="1"/>
      <c r="J901" s="1">
        <f>IF($F901="","",IF($H901="","Not rated",IF(OR($H901=Lists!$B$3,$H901=Lists!$B$5),IF(AND(LEFT(SUBSTITUTE($I901," ",""),LEN($F901)+1)=$F901&amp;"-",LEN(SUBSTITUTE($I901," ",""))&gt;LEN($F901)+1),"OK","Comment required"),"OK")))</f>
      </c>
    </row>
    <row r="902" spans="1:10" x14ac:dyDescent="0.25">
      <c r="A902" s="1"/>
      <c r="B902" s="20"/>
      <c r="C902" s="1"/>
      <c r="D902" s="1"/>
      <c r="E902" s="1"/>
      <c r="F902" s="1"/>
      <c r="G902" s="1"/>
      <c r="H902" s="1"/>
      <c r="I902" s="1"/>
      <c r="J902" s="1">
        <f>IF($F902="","",IF($H902="","Not rated",IF(OR($H902=Lists!$B$3,$H902=Lists!$B$5),IF(AND(LEFT(SUBSTITUTE($I902," ",""),LEN($F902)+1)=$F902&amp;"-",LEN(SUBSTITUTE($I902," ",""))&gt;LEN($F902)+1),"OK","Comment required"),"OK")))</f>
      </c>
    </row>
    <row r="903" spans="1:10" x14ac:dyDescent="0.25">
      <c r="A903" s="1"/>
      <c r="B903" s="20"/>
      <c r="C903" s="1"/>
      <c r="D903" s="1"/>
      <c r="E903" s="1"/>
      <c r="F903" s="1"/>
      <c r="G903" s="1"/>
      <c r="H903" s="1"/>
      <c r="I903" s="1"/>
      <c r="J903" s="1">
        <f>IF($F903="","",IF($H903="","Not rated",IF(OR($H903=Lists!$B$3,$H903=Lists!$B$5),IF(AND(LEFT(SUBSTITUTE($I903," ",""),LEN($F903)+1)=$F903&amp;"-",LEN(SUBSTITUTE($I903," ",""))&gt;LEN($F903)+1),"OK","Comment required"),"OK")))</f>
      </c>
    </row>
    <row r="904" spans="1:10" x14ac:dyDescent="0.25">
      <c r="A904" s="1"/>
      <c r="B904" s="20"/>
      <c r="C904" s="1"/>
      <c r="D904" s="1"/>
      <c r="E904" s="1"/>
      <c r="F904" s="1"/>
      <c r="G904" s="1"/>
      <c r="H904" s="1"/>
      <c r="I904" s="1"/>
      <c r="J904" s="1">
        <f>IF($F904="","",IF($H904="","Not rated",IF(OR($H904=Lists!$B$3,$H904=Lists!$B$5),IF(AND(LEFT(SUBSTITUTE($I904," ",""),LEN($F904)+1)=$F904&amp;"-",LEN(SUBSTITUTE($I904," ",""))&gt;LEN($F904)+1),"OK","Comment required"),"OK")))</f>
      </c>
    </row>
    <row r="905" spans="1:10" x14ac:dyDescent="0.25">
      <c r="A905" s="1"/>
      <c r="B905" s="20"/>
      <c r="C905" s="1"/>
      <c r="D905" s="1"/>
      <c r="E905" s="1"/>
      <c r="F905" s="1"/>
      <c r="G905" s="1"/>
      <c r="H905" s="1"/>
      <c r="I905" s="1"/>
      <c r="J905" s="1">
        <f>IF($F905="","",IF($H905="","Not rated",IF(OR($H905=Lists!$B$3,$H905=Lists!$B$5),IF(AND(LEFT(SUBSTITUTE($I905," ",""),LEN($F905)+1)=$F905&amp;"-",LEN(SUBSTITUTE($I905," ",""))&gt;LEN($F905)+1),"OK","Comment required"),"OK")))</f>
      </c>
    </row>
    <row r="906" spans="1:10" x14ac:dyDescent="0.25">
      <c r="A906" s="1"/>
      <c r="B906" s="20"/>
      <c r="C906" s="1"/>
      <c r="D906" s="1"/>
      <c r="E906" s="1"/>
      <c r="F906" s="1"/>
      <c r="G906" s="1"/>
      <c r="H906" s="1"/>
      <c r="I906" s="1"/>
      <c r="J906" s="1">
        <f>IF($F906="","",IF($H906="","Not rated",IF(OR($H906=Lists!$B$3,$H906=Lists!$B$5),IF(AND(LEFT(SUBSTITUTE($I906," ",""),LEN($F906)+1)=$F906&amp;"-",LEN(SUBSTITUTE($I906," ",""))&gt;LEN($F906)+1),"OK","Comment required"),"OK")))</f>
      </c>
    </row>
    <row r="907" spans="1:10" x14ac:dyDescent="0.25">
      <c r="A907" s="1"/>
      <c r="B907" s="20"/>
      <c r="C907" s="1"/>
      <c r="D907" s="1"/>
      <c r="E907" s="1"/>
      <c r="F907" s="1"/>
      <c r="G907" s="1"/>
      <c r="H907" s="1"/>
      <c r="I907" s="1"/>
      <c r="J907" s="1">
        <f>IF($F907="","",IF($H907="","Not rated",IF(OR($H907=Lists!$B$3,$H907=Lists!$B$5),IF(AND(LEFT(SUBSTITUTE($I907," ",""),LEN($F907)+1)=$F907&amp;"-",LEN(SUBSTITUTE($I907," ",""))&gt;LEN($F907)+1),"OK","Comment required"),"OK")))</f>
      </c>
    </row>
    <row r="908" spans="1:10" x14ac:dyDescent="0.25">
      <c r="A908" s="1"/>
      <c r="B908" s="20"/>
      <c r="C908" s="1"/>
      <c r="D908" s="1"/>
      <c r="E908" s="1"/>
      <c r="F908" s="1"/>
      <c r="G908" s="1"/>
      <c r="H908" s="1"/>
      <c r="I908" s="1"/>
      <c r="J908" s="1">
        <f>IF($F908="","",IF($H908="","Not rated",IF(OR($H908=Lists!$B$3,$H908=Lists!$B$5),IF(AND(LEFT(SUBSTITUTE($I908," ",""),LEN($F908)+1)=$F908&amp;"-",LEN(SUBSTITUTE($I908," ",""))&gt;LEN($F908)+1),"OK","Comment required"),"OK")))</f>
      </c>
    </row>
    <row r="909" spans="1:10" x14ac:dyDescent="0.25">
      <c r="A909" s="1"/>
      <c r="B909" s="20"/>
      <c r="C909" s="1"/>
      <c r="D909" s="1"/>
      <c r="E909" s="1"/>
      <c r="F909" s="1"/>
      <c r="G909" s="1"/>
      <c r="H909" s="1"/>
      <c r="I909" s="1"/>
      <c r="J909" s="1">
        <f>IF($F909="","",IF($H909="","Not rated",IF(OR($H909=Lists!$B$3,$H909=Lists!$B$5),IF(AND(LEFT(SUBSTITUTE($I909," ",""),LEN($F909)+1)=$F909&amp;"-",LEN(SUBSTITUTE($I909," ",""))&gt;LEN($F909)+1),"OK","Comment required"),"OK")))</f>
      </c>
    </row>
    <row r="910" spans="1:10" x14ac:dyDescent="0.25">
      <c r="A910" s="1"/>
      <c r="B910" s="20"/>
      <c r="C910" s="1"/>
      <c r="D910" s="1"/>
      <c r="E910" s="1"/>
      <c r="F910" s="1"/>
      <c r="G910" s="1"/>
      <c r="H910" s="1"/>
      <c r="I910" s="1"/>
      <c r="J910" s="1">
        <f>IF($F910="","",IF($H910="","Not rated",IF(OR($H910=Lists!$B$3,$H910=Lists!$B$5),IF(AND(LEFT(SUBSTITUTE($I910," ",""),LEN($F910)+1)=$F910&amp;"-",LEN(SUBSTITUTE($I910," ",""))&gt;LEN($F910)+1),"OK","Comment required"),"OK")))</f>
      </c>
    </row>
    <row r="911" spans="1:10" x14ac:dyDescent="0.25">
      <c r="A911" s="1"/>
      <c r="B911" s="20"/>
      <c r="C911" s="1"/>
      <c r="D911" s="1"/>
      <c r="E911" s="1"/>
      <c r="F911" s="1"/>
      <c r="G911" s="1"/>
      <c r="H911" s="1"/>
      <c r="I911" s="1"/>
      <c r="J911" s="1">
        <f>IF($F911="","",IF($H911="","Not rated",IF(OR($H911=Lists!$B$3,$H911=Lists!$B$5),IF(AND(LEFT(SUBSTITUTE($I911," ",""),LEN($F911)+1)=$F911&amp;"-",LEN(SUBSTITUTE($I911," ",""))&gt;LEN($F911)+1),"OK","Comment required"),"OK")))</f>
      </c>
    </row>
    <row r="912" spans="1:10" x14ac:dyDescent="0.25">
      <c r="A912" s="1"/>
      <c r="B912" s="20"/>
      <c r="C912" s="1"/>
      <c r="D912" s="1"/>
      <c r="E912" s="1"/>
      <c r="F912" s="1"/>
      <c r="G912" s="1"/>
      <c r="H912" s="1"/>
      <c r="I912" s="1"/>
      <c r="J912" s="1">
        <f>IF($F912="","",IF($H912="","Not rated",IF(OR($H912=Lists!$B$3,$H912=Lists!$B$5),IF(AND(LEFT(SUBSTITUTE($I912," ",""),LEN($F912)+1)=$F912&amp;"-",LEN(SUBSTITUTE($I912," ",""))&gt;LEN($F912)+1),"OK","Comment required"),"OK")))</f>
      </c>
    </row>
    <row r="913" spans="1:10" x14ac:dyDescent="0.25">
      <c r="A913" s="1"/>
      <c r="B913" s="20"/>
      <c r="C913" s="1"/>
      <c r="D913" s="1"/>
      <c r="E913" s="1"/>
      <c r="F913" s="1"/>
      <c r="G913" s="1"/>
      <c r="H913" s="1"/>
      <c r="I913" s="1"/>
      <c r="J913" s="1">
        <f>IF($F913="","",IF($H913="","Not rated",IF(OR($H913=Lists!$B$3,$H913=Lists!$B$5),IF(AND(LEFT(SUBSTITUTE($I913," ",""),LEN($F913)+1)=$F913&amp;"-",LEN(SUBSTITUTE($I913," ",""))&gt;LEN($F913)+1),"OK","Comment required"),"OK")))</f>
      </c>
    </row>
    <row r="914" spans="1:10" x14ac:dyDescent="0.25">
      <c r="A914" s="1"/>
      <c r="B914" s="20"/>
      <c r="C914" s="1"/>
      <c r="D914" s="1"/>
      <c r="E914" s="1"/>
      <c r="F914" s="1"/>
      <c r="G914" s="1"/>
      <c r="H914" s="1"/>
      <c r="I914" s="1"/>
      <c r="J914" s="1">
        <f>IF($F914="","",IF($H914="","Not rated",IF(OR($H914=Lists!$B$3,$H914=Lists!$B$5),IF(AND(LEFT(SUBSTITUTE($I914," ",""),LEN($F914)+1)=$F914&amp;"-",LEN(SUBSTITUTE($I914," ",""))&gt;LEN($F914)+1),"OK","Comment required"),"OK")))</f>
      </c>
    </row>
    <row r="915" spans="1:10" x14ac:dyDescent="0.25">
      <c r="A915" s="1"/>
      <c r="B915" s="20"/>
      <c r="C915" s="1"/>
      <c r="D915" s="1"/>
      <c r="E915" s="1"/>
      <c r="F915" s="1"/>
      <c r="G915" s="1"/>
      <c r="H915" s="1"/>
      <c r="I915" s="1"/>
      <c r="J915" s="1">
        <f>IF($F915="","",IF($H915="","Not rated",IF(OR($H915=Lists!$B$3,$H915=Lists!$B$5),IF(AND(LEFT(SUBSTITUTE($I915," ",""),LEN($F915)+1)=$F915&amp;"-",LEN(SUBSTITUTE($I915," ",""))&gt;LEN($F915)+1),"OK","Comment required"),"OK")))</f>
      </c>
    </row>
    <row r="916" spans="1:10" x14ac:dyDescent="0.25">
      <c r="A916" s="1"/>
      <c r="B916" s="20"/>
      <c r="C916" s="1"/>
      <c r="D916" s="1"/>
      <c r="E916" s="1"/>
      <c r="F916" s="1"/>
      <c r="G916" s="1"/>
      <c r="H916" s="1"/>
      <c r="I916" s="1"/>
      <c r="J916" s="1">
        <f>IF($F916="","",IF($H916="","Not rated",IF(OR($H916=Lists!$B$3,$H916=Lists!$B$5),IF(AND(LEFT(SUBSTITUTE($I916," ",""),LEN($F916)+1)=$F916&amp;"-",LEN(SUBSTITUTE($I916," ",""))&gt;LEN($F916)+1),"OK","Comment required"),"OK")))</f>
      </c>
    </row>
    <row r="917" spans="1:10" x14ac:dyDescent="0.25">
      <c r="A917" s="1"/>
      <c r="B917" s="20"/>
      <c r="C917" s="1"/>
      <c r="D917" s="1"/>
      <c r="E917" s="1"/>
      <c r="F917" s="1"/>
      <c r="G917" s="1"/>
      <c r="H917" s="1"/>
      <c r="I917" s="1"/>
      <c r="J917" s="1">
        <f>IF($F917="","",IF($H917="","Not rated",IF(OR($H917=Lists!$B$3,$H917=Lists!$B$5),IF(AND(LEFT(SUBSTITUTE($I917," ",""),LEN($F917)+1)=$F917&amp;"-",LEN(SUBSTITUTE($I917," ",""))&gt;LEN($F917)+1),"OK","Comment required"),"OK")))</f>
      </c>
    </row>
    <row r="918" spans="1:10" x14ac:dyDescent="0.25">
      <c r="A918" s="1"/>
      <c r="B918" s="20"/>
      <c r="C918" s="1"/>
      <c r="D918" s="1"/>
      <c r="E918" s="1"/>
      <c r="F918" s="1"/>
      <c r="G918" s="1"/>
      <c r="H918" s="1"/>
      <c r="I918" s="1"/>
      <c r="J918" s="1">
        <f>IF($F918="","",IF($H918="","Not rated",IF(OR($H918=Lists!$B$3,$H918=Lists!$B$5),IF(AND(LEFT(SUBSTITUTE($I918," ",""),LEN($F918)+1)=$F918&amp;"-",LEN(SUBSTITUTE($I918," ",""))&gt;LEN($F918)+1),"OK","Comment required"),"OK")))</f>
      </c>
    </row>
    <row r="919" spans="1:10" x14ac:dyDescent="0.25">
      <c r="A919" s="1"/>
      <c r="B919" s="20"/>
      <c r="C919" s="1"/>
      <c r="D919" s="1"/>
      <c r="E919" s="1"/>
      <c r="F919" s="1"/>
      <c r="G919" s="1"/>
      <c r="H919" s="1"/>
      <c r="I919" s="1"/>
      <c r="J919" s="1">
        <f>IF($F919="","",IF($H919="","Not rated",IF(OR($H919=Lists!$B$3,$H919=Lists!$B$5),IF(AND(LEFT(SUBSTITUTE($I919," ",""),LEN($F919)+1)=$F919&amp;"-",LEN(SUBSTITUTE($I919," ",""))&gt;LEN($F919)+1),"OK","Comment required"),"OK")))</f>
      </c>
    </row>
    <row r="920" spans="1:10" x14ac:dyDescent="0.25">
      <c r="A920" s="1"/>
      <c r="B920" s="20"/>
      <c r="C920" s="1"/>
      <c r="D920" s="1"/>
      <c r="E920" s="1"/>
      <c r="F920" s="1"/>
      <c r="G920" s="1"/>
      <c r="H920" s="1"/>
      <c r="I920" s="1"/>
      <c r="J920" s="1">
        <f>IF($F920="","",IF($H920="","Not rated",IF(OR($H920=Lists!$B$3,$H920=Lists!$B$5),IF(AND(LEFT(SUBSTITUTE($I920," ",""),LEN($F920)+1)=$F920&amp;"-",LEN(SUBSTITUTE($I920," ",""))&gt;LEN($F920)+1),"OK","Comment required"),"OK")))</f>
      </c>
    </row>
    <row r="921" spans="1:10" x14ac:dyDescent="0.25">
      <c r="A921" s="1"/>
      <c r="B921" s="20"/>
      <c r="C921" s="1"/>
      <c r="D921" s="1"/>
      <c r="E921" s="1"/>
      <c r="F921" s="1"/>
      <c r="G921" s="1"/>
      <c r="H921" s="1"/>
      <c r="I921" s="1"/>
      <c r="J921" s="1">
        <f>IF($F921="","",IF($H921="","Not rated",IF(OR($H921=Lists!$B$3,$H921=Lists!$B$5),IF(AND(LEFT(SUBSTITUTE($I921," ",""),LEN($F921)+1)=$F921&amp;"-",LEN(SUBSTITUTE($I921," ",""))&gt;LEN($F921)+1),"OK","Comment required"),"OK")))</f>
      </c>
    </row>
    <row r="922" spans="1:10" x14ac:dyDescent="0.25">
      <c r="A922" s="1"/>
      <c r="B922" s="20"/>
      <c r="C922" s="1"/>
      <c r="D922" s="1"/>
      <c r="E922" s="1"/>
      <c r="F922" s="1"/>
      <c r="G922" s="1"/>
      <c r="H922" s="1"/>
      <c r="I922" s="1"/>
      <c r="J922" s="1">
        <f>IF($F922="","",IF($H922="","Not rated",IF(OR($H922=Lists!$B$3,$H922=Lists!$B$5),IF(AND(LEFT(SUBSTITUTE($I922," ",""),LEN($F922)+1)=$F922&amp;"-",LEN(SUBSTITUTE($I922," ",""))&gt;LEN($F922)+1),"OK","Comment required"),"OK")))</f>
      </c>
    </row>
    <row r="923" spans="1:10" x14ac:dyDescent="0.25">
      <c r="A923" s="1"/>
      <c r="B923" s="20"/>
      <c r="C923" s="1"/>
      <c r="D923" s="1"/>
      <c r="E923" s="1"/>
      <c r="F923" s="1"/>
      <c r="G923" s="1"/>
      <c r="H923" s="1"/>
      <c r="I923" s="1"/>
      <c r="J923" s="1">
        <f>IF($F923="","",IF($H923="","Not rated",IF(OR($H923=Lists!$B$3,$H923=Lists!$B$5),IF(AND(LEFT(SUBSTITUTE($I923," ",""),LEN($F923)+1)=$F923&amp;"-",LEN(SUBSTITUTE($I923," ",""))&gt;LEN($F923)+1),"OK","Comment required"),"OK")))</f>
      </c>
    </row>
    <row r="924" spans="1:10" x14ac:dyDescent="0.25">
      <c r="A924" s="1"/>
      <c r="B924" s="20"/>
      <c r="C924" s="1"/>
      <c r="D924" s="1"/>
      <c r="E924" s="1"/>
      <c r="F924" s="1"/>
      <c r="G924" s="1"/>
      <c r="H924" s="1"/>
      <c r="I924" s="1"/>
      <c r="J924" s="1">
        <f>IF($F924="","",IF($H924="","Not rated",IF(OR($H924=Lists!$B$3,$H924=Lists!$B$5),IF(AND(LEFT(SUBSTITUTE($I924," ",""),LEN($F924)+1)=$F924&amp;"-",LEN(SUBSTITUTE($I924," ",""))&gt;LEN($F924)+1),"OK","Comment required"),"OK")))</f>
      </c>
    </row>
    <row r="925" spans="1:10" x14ac:dyDescent="0.25">
      <c r="A925" s="1"/>
      <c r="B925" s="20"/>
      <c r="C925" s="1"/>
      <c r="D925" s="1"/>
      <c r="E925" s="1"/>
      <c r="F925" s="1"/>
      <c r="G925" s="1"/>
      <c r="H925" s="1"/>
      <c r="I925" s="1"/>
      <c r="J925" s="1">
        <f>IF($F925="","",IF($H925="","Not rated",IF(OR($H925=Lists!$B$3,$H925=Lists!$B$5),IF(AND(LEFT(SUBSTITUTE($I925," ",""),LEN($F925)+1)=$F925&amp;"-",LEN(SUBSTITUTE($I925," ",""))&gt;LEN($F925)+1),"OK","Comment required"),"OK")))</f>
      </c>
    </row>
    <row r="926" spans="1:10" x14ac:dyDescent="0.25">
      <c r="A926" s="1"/>
      <c r="B926" s="20"/>
      <c r="C926" s="1"/>
      <c r="D926" s="1"/>
      <c r="E926" s="1"/>
      <c r="F926" s="1"/>
      <c r="G926" s="1"/>
      <c r="H926" s="1"/>
      <c r="I926" s="1"/>
      <c r="J926" s="1">
        <f>IF($F926="","",IF($H926="","Not rated",IF(OR($H926=Lists!$B$3,$H926=Lists!$B$5),IF(AND(LEFT(SUBSTITUTE($I926," ",""),LEN($F926)+1)=$F926&amp;"-",LEN(SUBSTITUTE($I926," ",""))&gt;LEN($F926)+1),"OK","Comment required"),"OK")))</f>
      </c>
    </row>
    <row r="927" spans="1:10" x14ac:dyDescent="0.25">
      <c r="A927" s="1"/>
      <c r="B927" s="20"/>
      <c r="C927" s="1"/>
      <c r="D927" s="1"/>
      <c r="E927" s="1"/>
      <c r="F927" s="1"/>
      <c r="G927" s="1"/>
      <c r="H927" s="1"/>
      <c r="I927" s="1"/>
      <c r="J927" s="1">
        <f>IF($F927="","",IF($H927="","Not rated",IF(OR($H927=Lists!$B$3,$H927=Lists!$B$5),IF(AND(LEFT(SUBSTITUTE($I927," ",""),LEN($F927)+1)=$F927&amp;"-",LEN(SUBSTITUTE($I927," ",""))&gt;LEN($F927)+1),"OK","Comment required"),"OK")))</f>
      </c>
    </row>
    <row r="928" spans="1:10" x14ac:dyDescent="0.25">
      <c r="A928" s="1"/>
      <c r="B928" s="20"/>
      <c r="C928" s="1"/>
      <c r="D928" s="1"/>
      <c r="E928" s="1"/>
      <c r="F928" s="1"/>
      <c r="G928" s="1"/>
      <c r="H928" s="1"/>
      <c r="I928" s="1"/>
      <c r="J928" s="1">
        <f>IF($F928="","",IF($H928="","Not rated",IF(OR($H928=Lists!$B$3,$H928=Lists!$B$5),IF(AND(LEFT(SUBSTITUTE($I928," ",""),LEN($F928)+1)=$F928&amp;"-",LEN(SUBSTITUTE($I928," ",""))&gt;LEN($F928)+1),"OK","Comment required"),"OK")))</f>
      </c>
    </row>
    <row r="929" spans="1:10" x14ac:dyDescent="0.25">
      <c r="A929" s="1"/>
      <c r="B929" s="20"/>
      <c r="C929" s="1"/>
      <c r="D929" s="1"/>
      <c r="E929" s="1"/>
      <c r="F929" s="1"/>
      <c r="G929" s="1"/>
      <c r="H929" s="1"/>
      <c r="I929" s="1"/>
      <c r="J929" s="1">
        <f>IF($F929="","",IF($H929="","Not rated",IF(OR($H929=Lists!$B$3,$H929=Lists!$B$5),IF(AND(LEFT(SUBSTITUTE($I929," ",""),LEN($F929)+1)=$F929&amp;"-",LEN(SUBSTITUTE($I929," ",""))&gt;LEN($F929)+1),"OK","Comment required"),"OK")))</f>
      </c>
    </row>
    <row r="930" spans="1:10" x14ac:dyDescent="0.25">
      <c r="A930" s="1"/>
      <c r="B930" s="20"/>
      <c r="C930" s="1"/>
      <c r="D930" s="1"/>
      <c r="E930" s="1"/>
      <c r="F930" s="1"/>
      <c r="G930" s="1"/>
      <c r="H930" s="1"/>
      <c r="I930" s="1"/>
      <c r="J930" s="1">
        <f>IF($F930="","",IF($H930="","Not rated",IF(OR($H930=Lists!$B$3,$H930=Lists!$B$5),IF(AND(LEFT(SUBSTITUTE($I930," ",""),LEN($F930)+1)=$F930&amp;"-",LEN(SUBSTITUTE($I930," ",""))&gt;LEN($F930)+1),"OK","Comment required"),"OK")))</f>
      </c>
    </row>
    <row r="931" spans="1:10" x14ac:dyDescent="0.25">
      <c r="A931" s="1"/>
      <c r="B931" s="20"/>
      <c r="C931" s="1"/>
      <c r="D931" s="1"/>
      <c r="E931" s="1"/>
      <c r="F931" s="1"/>
      <c r="G931" s="1"/>
      <c r="H931" s="1"/>
      <c r="I931" s="1"/>
      <c r="J931" s="1">
        <f>IF($F931="","",IF($H931="","Not rated",IF(OR($H931=Lists!$B$3,$H931=Lists!$B$5),IF(AND(LEFT(SUBSTITUTE($I931," ",""),LEN($F931)+1)=$F931&amp;"-",LEN(SUBSTITUTE($I931," ",""))&gt;LEN($F931)+1),"OK","Comment required"),"OK")))</f>
      </c>
    </row>
    <row r="932" spans="1:10" x14ac:dyDescent="0.25">
      <c r="A932" s="1"/>
      <c r="B932" s="20"/>
      <c r="C932" s="1"/>
      <c r="D932" s="1"/>
      <c r="E932" s="1"/>
      <c r="F932" s="1"/>
      <c r="G932" s="1"/>
      <c r="H932" s="1"/>
      <c r="I932" s="1"/>
      <c r="J932" s="1">
        <f>IF($F932="","",IF($H932="","Not rated",IF(OR($H932=Lists!$B$3,$H932=Lists!$B$5),IF(AND(LEFT(SUBSTITUTE($I932," ",""),LEN($F932)+1)=$F932&amp;"-",LEN(SUBSTITUTE($I932," ",""))&gt;LEN($F932)+1),"OK","Comment required"),"OK")))</f>
      </c>
    </row>
    <row r="933" spans="1:10" x14ac:dyDescent="0.25">
      <c r="A933" s="1"/>
      <c r="B933" s="20"/>
      <c r="C933" s="1"/>
      <c r="D933" s="1"/>
      <c r="E933" s="1"/>
      <c r="F933" s="1"/>
      <c r="G933" s="1"/>
      <c r="H933" s="1"/>
      <c r="I933" s="1"/>
      <c r="J933" s="1">
        <f>IF($F933="","",IF($H933="","Not rated",IF(OR($H933=Lists!$B$3,$H933=Lists!$B$5),IF(AND(LEFT(SUBSTITUTE($I933," ",""),LEN($F933)+1)=$F933&amp;"-",LEN(SUBSTITUTE($I933," ",""))&gt;LEN($F933)+1),"OK","Comment required"),"OK")))</f>
      </c>
    </row>
    <row r="934" spans="1:10" x14ac:dyDescent="0.25">
      <c r="A934" s="1"/>
      <c r="B934" s="20"/>
      <c r="C934" s="1"/>
      <c r="D934" s="1"/>
      <c r="E934" s="1"/>
      <c r="F934" s="1"/>
      <c r="G934" s="1"/>
      <c r="H934" s="1"/>
      <c r="I934" s="1"/>
      <c r="J934" s="1">
        <f>IF($F934="","",IF($H934="","Not rated",IF(OR($H934=Lists!$B$3,$H934=Lists!$B$5),IF(AND(LEFT(SUBSTITUTE($I934," ",""),LEN($F934)+1)=$F934&amp;"-",LEN(SUBSTITUTE($I934," ",""))&gt;LEN($F934)+1),"OK","Comment required"),"OK")))</f>
      </c>
    </row>
    <row r="935" spans="1:10" x14ac:dyDescent="0.25">
      <c r="A935" s="1"/>
      <c r="B935" s="20"/>
      <c r="C935" s="1"/>
      <c r="D935" s="1"/>
      <c r="E935" s="1"/>
      <c r="F935" s="1"/>
      <c r="G935" s="1"/>
      <c r="H935" s="1"/>
      <c r="I935" s="1"/>
      <c r="J935" s="1">
        <f>IF($F935="","",IF($H935="","Not rated",IF(OR($H935=Lists!$B$3,$H935=Lists!$B$5),IF(AND(LEFT(SUBSTITUTE($I935," ",""),LEN($F935)+1)=$F935&amp;"-",LEN(SUBSTITUTE($I935," ",""))&gt;LEN($F935)+1),"OK","Comment required"),"OK")))</f>
      </c>
    </row>
    <row r="936" spans="1:10" x14ac:dyDescent="0.25">
      <c r="A936" s="1"/>
      <c r="B936" s="20"/>
      <c r="C936" s="1"/>
      <c r="D936" s="1"/>
      <c r="E936" s="1"/>
      <c r="F936" s="1"/>
      <c r="G936" s="1"/>
      <c r="H936" s="1"/>
      <c r="I936" s="1"/>
      <c r="J936" s="1">
        <f>IF($F936="","",IF($H936="","Not rated",IF(OR($H936=Lists!$B$3,$H936=Lists!$B$5),IF(AND(LEFT(SUBSTITUTE($I936," ",""),LEN($F936)+1)=$F936&amp;"-",LEN(SUBSTITUTE($I936," ",""))&gt;LEN($F936)+1),"OK","Comment required"),"OK")))</f>
      </c>
    </row>
    <row r="937" spans="1:10" x14ac:dyDescent="0.25">
      <c r="A937" s="1"/>
      <c r="B937" s="20"/>
      <c r="C937" s="1"/>
      <c r="D937" s="1"/>
      <c r="E937" s="1"/>
      <c r="F937" s="1"/>
      <c r="G937" s="1"/>
      <c r="H937" s="1"/>
      <c r="I937" s="1"/>
      <c r="J937" s="1">
        <f>IF($F937="","",IF($H937="","Not rated",IF(OR($H937=Lists!$B$3,$H937=Lists!$B$5),IF(AND(LEFT(SUBSTITUTE($I937," ",""),LEN($F937)+1)=$F937&amp;"-",LEN(SUBSTITUTE($I937," ",""))&gt;LEN($F937)+1),"OK","Comment required"),"OK")))</f>
      </c>
    </row>
    <row r="938" spans="1:10" x14ac:dyDescent="0.25">
      <c r="A938" s="1"/>
      <c r="B938" s="20"/>
      <c r="C938" s="1"/>
      <c r="D938" s="1"/>
      <c r="E938" s="1"/>
      <c r="F938" s="1"/>
      <c r="G938" s="1"/>
      <c r="H938" s="1"/>
      <c r="I938" s="1"/>
      <c r="J938" s="1">
        <f>IF($F938="","",IF($H938="","Not rated",IF(OR($H938=Lists!$B$3,$H938=Lists!$B$5),IF(AND(LEFT(SUBSTITUTE($I938," ",""),LEN($F938)+1)=$F938&amp;"-",LEN(SUBSTITUTE($I938," ",""))&gt;LEN($F938)+1),"OK","Comment required"),"OK")))</f>
      </c>
    </row>
    <row r="939" spans="1:10" x14ac:dyDescent="0.25">
      <c r="A939" s="1"/>
      <c r="B939" s="20"/>
      <c r="C939" s="1"/>
      <c r="D939" s="1"/>
      <c r="E939" s="1"/>
      <c r="F939" s="1"/>
      <c r="G939" s="1"/>
      <c r="H939" s="1"/>
      <c r="I939" s="1"/>
      <c r="J939" s="1">
        <f>IF($F939="","",IF($H939="","Not rated",IF(OR($H939=Lists!$B$3,$H939=Lists!$B$5),IF(AND(LEFT(SUBSTITUTE($I939," ",""),LEN($F939)+1)=$F939&amp;"-",LEN(SUBSTITUTE($I939," ",""))&gt;LEN($F939)+1),"OK","Comment required"),"OK")))</f>
      </c>
    </row>
    <row r="940" spans="1:10" x14ac:dyDescent="0.25">
      <c r="A940" s="1"/>
      <c r="B940" s="20"/>
      <c r="C940" s="1"/>
      <c r="D940" s="1"/>
      <c r="E940" s="1"/>
      <c r="F940" s="1"/>
      <c r="G940" s="1"/>
      <c r="H940" s="1"/>
      <c r="I940" s="1"/>
      <c r="J940" s="1">
        <f>IF($F940="","",IF($H940="","Not rated",IF(OR($H940=Lists!$B$3,$H940=Lists!$B$5),IF(AND(LEFT(SUBSTITUTE($I940," ",""),LEN($F940)+1)=$F940&amp;"-",LEN(SUBSTITUTE($I940," ",""))&gt;LEN($F940)+1),"OK","Comment required"),"OK")))</f>
      </c>
    </row>
    <row r="941" spans="1:10" x14ac:dyDescent="0.25">
      <c r="A941" s="1"/>
      <c r="B941" s="20"/>
      <c r="C941" s="1"/>
      <c r="D941" s="1"/>
      <c r="E941" s="1"/>
      <c r="F941" s="1"/>
      <c r="G941" s="1"/>
      <c r="H941" s="1"/>
      <c r="I941" s="1"/>
      <c r="J941" s="1">
        <f>IF($F941="","",IF($H941="","Not rated",IF(OR($H941=Lists!$B$3,$H941=Lists!$B$5),IF(AND(LEFT(SUBSTITUTE($I941," ",""),LEN($F941)+1)=$F941&amp;"-",LEN(SUBSTITUTE($I941," ",""))&gt;LEN($F941)+1),"OK","Comment required"),"OK")))</f>
      </c>
    </row>
    <row r="942" spans="1:10" x14ac:dyDescent="0.25">
      <c r="A942" s="1"/>
      <c r="B942" s="20"/>
      <c r="C942" s="1"/>
      <c r="D942" s="1"/>
      <c r="E942" s="1"/>
      <c r="F942" s="1"/>
      <c r="G942" s="1"/>
      <c r="H942" s="1"/>
      <c r="I942" s="1"/>
      <c r="J942" s="1">
        <f>IF($F942="","",IF($H942="","Not rated",IF(OR($H942=Lists!$B$3,$H942=Lists!$B$5),IF(AND(LEFT(SUBSTITUTE($I942," ",""),LEN($F942)+1)=$F942&amp;"-",LEN(SUBSTITUTE($I942," ",""))&gt;LEN($F942)+1),"OK","Comment required"),"OK")))</f>
      </c>
    </row>
    <row r="943" spans="1:10" x14ac:dyDescent="0.25">
      <c r="A943" s="1"/>
      <c r="B943" s="20"/>
      <c r="C943" s="1"/>
      <c r="D943" s="1"/>
      <c r="E943" s="1"/>
      <c r="F943" s="1"/>
      <c r="G943" s="1"/>
      <c r="H943" s="1"/>
      <c r="I943" s="1"/>
      <c r="J943" s="1">
        <f>IF($F943="","",IF($H943="","Not rated",IF(OR($H943=Lists!$B$3,$H943=Lists!$B$5),IF(AND(LEFT(SUBSTITUTE($I943," ",""),LEN($F943)+1)=$F943&amp;"-",LEN(SUBSTITUTE($I943," ",""))&gt;LEN($F943)+1),"OK","Comment required"),"OK")))</f>
      </c>
    </row>
    <row r="944" spans="1:10" x14ac:dyDescent="0.25">
      <c r="A944" s="1"/>
      <c r="B944" s="20"/>
      <c r="C944" s="1"/>
      <c r="D944" s="1"/>
      <c r="E944" s="1"/>
      <c r="F944" s="1"/>
      <c r="G944" s="1"/>
      <c r="H944" s="1"/>
      <c r="I944" s="1"/>
      <c r="J944" s="1">
        <f>IF($F944="","",IF($H944="","Not rated",IF(OR($H944=Lists!$B$3,$H944=Lists!$B$5),IF(AND(LEFT(SUBSTITUTE($I944," ",""),LEN($F944)+1)=$F944&amp;"-",LEN(SUBSTITUTE($I944," ",""))&gt;LEN($F944)+1),"OK","Comment required"),"OK")))</f>
      </c>
    </row>
    <row r="945" spans="1:10" x14ac:dyDescent="0.25">
      <c r="A945" s="1"/>
      <c r="B945" s="20"/>
      <c r="C945" s="1"/>
      <c r="D945" s="1"/>
      <c r="E945" s="1"/>
      <c r="F945" s="1"/>
      <c r="G945" s="1"/>
      <c r="H945" s="1"/>
      <c r="I945" s="1"/>
      <c r="J945" s="1">
        <f>IF($F945="","",IF($H945="","Not rated",IF(OR($H945=Lists!$B$3,$H945=Lists!$B$5),IF(AND(LEFT(SUBSTITUTE($I945," ",""),LEN($F945)+1)=$F945&amp;"-",LEN(SUBSTITUTE($I945," ",""))&gt;LEN($F945)+1),"OK","Comment required"),"OK")))</f>
      </c>
    </row>
    <row r="946" spans="1:10" x14ac:dyDescent="0.25">
      <c r="A946" s="1"/>
      <c r="B946" s="20"/>
      <c r="C946" s="1"/>
      <c r="D946" s="1"/>
      <c r="E946" s="1"/>
      <c r="F946" s="1"/>
      <c r="G946" s="1"/>
      <c r="H946" s="1"/>
      <c r="I946" s="1"/>
      <c r="J946" s="1">
        <f>IF($F946="","",IF($H946="","Not rated",IF(OR($H946=Lists!$B$3,$H946=Lists!$B$5),IF(AND(LEFT(SUBSTITUTE($I946," ",""),LEN($F946)+1)=$F946&amp;"-",LEN(SUBSTITUTE($I946," ",""))&gt;LEN($F946)+1),"OK","Comment required"),"OK")))</f>
      </c>
    </row>
    <row r="947" spans="1:10" x14ac:dyDescent="0.25">
      <c r="A947" s="1"/>
      <c r="B947" s="20"/>
      <c r="C947" s="1"/>
      <c r="D947" s="1"/>
      <c r="E947" s="1"/>
      <c r="F947" s="1"/>
      <c r="G947" s="1"/>
      <c r="H947" s="1"/>
      <c r="I947" s="1"/>
      <c r="J947" s="1">
        <f>IF($F947="","",IF($H947="","Not rated",IF(OR($H947=Lists!$B$3,$H947=Lists!$B$5),IF(AND(LEFT(SUBSTITUTE($I947," ",""),LEN($F947)+1)=$F947&amp;"-",LEN(SUBSTITUTE($I947," ",""))&gt;LEN($F947)+1),"OK","Comment required"),"OK")))</f>
      </c>
    </row>
    <row r="948" spans="1:10" x14ac:dyDescent="0.25">
      <c r="A948" s="1"/>
      <c r="B948" s="20"/>
      <c r="C948" s="1"/>
      <c r="D948" s="1"/>
      <c r="E948" s="1"/>
      <c r="F948" s="1"/>
      <c r="G948" s="1"/>
      <c r="H948" s="1"/>
      <c r="I948" s="1"/>
      <c r="J948" s="1">
        <f>IF($F948="","",IF($H948="","Not rated",IF(OR($H948=Lists!$B$3,$H948=Lists!$B$5),IF(AND(LEFT(SUBSTITUTE($I948," ",""),LEN($F948)+1)=$F948&amp;"-",LEN(SUBSTITUTE($I948," ",""))&gt;LEN($F948)+1),"OK","Comment required"),"OK")))</f>
      </c>
    </row>
    <row r="949" spans="1:10" x14ac:dyDescent="0.25">
      <c r="A949" s="1"/>
      <c r="B949" s="20"/>
      <c r="C949" s="1"/>
      <c r="D949" s="1"/>
      <c r="E949" s="1"/>
      <c r="F949" s="1"/>
      <c r="G949" s="1"/>
      <c r="H949" s="1"/>
      <c r="I949" s="1"/>
      <c r="J949" s="1">
        <f>IF($F949="","",IF($H949="","Not rated",IF(OR($H949=Lists!$B$3,$H949=Lists!$B$5),IF(AND(LEFT(SUBSTITUTE($I949," ",""),LEN($F949)+1)=$F949&amp;"-",LEN(SUBSTITUTE($I949," ",""))&gt;LEN($F949)+1),"OK","Comment required"),"OK")))</f>
      </c>
    </row>
    <row r="950" spans="1:10" x14ac:dyDescent="0.25">
      <c r="A950" s="1"/>
      <c r="B950" s="20"/>
      <c r="C950" s="1"/>
      <c r="D950" s="1"/>
      <c r="E950" s="1"/>
      <c r="F950" s="1"/>
      <c r="G950" s="1"/>
      <c r="H950" s="1"/>
      <c r="I950" s="1"/>
      <c r="J950" s="1">
        <f>IF($F950="","",IF($H950="","Not rated",IF(OR($H950=Lists!$B$3,$H950=Lists!$B$5),IF(AND(LEFT(SUBSTITUTE($I950," ",""),LEN($F950)+1)=$F950&amp;"-",LEN(SUBSTITUTE($I950," ",""))&gt;LEN($F950)+1),"OK","Comment required"),"OK")))</f>
      </c>
    </row>
    <row r="951" spans="1:10" x14ac:dyDescent="0.25">
      <c r="A951" s="1"/>
      <c r="B951" s="20"/>
      <c r="C951" s="1"/>
      <c r="D951" s="1"/>
      <c r="E951" s="1"/>
      <c r="F951" s="1"/>
      <c r="G951" s="1"/>
      <c r="H951" s="1"/>
      <c r="I951" s="1"/>
      <c r="J951" s="1">
        <f>IF($F951="","",IF($H951="","Not rated",IF(OR($H951=Lists!$B$3,$H951=Lists!$B$5),IF(AND(LEFT(SUBSTITUTE($I951," ",""),LEN($F951)+1)=$F951&amp;"-",LEN(SUBSTITUTE($I951," ",""))&gt;LEN($F951)+1),"OK","Comment required"),"OK")))</f>
      </c>
    </row>
    <row r="952" spans="1:10" x14ac:dyDescent="0.25">
      <c r="A952" s="1"/>
      <c r="B952" s="20"/>
      <c r="C952" s="1"/>
      <c r="D952" s="1"/>
      <c r="E952" s="1"/>
      <c r="F952" s="1"/>
      <c r="G952" s="1"/>
      <c r="H952" s="1"/>
      <c r="I952" s="1"/>
      <c r="J952" s="1">
        <f>IF($F952="","",IF($H952="","Not rated",IF(OR($H952=Lists!$B$3,$H952=Lists!$B$5),IF(AND(LEFT(SUBSTITUTE($I952," ",""),LEN($F952)+1)=$F952&amp;"-",LEN(SUBSTITUTE($I952," ",""))&gt;LEN($F952)+1),"OK","Comment required"),"OK")))</f>
      </c>
    </row>
    <row r="953" spans="1:10" x14ac:dyDescent="0.25">
      <c r="A953" s="1"/>
      <c r="B953" s="20"/>
      <c r="C953" s="1"/>
      <c r="D953" s="1"/>
      <c r="E953" s="1"/>
      <c r="F953" s="1"/>
      <c r="G953" s="1"/>
      <c r="H953" s="1"/>
      <c r="I953" s="1"/>
      <c r="J953" s="1">
        <f>IF($F953="","",IF($H953="","Not rated",IF(OR($H953=Lists!$B$3,$H953=Lists!$B$5),IF(AND(LEFT(SUBSTITUTE($I953," ",""),LEN($F953)+1)=$F953&amp;"-",LEN(SUBSTITUTE($I953," ",""))&gt;LEN($F953)+1),"OK","Comment required"),"OK")))</f>
      </c>
    </row>
    <row r="954" spans="1:10" x14ac:dyDescent="0.25">
      <c r="A954" s="1"/>
      <c r="B954" s="20"/>
      <c r="C954" s="1"/>
      <c r="D954" s="1"/>
      <c r="E954" s="1"/>
      <c r="F954" s="1"/>
      <c r="G954" s="1"/>
      <c r="H954" s="1"/>
      <c r="I954" s="1"/>
      <c r="J954" s="1">
        <f>IF($F954="","",IF($H954="","Not rated",IF(OR($H954=Lists!$B$3,$H954=Lists!$B$5),IF(AND(LEFT(SUBSTITUTE($I954," ",""),LEN($F954)+1)=$F954&amp;"-",LEN(SUBSTITUTE($I954," ",""))&gt;LEN($F954)+1),"OK","Comment required"),"OK")))</f>
      </c>
    </row>
    <row r="955" spans="1:10" x14ac:dyDescent="0.25">
      <c r="A955" s="1"/>
      <c r="B955" s="20"/>
      <c r="C955" s="1"/>
      <c r="D955" s="1"/>
      <c r="E955" s="1"/>
      <c r="F955" s="1"/>
      <c r="G955" s="1"/>
      <c r="H955" s="1"/>
      <c r="I955" s="1"/>
      <c r="J955" s="1">
        <f>IF($F955="","",IF($H955="","Not rated",IF(OR($H955=Lists!$B$3,$H955=Lists!$B$5),IF(AND(LEFT(SUBSTITUTE($I955," ",""),LEN($F955)+1)=$F955&amp;"-",LEN(SUBSTITUTE($I955," ",""))&gt;LEN($F955)+1),"OK","Comment required"),"OK")))</f>
      </c>
    </row>
    <row r="956" spans="1:10" x14ac:dyDescent="0.25">
      <c r="A956" s="1"/>
      <c r="B956" s="20"/>
      <c r="C956" s="1"/>
      <c r="D956" s="1"/>
      <c r="E956" s="1"/>
      <c r="F956" s="1"/>
      <c r="G956" s="1"/>
      <c r="H956" s="1"/>
      <c r="I956" s="1"/>
      <c r="J956" s="1">
        <f>IF($F956="","",IF($H956="","Not rated",IF(OR($H956=Lists!$B$3,$H956=Lists!$B$5),IF(AND(LEFT(SUBSTITUTE($I956," ",""),LEN($F956)+1)=$F956&amp;"-",LEN(SUBSTITUTE($I956," ",""))&gt;LEN($F956)+1),"OK","Comment required"),"OK")))</f>
      </c>
    </row>
    <row r="957" spans="1:10" x14ac:dyDescent="0.25">
      <c r="A957" s="1"/>
      <c r="B957" s="20"/>
      <c r="C957" s="1"/>
      <c r="D957" s="1"/>
      <c r="E957" s="1"/>
      <c r="F957" s="1"/>
      <c r="G957" s="1"/>
      <c r="H957" s="1"/>
      <c r="I957" s="1"/>
      <c r="J957" s="1">
        <f>IF($F957="","",IF($H957="","Not rated",IF(OR($H957=Lists!$B$3,$H957=Lists!$B$5),IF(AND(LEFT(SUBSTITUTE($I957," ",""),LEN($F957)+1)=$F957&amp;"-",LEN(SUBSTITUTE($I957," ",""))&gt;LEN($F957)+1),"OK","Comment required"),"OK")))</f>
      </c>
    </row>
    <row r="958" spans="1:10" x14ac:dyDescent="0.25">
      <c r="A958" s="1"/>
      <c r="B958" s="20"/>
      <c r="C958" s="1"/>
      <c r="D958" s="1"/>
      <c r="E958" s="1"/>
      <c r="F958" s="1"/>
      <c r="G958" s="1"/>
      <c r="H958" s="1"/>
      <c r="I958" s="1"/>
      <c r="J958" s="1">
        <f>IF($F958="","",IF($H958="","Not rated",IF(OR($H958=Lists!$B$3,$H958=Lists!$B$5),IF(AND(LEFT(SUBSTITUTE($I958," ",""),LEN($F958)+1)=$F958&amp;"-",LEN(SUBSTITUTE($I958," ",""))&gt;LEN($F958)+1),"OK","Comment required"),"OK")))</f>
      </c>
    </row>
    <row r="959" spans="1:10" x14ac:dyDescent="0.25">
      <c r="A959" s="1"/>
      <c r="B959" s="20"/>
      <c r="C959" s="1"/>
      <c r="D959" s="1"/>
      <c r="E959" s="1"/>
      <c r="F959" s="1"/>
      <c r="G959" s="1"/>
      <c r="H959" s="1"/>
      <c r="I959" s="1"/>
      <c r="J959" s="1">
        <f>IF($F959="","",IF($H959="","Not rated",IF(OR($H959=Lists!$B$3,$H959=Lists!$B$5),IF(AND(LEFT(SUBSTITUTE($I959," ",""),LEN($F959)+1)=$F959&amp;"-",LEN(SUBSTITUTE($I959," ",""))&gt;LEN($F959)+1),"OK","Comment required"),"OK")))</f>
      </c>
    </row>
    <row r="960" spans="1:10" x14ac:dyDescent="0.25">
      <c r="A960" s="1"/>
      <c r="B960" s="20"/>
      <c r="C960" s="1"/>
      <c r="D960" s="1"/>
      <c r="E960" s="1"/>
      <c r="F960" s="1"/>
      <c r="G960" s="1"/>
      <c r="H960" s="1"/>
      <c r="I960" s="1"/>
      <c r="J960" s="1">
        <f>IF($F960="","",IF($H960="","Not rated",IF(OR($H960=Lists!$B$3,$H960=Lists!$B$5),IF(AND(LEFT(SUBSTITUTE($I960," ",""),LEN($F960)+1)=$F960&amp;"-",LEN(SUBSTITUTE($I960," ",""))&gt;LEN($F960)+1),"OK","Comment required"),"OK")))</f>
      </c>
    </row>
    <row r="961" spans="1:10" x14ac:dyDescent="0.25">
      <c r="A961" s="1"/>
      <c r="B961" s="20"/>
      <c r="C961" s="1"/>
      <c r="D961" s="1"/>
      <c r="E961" s="1"/>
      <c r="F961" s="1"/>
      <c r="G961" s="1"/>
      <c r="H961" s="1"/>
      <c r="I961" s="1"/>
      <c r="J961" s="1">
        <f>IF($F961="","",IF($H961="","Not rated",IF(OR($H961=Lists!$B$3,$H961=Lists!$B$5),IF(AND(LEFT(SUBSTITUTE($I961," ",""),LEN($F961)+1)=$F961&amp;"-",LEN(SUBSTITUTE($I961," ",""))&gt;LEN($F961)+1),"OK","Comment required"),"OK")))</f>
      </c>
    </row>
    <row r="962" spans="1:10" x14ac:dyDescent="0.25">
      <c r="A962" s="1"/>
      <c r="B962" s="20"/>
      <c r="C962" s="1"/>
      <c r="D962" s="1"/>
      <c r="E962" s="1"/>
      <c r="F962" s="1"/>
      <c r="G962" s="1"/>
      <c r="H962" s="1"/>
      <c r="I962" s="1"/>
      <c r="J962" s="1">
        <f>IF($F962="","",IF($H962="","Not rated",IF(OR($H962=Lists!$B$3,$H962=Lists!$B$5),IF(AND(LEFT(SUBSTITUTE($I962," ",""),LEN($F962)+1)=$F962&amp;"-",LEN(SUBSTITUTE($I962," ",""))&gt;LEN($F962)+1),"OK","Comment required"),"OK")))</f>
      </c>
    </row>
    <row r="963" spans="1:10" x14ac:dyDescent="0.25">
      <c r="A963" s="1"/>
      <c r="B963" s="20"/>
      <c r="C963" s="1"/>
      <c r="D963" s="1"/>
      <c r="E963" s="1"/>
      <c r="F963" s="1"/>
      <c r="G963" s="1"/>
      <c r="H963" s="1"/>
      <c r="I963" s="1"/>
      <c r="J963" s="1">
        <f>IF($F963="","",IF($H963="","Not rated",IF(OR($H963=Lists!$B$3,$H963=Lists!$B$5),IF(AND(LEFT(SUBSTITUTE($I963," ",""),LEN($F963)+1)=$F963&amp;"-",LEN(SUBSTITUTE($I963," ",""))&gt;LEN($F963)+1),"OK","Comment required"),"OK")))</f>
      </c>
    </row>
    <row r="964" spans="1:10" x14ac:dyDescent="0.25">
      <c r="A964" s="1"/>
      <c r="B964" s="20"/>
      <c r="C964" s="1"/>
      <c r="D964" s="1"/>
      <c r="E964" s="1"/>
      <c r="F964" s="1"/>
      <c r="G964" s="1"/>
      <c r="H964" s="1"/>
      <c r="I964" s="1"/>
      <c r="J964" s="1">
        <f>IF($F964="","",IF($H964="","Not rated",IF(OR($H964=Lists!$B$3,$H964=Lists!$B$5),IF(AND(LEFT(SUBSTITUTE($I964," ",""),LEN($F964)+1)=$F964&amp;"-",LEN(SUBSTITUTE($I964," ",""))&gt;LEN($F964)+1),"OK","Comment required"),"OK")))</f>
      </c>
    </row>
    <row r="965" spans="1:10" x14ac:dyDescent="0.25">
      <c r="A965" s="1"/>
      <c r="B965" s="20"/>
      <c r="C965" s="1"/>
      <c r="D965" s="1"/>
      <c r="E965" s="1"/>
      <c r="F965" s="1"/>
      <c r="G965" s="1"/>
      <c r="H965" s="1"/>
      <c r="I965" s="1"/>
      <c r="J965" s="1">
        <f>IF($F965="","",IF($H965="","Not rated",IF(OR($H965=Lists!$B$3,$H965=Lists!$B$5),IF(AND(LEFT(SUBSTITUTE($I965," ",""),LEN($F965)+1)=$F965&amp;"-",LEN(SUBSTITUTE($I965," ",""))&gt;LEN($F965)+1),"OK","Comment required"),"OK")))</f>
      </c>
    </row>
    <row r="966" spans="1:10" x14ac:dyDescent="0.25">
      <c r="A966" s="1"/>
      <c r="B966" s="20"/>
      <c r="C966" s="1"/>
      <c r="D966" s="1"/>
      <c r="E966" s="1"/>
      <c r="F966" s="1"/>
      <c r="G966" s="1"/>
      <c r="H966" s="1"/>
      <c r="I966" s="1"/>
      <c r="J966" s="1">
        <f>IF($F966="","",IF($H966="","Not rated",IF(OR($H966=Lists!$B$3,$H966=Lists!$B$5),IF(AND(LEFT(SUBSTITUTE($I966," ",""),LEN($F966)+1)=$F966&amp;"-",LEN(SUBSTITUTE($I966," ",""))&gt;LEN($F966)+1),"OK","Comment required"),"OK")))</f>
      </c>
    </row>
    <row r="967" spans="1:10" x14ac:dyDescent="0.25">
      <c r="A967" s="1"/>
      <c r="B967" s="20"/>
      <c r="C967" s="1"/>
      <c r="D967" s="1"/>
      <c r="E967" s="1"/>
      <c r="F967" s="1"/>
      <c r="G967" s="1"/>
      <c r="H967" s="1"/>
      <c r="I967" s="1"/>
      <c r="J967" s="1">
        <f>IF($F967="","",IF($H967="","Not rated",IF(OR($H967=Lists!$B$3,$H967=Lists!$B$5),IF(AND(LEFT(SUBSTITUTE($I967," ",""),LEN($F967)+1)=$F967&amp;"-",LEN(SUBSTITUTE($I967," ",""))&gt;LEN($F967)+1),"OK","Comment required"),"OK")))</f>
      </c>
    </row>
    <row r="968" spans="1:10" x14ac:dyDescent="0.25">
      <c r="A968" s="1"/>
      <c r="B968" s="20"/>
      <c r="C968" s="1"/>
      <c r="D968" s="1"/>
      <c r="E968" s="1"/>
      <c r="F968" s="1"/>
      <c r="G968" s="1"/>
      <c r="H968" s="1"/>
      <c r="I968" s="1"/>
      <c r="J968" s="1">
        <f>IF($F968="","",IF($H968="","Not rated",IF(OR($H968=Lists!$B$3,$H968=Lists!$B$5),IF(AND(LEFT(SUBSTITUTE($I968," ",""),LEN($F968)+1)=$F968&amp;"-",LEN(SUBSTITUTE($I968," ",""))&gt;LEN($F968)+1),"OK","Comment required"),"OK")))</f>
      </c>
    </row>
    <row r="969" spans="1:10" x14ac:dyDescent="0.25">
      <c r="A969" s="1"/>
      <c r="B969" s="20"/>
      <c r="C969" s="1"/>
      <c r="D969" s="1"/>
      <c r="E969" s="1"/>
      <c r="F969" s="1"/>
      <c r="G969" s="1"/>
      <c r="H969" s="1"/>
      <c r="I969" s="1"/>
      <c r="J969" s="1">
        <f>IF($F969="","",IF($H969="","Not rated",IF(OR($H969=Lists!$B$3,$H969=Lists!$B$5),IF(AND(LEFT(SUBSTITUTE($I969," ",""),LEN($F969)+1)=$F969&amp;"-",LEN(SUBSTITUTE($I969," ",""))&gt;LEN($F969)+1),"OK","Comment required"),"OK")))</f>
      </c>
    </row>
    <row r="970" spans="1:10" x14ac:dyDescent="0.25">
      <c r="A970" s="1"/>
      <c r="B970" s="20"/>
      <c r="C970" s="1"/>
      <c r="D970" s="1"/>
      <c r="E970" s="1"/>
      <c r="F970" s="1"/>
      <c r="G970" s="1"/>
      <c r="H970" s="1"/>
      <c r="I970" s="1"/>
      <c r="J970" s="1">
        <f>IF($F970="","",IF($H970="","Not rated",IF(OR($H970=Lists!$B$3,$H970=Lists!$B$5),IF(AND(LEFT(SUBSTITUTE($I970," ",""),LEN($F970)+1)=$F970&amp;"-",LEN(SUBSTITUTE($I970," ",""))&gt;LEN($F970)+1),"OK","Comment required"),"OK")))</f>
      </c>
    </row>
    <row r="971" spans="1:10" x14ac:dyDescent="0.25">
      <c r="A971" s="1"/>
      <c r="B971" s="20"/>
      <c r="C971" s="1"/>
      <c r="D971" s="1"/>
      <c r="E971" s="1"/>
      <c r="F971" s="1"/>
      <c r="G971" s="1"/>
      <c r="H971" s="1"/>
      <c r="I971" s="1"/>
      <c r="J971" s="1">
        <f>IF($F971="","",IF($H971="","Not rated",IF(OR($H971=Lists!$B$3,$H971=Lists!$B$5),IF(AND(LEFT(SUBSTITUTE($I971," ",""),LEN($F971)+1)=$F971&amp;"-",LEN(SUBSTITUTE($I971," ",""))&gt;LEN($F971)+1),"OK","Comment required"),"OK")))</f>
      </c>
    </row>
    <row r="972" spans="1:10" x14ac:dyDescent="0.25">
      <c r="A972" s="1"/>
      <c r="B972" s="20"/>
      <c r="C972" s="1"/>
      <c r="D972" s="1"/>
      <c r="E972" s="1"/>
      <c r="F972" s="1"/>
      <c r="G972" s="1"/>
      <c r="H972" s="1"/>
      <c r="I972" s="1"/>
      <c r="J972" s="1">
        <f>IF($F972="","",IF($H972="","Not rated",IF(OR($H972=Lists!$B$3,$H972=Lists!$B$5),IF(AND(LEFT(SUBSTITUTE($I972," ",""),LEN($F972)+1)=$F972&amp;"-",LEN(SUBSTITUTE($I972," ",""))&gt;LEN($F972)+1),"OK","Comment required"),"OK")))</f>
      </c>
    </row>
    <row r="973" spans="1:10" x14ac:dyDescent="0.25">
      <c r="A973" s="1"/>
      <c r="B973" s="20"/>
      <c r="C973" s="1"/>
      <c r="D973" s="1"/>
      <c r="E973" s="1"/>
      <c r="F973" s="1"/>
      <c r="G973" s="1"/>
      <c r="H973" s="1"/>
      <c r="I973" s="1"/>
      <c r="J973" s="1">
        <f>IF($F973="","",IF($H973="","Not rated",IF(OR($H973=Lists!$B$3,$H973=Lists!$B$5),IF(AND(LEFT(SUBSTITUTE($I973," ",""),LEN($F973)+1)=$F973&amp;"-",LEN(SUBSTITUTE($I973," ",""))&gt;LEN($F973)+1),"OK","Comment required"),"OK")))</f>
      </c>
    </row>
    <row r="974" spans="1:10" x14ac:dyDescent="0.25">
      <c r="A974" s="1"/>
      <c r="B974" s="20"/>
      <c r="C974" s="1"/>
      <c r="D974" s="1"/>
      <c r="E974" s="1"/>
      <c r="F974" s="1"/>
      <c r="G974" s="1"/>
      <c r="H974" s="1"/>
      <c r="I974" s="1"/>
      <c r="J974" s="1">
        <f>IF($F974="","",IF($H974="","Not rated",IF(OR($H974=Lists!$B$3,$H974=Lists!$B$5),IF(AND(LEFT(SUBSTITUTE($I974," ",""),LEN($F974)+1)=$F974&amp;"-",LEN(SUBSTITUTE($I974," ",""))&gt;LEN($F974)+1),"OK","Comment required"),"OK")))</f>
      </c>
    </row>
    <row r="975" spans="1:10" x14ac:dyDescent="0.25">
      <c r="A975" s="1"/>
      <c r="B975" s="20"/>
      <c r="C975" s="1"/>
      <c r="D975" s="1"/>
      <c r="E975" s="1"/>
      <c r="F975" s="1"/>
      <c r="G975" s="1"/>
      <c r="H975" s="1"/>
      <c r="I975" s="1"/>
      <c r="J975" s="1">
        <f>IF($F975="","",IF($H975="","Not rated",IF(OR($H975=Lists!$B$3,$H975=Lists!$B$5),IF(AND(LEFT(SUBSTITUTE($I975," ",""),LEN($F975)+1)=$F975&amp;"-",LEN(SUBSTITUTE($I975," ",""))&gt;LEN($F975)+1),"OK","Comment required"),"OK")))</f>
      </c>
    </row>
    <row r="976" spans="1:10" x14ac:dyDescent="0.25">
      <c r="A976" s="1"/>
      <c r="B976" s="20"/>
      <c r="C976" s="1"/>
      <c r="D976" s="1"/>
      <c r="E976" s="1"/>
      <c r="F976" s="1"/>
      <c r="G976" s="1"/>
      <c r="H976" s="1"/>
      <c r="I976" s="1"/>
      <c r="J976" s="1">
        <f>IF($F976="","",IF($H976="","Not rated",IF(OR($H976=Lists!$B$3,$H976=Lists!$B$5),IF(AND(LEFT(SUBSTITUTE($I976," ",""),LEN($F976)+1)=$F976&amp;"-",LEN(SUBSTITUTE($I976," ",""))&gt;LEN($F976)+1),"OK","Comment required"),"OK")))</f>
      </c>
    </row>
    <row r="977" spans="1:10" x14ac:dyDescent="0.25">
      <c r="A977" s="1"/>
      <c r="B977" s="20"/>
      <c r="C977" s="1"/>
      <c r="D977" s="1"/>
      <c r="E977" s="1"/>
      <c r="F977" s="1"/>
      <c r="G977" s="1"/>
      <c r="H977" s="1"/>
      <c r="I977" s="1"/>
      <c r="J977" s="1">
        <f>IF($F977="","",IF($H977="","Not rated",IF(OR($H977=Lists!$B$3,$H977=Lists!$B$5),IF(AND(LEFT(SUBSTITUTE($I977," ",""),LEN($F977)+1)=$F977&amp;"-",LEN(SUBSTITUTE($I977," ",""))&gt;LEN($F977)+1),"OK","Comment required"),"OK")))</f>
      </c>
    </row>
    <row r="978" spans="1:10" x14ac:dyDescent="0.25">
      <c r="A978" s="1"/>
      <c r="B978" s="20"/>
      <c r="C978" s="1"/>
      <c r="D978" s="1"/>
      <c r="E978" s="1"/>
      <c r="F978" s="1"/>
      <c r="G978" s="1"/>
      <c r="H978" s="1"/>
      <c r="I978" s="1"/>
      <c r="J978" s="1">
        <f>IF($F978="","",IF($H978="","Not rated",IF(OR($H978=Lists!$B$3,$H978=Lists!$B$5),IF(AND(LEFT(SUBSTITUTE($I978," ",""),LEN($F978)+1)=$F978&amp;"-",LEN(SUBSTITUTE($I978," ",""))&gt;LEN($F978)+1),"OK","Comment required"),"OK")))</f>
      </c>
    </row>
    <row r="979" spans="1:10" x14ac:dyDescent="0.25">
      <c r="A979" s="1"/>
      <c r="B979" s="20"/>
      <c r="C979" s="1"/>
      <c r="D979" s="1"/>
      <c r="E979" s="1"/>
      <c r="F979" s="1"/>
      <c r="G979" s="1"/>
      <c r="H979" s="1"/>
      <c r="I979" s="1"/>
      <c r="J979" s="1">
        <f>IF($F979="","",IF($H979="","Not rated",IF(OR($H979=Lists!$B$3,$H979=Lists!$B$5),IF(AND(LEFT(SUBSTITUTE($I979," ",""),LEN($F979)+1)=$F979&amp;"-",LEN(SUBSTITUTE($I979," ",""))&gt;LEN($F979)+1),"OK","Comment required"),"OK")))</f>
      </c>
    </row>
    <row r="980" spans="1:10" x14ac:dyDescent="0.25">
      <c r="A980" s="1"/>
      <c r="B980" s="20"/>
      <c r="C980" s="1"/>
      <c r="D980" s="1"/>
      <c r="E980" s="1"/>
      <c r="F980" s="1"/>
      <c r="G980" s="1"/>
      <c r="H980" s="1"/>
      <c r="I980" s="1"/>
      <c r="J980" s="1">
        <f>IF($F980="","",IF($H980="","Not rated",IF(OR($H980=Lists!$B$3,$H980=Lists!$B$5),IF(AND(LEFT(SUBSTITUTE($I980," ",""),LEN($F980)+1)=$F980&amp;"-",LEN(SUBSTITUTE($I980," ",""))&gt;LEN($F980)+1),"OK","Comment required"),"OK")))</f>
      </c>
    </row>
    <row r="981" spans="1:10" x14ac:dyDescent="0.25">
      <c r="A981" s="1"/>
      <c r="B981" s="20"/>
      <c r="C981" s="1"/>
      <c r="D981" s="1"/>
      <c r="E981" s="1"/>
      <c r="F981" s="1"/>
      <c r="G981" s="1"/>
      <c r="H981" s="1"/>
      <c r="I981" s="1"/>
      <c r="J981" s="1">
        <f>IF($F981="","",IF($H981="","Not rated",IF(OR($H981=Lists!$B$3,$H981=Lists!$B$5),IF(AND(LEFT(SUBSTITUTE($I981," ",""),LEN($F981)+1)=$F981&amp;"-",LEN(SUBSTITUTE($I981," ",""))&gt;LEN($F981)+1),"OK","Comment required"),"OK")))</f>
      </c>
    </row>
    <row r="982" spans="1:10" x14ac:dyDescent="0.25">
      <c r="A982" s="1"/>
      <c r="B982" s="20"/>
      <c r="C982" s="1"/>
      <c r="D982" s="1"/>
      <c r="E982" s="1"/>
      <c r="F982" s="1"/>
      <c r="G982" s="1"/>
      <c r="H982" s="1"/>
      <c r="I982" s="1"/>
      <c r="J982" s="1">
        <f>IF($F982="","",IF($H982="","Not rated",IF(OR($H982=Lists!$B$3,$H982=Lists!$B$5),IF(AND(LEFT(SUBSTITUTE($I982," ",""),LEN($F982)+1)=$F982&amp;"-",LEN(SUBSTITUTE($I982," ",""))&gt;LEN($F982)+1),"OK","Comment required"),"OK")))</f>
      </c>
    </row>
    <row r="983" spans="1:10" x14ac:dyDescent="0.25">
      <c r="A983" s="1"/>
      <c r="B983" s="20"/>
      <c r="C983" s="1"/>
      <c r="D983" s="1"/>
      <c r="E983" s="1"/>
      <c r="F983" s="1"/>
      <c r="G983" s="1"/>
      <c r="H983" s="1"/>
      <c r="I983" s="1"/>
      <c r="J983" s="1">
        <f>IF($F983="","",IF($H983="","Not rated",IF(OR($H983=Lists!$B$3,$H983=Lists!$B$5),IF(AND(LEFT(SUBSTITUTE($I983," ",""),LEN($F983)+1)=$F983&amp;"-",LEN(SUBSTITUTE($I983," ",""))&gt;LEN($F983)+1),"OK","Comment required"),"OK")))</f>
      </c>
    </row>
    <row r="984" spans="1:10" x14ac:dyDescent="0.25">
      <c r="A984" s="1"/>
      <c r="B984" s="20"/>
      <c r="C984" s="1"/>
      <c r="D984" s="1"/>
      <c r="E984" s="1"/>
      <c r="F984" s="1"/>
      <c r="G984" s="1"/>
      <c r="H984" s="1"/>
      <c r="I984" s="1"/>
      <c r="J984" s="1">
        <f>IF($F984="","",IF($H984="","Not rated",IF(OR($H984=Lists!$B$3,$H984=Lists!$B$5),IF(AND(LEFT(SUBSTITUTE($I984," ",""),LEN($F984)+1)=$F984&amp;"-",LEN(SUBSTITUTE($I984," ",""))&gt;LEN($F984)+1),"OK","Comment required"),"OK")))</f>
      </c>
    </row>
    <row r="985" spans="1:10" x14ac:dyDescent="0.25">
      <c r="A985" s="1"/>
      <c r="B985" s="20"/>
      <c r="C985" s="1"/>
      <c r="D985" s="1"/>
      <c r="E985" s="1"/>
      <c r="F985" s="1"/>
      <c r="G985" s="1"/>
      <c r="H985" s="1"/>
      <c r="I985" s="1"/>
      <c r="J985" s="1">
        <f>IF($F985="","",IF($H985="","Not rated",IF(OR($H985=Lists!$B$3,$H985=Lists!$B$5),IF(AND(LEFT(SUBSTITUTE($I985," ",""),LEN($F985)+1)=$F985&amp;"-",LEN(SUBSTITUTE($I985," ",""))&gt;LEN($F985)+1),"OK","Comment required"),"OK")))</f>
      </c>
    </row>
    <row r="986" spans="1:10" x14ac:dyDescent="0.25">
      <c r="A986" s="1"/>
      <c r="B986" s="20"/>
      <c r="C986" s="1"/>
      <c r="D986" s="1"/>
      <c r="E986" s="1"/>
      <c r="F986" s="1"/>
      <c r="G986" s="1"/>
      <c r="H986" s="1"/>
      <c r="I986" s="1"/>
      <c r="J986" s="1">
        <f>IF($F986="","",IF($H986="","Not rated",IF(OR($H986=Lists!$B$3,$H986=Lists!$B$5),IF(AND(LEFT(SUBSTITUTE($I986," ",""),LEN($F986)+1)=$F986&amp;"-",LEN(SUBSTITUTE($I986," ",""))&gt;LEN($F986)+1),"OK","Comment required"),"OK")))</f>
      </c>
    </row>
    <row r="987" spans="1:10" x14ac:dyDescent="0.25">
      <c r="A987" s="1"/>
      <c r="B987" s="20"/>
      <c r="C987" s="1"/>
      <c r="D987" s="1"/>
      <c r="E987" s="1"/>
      <c r="F987" s="1"/>
      <c r="G987" s="1"/>
      <c r="H987" s="1"/>
      <c r="I987" s="1"/>
      <c r="J987" s="1">
        <f>IF($F987="","",IF($H987="","Not rated",IF(OR($H987=Lists!$B$3,$H987=Lists!$B$5),IF(AND(LEFT(SUBSTITUTE($I987," ",""),LEN($F987)+1)=$F987&amp;"-",LEN(SUBSTITUTE($I987," ",""))&gt;LEN($F987)+1),"OK","Comment required"),"OK")))</f>
      </c>
    </row>
    <row r="988" spans="1:10" x14ac:dyDescent="0.25">
      <c r="A988" s="1"/>
      <c r="B988" s="20"/>
      <c r="C988" s="1"/>
      <c r="D988" s="1"/>
      <c r="E988" s="1"/>
      <c r="F988" s="1"/>
      <c r="G988" s="1"/>
      <c r="H988" s="1"/>
      <c r="I988" s="1"/>
      <c r="J988" s="1">
        <f>IF($F988="","",IF($H988="","Not rated",IF(OR($H988=Lists!$B$3,$H988=Lists!$B$5),IF(AND(LEFT(SUBSTITUTE($I988," ",""),LEN($F988)+1)=$F988&amp;"-",LEN(SUBSTITUTE($I988," ",""))&gt;LEN($F988)+1),"OK","Comment required"),"OK")))</f>
      </c>
    </row>
    <row r="989" spans="1:10" x14ac:dyDescent="0.25">
      <c r="A989" s="1"/>
      <c r="B989" s="20"/>
      <c r="C989" s="1"/>
      <c r="D989" s="1"/>
      <c r="E989" s="1"/>
      <c r="F989" s="1"/>
      <c r="G989" s="1"/>
      <c r="H989" s="1"/>
      <c r="I989" s="1"/>
      <c r="J989" s="1">
        <f>IF($F989="","",IF($H989="","Not rated",IF(OR($H989=Lists!$B$3,$H989=Lists!$B$5),IF(AND(LEFT(SUBSTITUTE($I989," ",""),LEN($F989)+1)=$F989&amp;"-",LEN(SUBSTITUTE($I989," ",""))&gt;LEN($F989)+1),"OK","Comment required"),"OK")))</f>
      </c>
    </row>
    <row r="990" spans="1:10" x14ac:dyDescent="0.25">
      <c r="A990" s="1"/>
      <c r="B990" s="20"/>
      <c r="C990" s="1"/>
      <c r="D990" s="1"/>
      <c r="E990" s="1"/>
      <c r="F990" s="1"/>
      <c r="G990" s="1"/>
      <c r="H990" s="1"/>
      <c r="I990" s="1"/>
      <c r="J990" s="1">
        <f>IF($F990="","",IF($H990="","Not rated",IF(OR($H990=Lists!$B$3,$H990=Lists!$B$5),IF(AND(LEFT(SUBSTITUTE($I990," ",""),LEN($F990)+1)=$F990&amp;"-",LEN(SUBSTITUTE($I990," ",""))&gt;LEN($F990)+1),"OK","Comment required"),"OK")))</f>
      </c>
    </row>
    <row r="991" spans="1:10" x14ac:dyDescent="0.25">
      <c r="A991" s="1"/>
      <c r="B991" s="20"/>
      <c r="C991" s="1"/>
      <c r="D991" s="1"/>
      <c r="E991" s="1"/>
      <c r="F991" s="1"/>
      <c r="G991" s="1"/>
      <c r="H991" s="1"/>
      <c r="I991" s="1"/>
      <c r="J991" s="1">
        <f>IF($F991="","",IF($H991="","Not rated",IF(OR($H991=Lists!$B$3,$H991=Lists!$B$5),IF(AND(LEFT(SUBSTITUTE($I991," ",""),LEN($F991)+1)=$F991&amp;"-",LEN(SUBSTITUTE($I991," ",""))&gt;LEN($F991)+1),"OK","Comment required"),"OK")))</f>
      </c>
    </row>
    <row r="992" spans="1:10" x14ac:dyDescent="0.25">
      <c r="A992" s="1"/>
      <c r="B992" s="20"/>
      <c r="C992" s="1"/>
      <c r="D992" s="1"/>
      <c r="E992" s="1"/>
      <c r="F992" s="1"/>
      <c r="G992" s="1"/>
      <c r="H992" s="1"/>
      <c r="I992" s="1"/>
      <c r="J992" s="1">
        <f>IF($F992="","",IF($H992="","Not rated",IF(OR($H992=Lists!$B$3,$H992=Lists!$B$5),IF(AND(LEFT(SUBSTITUTE($I992," ",""),LEN($F992)+1)=$F992&amp;"-",LEN(SUBSTITUTE($I992," ",""))&gt;LEN($F992)+1),"OK","Comment required"),"OK")))</f>
      </c>
    </row>
    <row r="993" spans="1:10" x14ac:dyDescent="0.25">
      <c r="A993" s="1"/>
      <c r="B993" s="20"/>
      <c r="C993" s="1"/>
      <c r="D993" s="1"/>
      <c r="E993" s="1"/>
      <c r="F993" s="1"/>
      <c r="G993" s="1"/>
      <c r="H993" s="1"/>
      <c r="I993" s="1"/>
      <c r="J993" s="1">
        <f>IF($F993="","",IF($H993="","Not rated",IF(OR($H993=Lists!$B$3,$H993=Lists!$B$5),IF(AND(LEFT(SUBSTITUTE($I993," ",""),LEN($F993)+1)=$F993&amp;"-",LEN(SUBSTITUTE($I993," ",""))&gt;LEN($F993)+1),"OK","Comment required"),"OK")))</f>
      </c>
    </row>
    <row r="994" spans="1:10" x14ac:dyDescent="0.25">
      <c r="A994" s="1"/>
      <c r="B994" s="20"/>
      <c r="C994" s="1"/>
      <c r="D994" s="1"/>
      <c r="E994" s="1"/>
      <c r="F994" s="1"/>
      <c r="G994" s="1"/>
      <c r="H994" s="1"/>
      <c r="I994" s="1"/>
      <c r="J994" s="1">
        <f>IF($F994="","",IF($H994="","Not rated",IF(OR($H994=Lists!$B$3,$H994=Lists!$B$5),IF(AND(LEFT(SUBSTITUTE($I994," ",""),LEN($F994)+1)=$F994&amp;"-",LEN(SUBSTITUTE($I994," ",""))&gt;LEN($F994)+1),"OK","Comment required"),"OK")))</f>
      </c>
    </row>
    <row r="995" spans="1:10" x14ac:dyDescent="0.25">
      <c r="A995" s="1"/>
      <c r="B995" s="20"/>
      <c r="C995" s="1"/>
      <c r="D995" s="1"/>
      <c r="E995" s="1"/>
      <c r="F995" s="1"/>
      <c r="G995" s="1"/>
      <c r="H995" s="1"/>
      <c r="I995" s="1"/>
      <c r="J995" s="1">
        <f>IF($F995="","",IF($H995="","Not rated",IF(OR($H995=Lists!$B$3,$H995=Lists!$B$5),IF(AND(LEFT(SUBSTITUTE($I995," ",""),LEN($F995)+1)=$F995&amp;"-",LEN(SUBSTITUTE($I995," ",""))&gt;LEN($F995)+1),"OK","Comment required"),"OK")))</f>
      </c>
    </row>
    <row r="996" spans="1:10" x14ac:dyDescent="0.25">
      <c r="A996" s="1"/>
      <c r="B996" s="20"/>
      <c r="C996" s="1"/>
      <c r="D996" s="1"/>
      <c r="E996" s="1"/>
      <c r="F996" s="1"/>
      <c r="G996" s="1"/>
      <c r="H996" s="1"/>
      <c r="I996" s="1"/>
      <c r="J996" s="1">
        <f>IF($F996="","",IF($H996="","Not rated",IF(OR($H996=Lists!$B$3,$H996=Lists!$B$5),IF(AND(LEFT(SUBSTITUTE($I996," ",""),LEN($F996)+1)=$F996&amp;"-",LEN(SUBSTITUTE($I996," ",""))&gt;LEN($F996)+1),"OK","Comment required"),"OK")))</f>
      </c>
    </row>
    <row r="997" spans="1:10" x14ac:dyDescent="0.25">
      <c r="A997" s="1"/>
      <c r="B997" s="20"/>
      <c r="C997" s="1"/>
      <c r="D997" s="1"/>
      <c r="E997" s="1"/>
      <c r="F997" s="1"/>
      <c r="G997" s="1"/>
      <c r="H997" s="1"/>
      <c r="I997" s="1"/>
      <c r="J997" s="1">
        <f>IF($F997="","",IF($H997="","Not rated",IF(OR($H997=Lists!$B$3,$H997=Lists!$B$5),IF(AND(LEFT(SUBSTITUTE($I997," ",""),LEN($F997)+1)=$F997&amp;"-",LEN(SUBSTITUTE($I997," ",""))&gt;LEN($F997)+1),"OK","Comment required"),"OK")))</f>
      </c>
    </row>
    <row r="998" spans="1:10" x14ac:dyDescent="0.25">
      <c r="A998" s="1"/>
      <c r="B998" s="20"/>
      <c r="C998" s="1"/>
      <c r="D998" s="1"/>
      <c r="E998" s="1"/>
      <c r="F998" s="1"/>
      <c r="G998" s="1"/>
      <c r="H998" s="1"/>
      <c r="I998" s="1"/>
      <c r="J998" s="1">
        <f>IF($F998="","",IF($H998="","Not rated",IF(OR($H998=Lists!$B$3,$H998=Lists!$B$5),IF(AND(LEFT(SUBSTITUTE($I998," ",""),LEN($F998)+1)=$F998&amp;"-",LEN(SUBSTITUTE($I998," ",""))&gt;LEN($F998)+1),"OK","Comment required"),"OK")))</f>
      </c>
    </row>
    <row r="999" spans="1:10" x14ac:dyDescent="0.25">
      <c r="A999" s="1"/>
      <c r="B999" s="20"/>
      <c r="C999" s="1"/>
      <c r="D999" s="1"/>
      <c r="E999" s="1"/>
      <c r="F999" s="1"/>
      <c r="G999" s="1"/>
      <c r="H999" s="1"/>
      <c r="I999" s="1"/>
      <c r="J999" s="1">
        <f>IF($F999="","",IF($H999="","Not rated",IF(OR($H999=Lists!$B$3,$H999=Lists!$B$5),IF(AND(LEFT(SUBSTITUTE($I999," ",""),LEN($F999)+1)=$F999&amp;"-",LEN(SUBSTITUTE($I999," ",""))&gt;LEN($F999)+1),"OK","Comment required"),"OK")))</f>
      </c>
    </row>
    <row r="1000" spans="1:10" x14ac:dyDescent="0.25">
      <c r="A1000" s="1"/>
      <c r="B1000" s="20"/>
      <c r="C1000" s="1"/>
      <c r="D1000" s="1"/>
      <c r="E1000" s="1"/>
      <c r="F1000" s="1"/>
      <c r="G1000" s="1"/>
      <c r="H1000" s="1"/>
      <c r="I1000" s="1"/>
      <c r="J1000" s="1">
        <f>IF($F1000="","",IF($H1000="","Not rated",IF(OR($H1000=Lists!$B$3,$H1000=Lists!$B$5),IF(AND(LEFT(SUBSTITUTE($I1000," ",""),LEN($F1000)+1)=$F1000&amp;"-",LEN(SUBSTITUTE($I1000," ",""))&gt;LEN($F1000)+1),"OK","Comment required"),"OK")))</f>
      </c>
    </row>
    <row r="1001" spans="1:10" x14ac:dyDescent="0.25">
      <c r="A1001" s="1"/>
      <c r="B1001" s="20"/>
      <c r="C1001" s="1"/>
      <c r="D1001" s="1"/>
      <c r="E1001" s="1"/>
      <c r="F1001" s="1"/>
      <c r="G1001" s="1"/>
      <c r="H1001" s="1"/>
      <c r="I1001" s="1"/>
      <c r="J1001" s="1">
        <f>IF($F1001="","",IF($H1001="","Not rated",IF(OR($H1001=Lists!$B$3,$H1001=Lists!$B$5),IF(AND(LEFT(SUBSTITUTE($I1001," ",""),LEN($F1001)+1)=$F1001&amp;"-",LEN(SUBSTITUTE($I1001," ",""))&gt;LEN($F1001)+1),"OK","Comment required"),"OK")))</f>
      </c>
    </row>
    <row r="1002" spans="1:10" x14ac:dyDescent="0.25">
      <c r="A1002" s="1"/>
      <c r="B1002" s="20"/>
      <c r="C1002" s="1"/>
      <c r="D1002" s="1"/>
      <c r="E1002" s="1"/>
      <c r="F1002" s="1"/>
      <c r="G1002" s="1"/>
      <c r="H1002" s="1"/>
      <c r="I1002" s="1"/>
      <c r="J1002" s="1">
        <f>IF($F1002="","",IF($H1002="","Not rated",IF(OR($H1002=Lists!$B$3,$H1002=Lists!$B$5),IF(AND(LEFT(SUBSTITUTE($I1002," ",""),LEN($F1002)+1)=$F1002&amp;"-",LEN(SUBSTITUTE($I1002," ",""))&gt;LEN($F1002)+1),"OK","Comment required"),"OK")))</f>
      </c>
    </row>
    <row r="1003" spans="1:10" x14ac:dyDescent="0.25">
      <c r="A1003" s="1"/>
      <c r="B1003" s="20"/>
      <c r="C1003" s="1"/>
      <c r="D1003" s="1"/>
      <c r="E1003" s="1"/>
      <c r="F1003" s="1"/>
      <c r="G1003" s="1"/>
      <c r="H1003" s="1"/>
      <c r="I1003" s="1"/>
      <c r="J1003" s="1">
        <f>IF($F1003="","",IF($H1003="","Not rated",IF(OR($H1003=Lists!$B$3,$H1003=Lists!$B$5),IF(AND(LEFT(SUBSTITUTE($I1003," ",""),LEN($F1003)+1)=$F1003&amp;"-",LEN(SUBSTITUTE($I1003," ",""))&gt;LEN($F1003)+1),"OK","Comment required"),"OK")))</f>
      </c>
    </row>
    <row r="1004" spans="1:10" x14ac:dyDescent="0.25">
      <c r="A1004" s="1"/>
      <c r="B1004" s="20"/>
      <c r="C1004" s="1"/>
      <c r="D1004" s="1"/>
      <c r="E1004" s="1"/>
      <c r="F1004" s="1"/>
      <c r="G1004" s="1"/>
      <c r="H1004" s="1"/>
      <c r="I1004" s="1"/>
      <c r="J1004" s="1">
        <f>IF($F1004="","",IF($H1004="","Not rated",IF(OR($H1004=Lists!$B$3,$H1004=Lists!$B$5),IF(AND(LEFT(SUBSTITUTE($I1004," ",""),LEN($F1004)+1)=$F1004&amp;"-",LEN(SUBSTITUTE($I1004," ",""))&gt;LEN($F1004)+1),"OK","Comment required"),"OK")))</f>
      </c>
    </row>
    <row r="1005" spans="1:10" x14ac:dyDescent="0.25">
      <c r="A1005" s="1"/>
      <c r="B1005" s="20"/>
      <c r="C1005" s="1"/>
      <c r="D1005" s="1"/>
      <c r="E1005" s="1"/>
      <c r="F1005" s="1"/>
      <c r="G1005" s="1"/>
      <c r="H1005" s="1"/>
      <c r="I1005" s="1"/>
      <c r="J1005" s="1">
        <f>IF($F1005="","",IF($H1005="","Not rated",IF(OR($H1005=Lists!$B$3,$H1005=Lists!$B$5),IF(AND(LEFT(SUBSTITUTE($I1005," ",""),LEN($F1005)+1)=$F1005&amp;"-",LEN(SUBSTITUTE($I1005," ",""))&gt;LEN($F1005)+1),"OK","Comment required"),"OK")))</f>
      </c>
    </row>
    <row r="1006" spans="1:10" x14ac:dyDescent="0.25">
      <c r="A1006" s="1"/>
      <c r="B1006" s="20"/>
      <c r="C1006" s="1"/>
      <c r="D1006" s="1"/>
      <c r="E1006" s="1"/>
      <c r="F1006" s="1"/>
      <c r="G1006" s="1"/>
      <c r="H1006" s="1"/>
      <c r="I1006" s="1"/>
      <c r="J1006" s="1">
        <f>IF($F1006="","",IF($H1006="","Not rated",IF(OR($H1006=Lists!$B$3,$H1006=Lists!$B$5),IF(AND(LEFT(SUBSTITUTE($I1006," ",""),LEN($F1006)+1)=$F1006&amp;"-",LEN(SUBSTITUTE($I1006," ",""))&gt;LEN($F1006)+1),"OK","Comment required"),"OK")))</f>
      </c>
    </row>
    <row r="1007" spans="1:10" x14ac:dyDescent="0.25">
      <c r="A1007" s="1"/>
      <c r="B1007" s="20"/>
      <c r="C1007" s="1"/>
      <c r="D1007" s="1"/>
      <c r="E1007" s="1"/>
      <c r="F1007" s="1"/>
      <c r="G1007" s="1"/>
      <c r="H1007" s="1"/>
      <c r="I1007" s="1"/>
      <c r="J1007" s="1">
        <f>IF($F1007="","",IF($H1007="","Not rated",IF(OR($H1007=Lists!$B$3,$H1007=Lists!$B$5),IF(AND(LEFT(SUBSTITUTE($I1007," ",""),LEN($F1007)+1)=$F1007&amp;"-",LEN(SUBSTITUTE($I1007," ",""))&gt;LEN($F1007)+1),"OK","Comment required"),"OK")))</f>
      </c>
    </row>
    <row r="1008" spans="1:10" x14ac:dyDescent="0.25">
      <c r="A1008" s="1"/>
      <c r="B1008" s="20"/>
      <c r="C1008" s="1"/>
      <c r="D1008" s="1"/>
      <c r="E1008" s="1"/>
      <c r="F1008" s="1"/>
      <c r="G1008" s="1"/>
      <c r="H1008" s="1"/>
      <c r="I1008" s="1"/>
      <c r="J1008" s="1">
        <f>IF($F1008="","",IF($H1008="","Not rated",IF(OR($H1008=Lists!$B$3,$H1008=Lists!$B$5),IF(AND(LEFT(SUBSTITUTE($I1008," ",""),LEN($F1008)+1)=$F1008&amp;"-",LEN(SUBSTITUTE($I1008," ",""))&gt;LEN($F1008)+1),"OK","Comment required"),"OK")))</f>
      </c>
    </row>
    <row r="1009" spans="1:10" x14ac:dyDescent="0.25">
      <c r="A1009" s="1"/>
      <c r="B1009" s="20"/>
      <c r="C1009" s="1"/>
      <c r="D1009" s="1"/>
      <c r="E1009" s="1"/>
      <c r="F1009" s="1"/>
      <c r="G1009" s="1"/>
      <c r="H1009" s="1"/>
      <c r="I1009" s="1"/>
      <c r="J1009" s="1">
        <f>IF($F1009="","",IF($H1009="","Not rated",IF(OR($H1009=Lists!$B$3,$H1009=Lists!$B$5),IF(AND(LEFT(SUBSTITUTE($I1009," ",""),LEN($F1009)+1)=$F1009&amp;"-",LEN(SUBSTITUTE($I1009," ",""))&gt;LEN($F1009)+1),"OK","Comment required"),"OK")))</f>
      </c>
    </row>
    <row r="1010" spans="1:10" x14ac:dyDescent="0.25">
      <c r="A1010" s="1"/>
      <c r="B1010" s="20"/>
      <c r="C1010" s="1"/>
      <c r="D1010" s="1"/>
      <c r="E1010" s="1"/>
      <c r="F1010" s="1"/>
      <c r="G1010" s="1"/>
      <c r="H1010" s="1"/>
      <c r="I1010" s="1"/>
      <c r="J1010" s="1">
        <f>IF($F1010="","",IF($H1010="","Not rated",IF(OR($H1010=Lists!$B$3,$H1010=Lists!$B$5),IF(AND(LEFT(SUBSTITUTE($I1010," ",""),LEN($F1010)+1)=$F1010&amp;"-",LEN(SUBSTITUTE($I1010," ",""))&gt;LEN($F1010)+1),"OK","Comment required"),"OK")))</f>
      </c>
    </row>
    <row r="1011" spans="1:10" x14ac:dyDescent="0.25">
      <c r="A1011" s="1"/>
      <c r="B1011" s="20"/>
      <c r="C1011" s="1"/>
      <c r="D1011" s="1"/>
      <c r="E1011" s="1"/>
      <c r="F1011" s="1"/>
      <c r="G1011" s="1"/>
      <c r="H1011" s="1"/>
      <c r="I1011" s="1"/>
      <c r="J1011" s="1">
        <f>IF($F1011="","",IF($H1011="","Not rated",IF(OR($H1011=Lists!$B$3,$H1011=Lists!$B$5),IF(AND(LEFT(SUBSTITUTE($I1011," ",""),LEN($F1011)+1)=$F1011&amp;"-",LEN(SUBSTITUTE($I1011," ",""))&gt;LEN($F1011)+1),"OK","Comment required"),"OK")))</f>
      </c>
    </row>
    <row r="1012" spans="1:10" x14ac:dyDescent="0.25">
      <c r="A1012" s="1"/>
      <c r="B1012" s="20"/>
      <c r="C1012" s="1"/>
      <c r="D1012" s="1"/>
      <c r="E1012" s="1"/>
      <c r="F1012" s="1"/>
      <c r="G1012" s="1"/>
      <c r="H1012" s="1"/>
      <c r="I1012" s="1"/>
      <c r="J1012" s="1">
        <f>IF($F1012="","",IF($H1012="","Not rated",IF(OR($H1012=Lists!$B$3,$H1012=Lists!$B$5),IF(AND(LEFT(SUBSTITUTE($I1012," ",""),LEN($F1012)+1)=$F1012&amp;"-",LEN(SUBSTITUTE($I1012," ",""))&gt;LEN($F1012)+1),"OK","Comment required"),"OK")))</f>
      </c>
    </row>
    <row r="1013" spans="1:10" x14ac:dyDescent="0.25">
      <c r="A1013" s="1"/>
      <c r="B1013" s="20"/>
      <c r="C1013" s="1"/>
      <c r="D1013" s="1"/>
      <c r="E1013" s="1"/>
      <c r="F1013" s="1"/>
      <c r="G1013" s="1"/>
      <c r="H1013" s="1"/>
      <c r="I1013" s="1"/>
      <c r="J1013" s="1">
        <f>IF($F1013="","",IF($H1013="","Not rated",IF(OR($H1013=Lists!$B$3,$H1013=Lists!$B$5),IF(AND(LEFT(SUBSTITUTE($I1013," ",""),LEN($F1013)+1)=$F1013&amp;"-",LEN(SUBSTITUTE($I1013," ",""))&gt;LEN($F1013)+1),"OK","Comment required"),"OK")))</f>
      </c>
    </row>
    <row r="1014" spans="1:10" x14ac:dyDescent="0.25">
      <c r="A1014" s="1"/>
      <c r="B1014" s="20"/>
      <c r="C1014" s="1"/>
      <c r="D1014" s="1"/>
      <c r="E1014" s="1"/>
      <c r="F1014" s="1"/>
      <c r="G1014" s="1"/>
      <c r="H1014" s="1"/>
      <c r="I1014" s="1"/>
      <c r="J1014" s="1">
        <f>IF($F1014="","",IF($H1014="","Not rated",IF(OR($H1014=Lists!$B$3,$H1014=Lists!$B$5),IF(AND(LEFT(SUBSTITUTE($I1014," ",""),LEN($F1014)+1)=$F1014&amp;"-",LEN(SUBSTITUTE($I1014," ",""))&gt;LEN($F1014)+1),"OK","Comment required"),"OK")))</f>
      </c>
    </row>
    <row r="1015" spans="1:10" x14ac:dyDescent="0.25">
      <c r="A1015" s="1"/>
      <c r="B1015" s="20"/>
      <c r="C1015" s="1"/>
      <c r="D1015" s="1"/>
      <c r="E1015" s="1"/>
      <c r="F1015" s="1"/>
      <c r="G1015" s="1"/>
      <c r="H1015" s="1"/>
      <c r="I1015" s="1"/>
      <c r="J1015" s="1">
        <f>IF($F1015="","",IF($H1015="","Not rated",IF(OR($H1015=Lists!$B$3,$H1015=Lists!$B$5),IF(AND(LEFT(SUBSTITUTE($I1015," ",""),LEN($F1015)+1)=$F1015&amp;"-",LEN(SUBSTITUTE($I1015," ",""))&gt;LEN($F1015)+1),"OK","Comment required"),"OK")))</f>
      </c>
    </row>
    <row r="1016" spans="1:10" x14ac:dyDescent="0.25">
      <c r="A1016" s="1"/>
      <c r="B1016" s="20"/>
      <c r="C1016" s="1"/>
      <c r="D1016" s="1"/>
      <c r="E1016" s="1"/>
      <c r="F1016" s="1"/>
      <c r="G1016" s="1"/>
      <c r="H1016" s="1"/>
      <c r="I1016" s="1"/>
      <c r="J1016" s="1">
        <f>IF($F1016="","",IF($H1016="","Not rated",IF(OR($H1016=Lists!$B$3,$H1016=Lists!$B$5),IF(AND(LEFT(SUBSTITUTE($I1016," ",""),LEN($F1016)+1)=$F1016&amp;"-",LEN(SUBSTITUTE($I1016," ",""))&gt;LEN($F1016)+1),"OK","Comment required"),"OK")))</f>
      </c>
    </row>
    <row r="1017" spans="1:10" x14ac:dyDescent="0.25">
      <c r="A1017" s="1"/>
      <c r="B1017" s="20"/>
      <c r="C1017" s="1"/>
      <c r="D1017" s="1"/>
      <c r="E1017" s="1"/>
      <c r="F1017" s="1"/>
      <c r="G1017" s="1"/>
      <c r="H1017" s="1"/>
      <c r="I1017" s="1"/>
      <c r="J1017" s="1">
        <f>IF($F1017="","",IF($H1017="","Not rated",IF(OR($H1017=Lists!$B$3,$H1017=Lists!$B$5),IF(AND(LEFT(SUBSTITUTE($I1017," ",""),LEN($F1017)+1)=$F1017&amp;"-",LEN(SUBSTITUTE($I1017," ",""))&gt;LEN($F1017)+1),"OK","Comment required"),"OK")))</f>
      </c>
    </row>
    <row r="1018" spans="1:10" x14ac:dyDescent="0.25">
      <c r="A1018" s="1"/>
      <c r="B1018" s="20"/>
      <c r="C1018" s="1"/>
      <c r="D1018" s="1"/>
      <c r="E1018" s="1"/>
      <c r="F1018" s="1"/>
      <c r="G1018" s="1"/>
      <c r="H1018" s="1"/>
      <c r="I1018" s="1"/>
      <c r="J1018" s="1">
        <f>IF($F1018="","",IF($H1018="","Not rated",IF(OR($H1018=Lists!$B$3,$H1018=Lists!$B$5),IF(AND(LEFT(SUBSTITUTE($I1018," ",""),LEN($F1018)+1)=$F1018&amp;"-",LEN(SUBSTITUTE($I1018," ",""))&gt;LEN($F1018)+1),"OK","Comment required"),"OK")))</f>
      </c>
    </row>
    <row r="1019" spans="1:10" x14ac:dyDescent="0.25">
      <c r="A1019" s="1"/>
      <c r="B1019" s="20"/>
      <c r="C1019" s="1"/>
      <c r="D1019" s="1"/>
      <c r="E1019" s="1"/>
      <c r="F1019" s="1"/>
      <c r="G1019" s="1"/>
      <c r="H1019" s="1"/>
      <c r="I1019" s="1"/>
      <c r="J1019" s="1">
        <f>IF($F1019="","",IF($H1019="","Not rated",IF(OR($H1019=Lists!$B$3,$H1019=Lists!$B$5),IF(AND(LEFT(SUBSTITUTE($I1019," ",""),LEN($F1019)+1)=$F1019&amp;"-",LEN(SUBSTITUTE($I1019," ",""))&gt;LEN($F1019)+1),"OK","Comment required"),"OK")))</f>
      </c>
    </row>
    <row r="1020" spans="1:10" x14ac:dyDescent="0.25">
      <c r="A1020" s="1"/>
      <c r="B1020" s="20"/>
      <c r="C1020" s="1"/>
      <c r="D1020" s="1"/>
      <c r="E1020" s="1"/>
      <c r="F1020" s="1"/>
      <c r="G1020" s="1"/>
      <c r="H1020" s="1"/>
      <c r="I1020" s="1"/>
      <c r="J1020" s="1">
        <f>IF($F1020="","",IF($H1020="","Not rated",IF(OR($H1020=Lists!$B$3,$H1020=Lists!$B$5),IF(AND(LEFT(SUBSTITUTE($I1020," ",""),LEN($F1020)+1)=$F1020&amp;"-",LEN(SUBSTITUTE($I1020," ",""))&gt;LEN($F1020)+1),"OK","Comment required"),"OK")))</f>
      </c>
    </row>
    <row r="1021" spans="1:10" x14ac:dyDescent="0.25">
      <c r="A1021" s="1"/>
      <c r="B1021" s="20"/>
      <c r="C1021" s="1"/>
      <c r="D1021" s="1"/>
      <c r="E1021" s="1"/>
      <c r="F1021" s="1"/>
      <c r="G1021" s="1"/>
      <c r="H1021" s="1"/>
      <c r="I1021" s="1"/>
      <c r="J1021" s="1">
        <f>IF($F1021="","",IF($H1021="","Not rated",IF(OR($H1021=Lists!$B$3,$H1021=Lists!$B$5),IF(AND(LEFT(SUBSTITUTE($I1021," ",""),LEN($F1021)+1)=$F1021&amp;"-",LEN(SUBSTITUTE($I1021," ",""))&gt;LEN($F1021)+1),"OK","Comment required"),"OK")))</f>
      </c>
    </row>
    <row r="1022" spans="1:10" x14ac:dyDescent="0.25">
      <c r="A1022" s="1"/>
      <c r="B1022" s="20"/>
      <c r="C1022" s="1"/>
      <c r="D1022" s="1"/>
      <c r="E1022" s="1"/>
      <c r="F1022" s="1"/>
      <c r="G1022" s="1"/>
      <c r="H1022" s="1"/>
      <c r="I1022" s="1"/>
      <c r="J1022" s="1">
        <f>IF($F1022="","",IF($H1022="","Not rated",IF(OR($H1022=Lists!$B$3,$H1022=Lists!$B$5),IF(AND(LEFT(SUBSTITUTE($I1022," ",""),LEN($F1022)+1)=$F1022&amp;"-",LEN(SUBSTITUTE($I1022," ",""))&gt;LEN($F1022)+1),"OK","Comment required"),"OK")))</f>
      </c>
    </row>
    <row r="1023" spans="1:10" x14ac:dyDescent="0.25">
      <c r="A1023" s="1"/>
      <c r="B1023" s="20"/>
      <c r="C1023" s="1"/>
      <c r="D1023" s="1"/>
      <c r="E1023" s="1"/>
      <c r="F1023" s="1"/>
      <c r="G1023" s="1"/>
      <c r="H1023" s="1"/>
      <c r="I1023" s="1"/>
      <c r="J1023" s="1">
        <f>IF($F1023="","",IF($H1023="","Not rated",IF(OR($H1023=Lists!$B$3,$H1023=Lists!$B$5),IF(AND(LEFT(SUBSTITUTE($I1023," ",""),LEN($F1023)+1)=$F1023&amp;"-",LEN(SUBSTITUTE($I1023," ",""))&gt;LEN($F1023)+1),"OK","Comment required"),"OK")))</f>
      </c>
    </row>
    <row r="1024" spans="1:10" x14ac:dyDescent="0.25">
      <c r="A1024" s="1"/>
      <c r="B1024" s="20"/>
      <c r="C1024" s="1"/>
      <c r="D1024" s="1"/>
      <c r="E1024" s="1"/>
      <c r="F1024" s="1"/>
      <c r="G1024" s="1"/>
      <c r="H1024" s="1"/>
      <c r="I1024" s="1"/>
      <c r="J1024" s="1">
        <f>IF($F1024="","",IF($H1024="","Not rated",IF(OR($H1024=Lists!$B$3,$H1024=Lists!$B$5),IF(AND(LEFT(SUBSTITUTE($I1024," ",""),LEN($F1024)+1)=$F1024&amp;"-",LEN(SUBSTITUTE($I1024," ",""))&gt;LEN($F1024)+1),"OK","Comment required"),"OK")))</f>
      </c>
    </row>
    <row r="1025" spans="1:10" x14ac:dyDescent="0.25">
      <c r="A1025" s="1"/>
      <c r="B1025" s="20"/>
      <c r="C1025" s="1"/>
      <c r="D1025" s="1"/>
      <c r="E1025" s="1"/>
      <c r="F1025" s="1"/>
      <c r="G1025" s="1"/>
      <c r="H1025" s="1"/>
      <c r="I1025" s="1"/>
      <c r="J1025" s="1">
        <f>IF($F1025="","",IF($H1025="","Not rated",IF(OR($H1025=Lists!$B$3,$H1025=Lists!$B$5),IF(AND(LEFT(SUBSTITUTE($I1025," ",""),LEN($F1025)+1)=$F1025&amp;"-",LEN(SUBSTITUTE($I1025," ",""))&gt;LEN($F1025)+1),"OK","Comment required"),"OK")))</f>
      </c>
    </row>
    <row r="1026" spans="1:10" x14ac:dyDescent="0.25">
      <c r="A1026" s="1"/>
      <c r="B1026" s="20"/>
      <c r="C1026" s="1"/>
      <c r="D1026" s="1"/>
      <c r="E1026" s="1"/>
      <c r="F1026" s="1"/>
      <c r="G1026" s="1"/>
      <c r="H1026" s="1"/>
      <c r="I1026" s="1"/>
      <c r="J1026" s="1">
        <f>IF($F1026="","",IF($H1026="","Not rated",IF(OR($H1026=Lists!$B$3,$H1026=Lists!$B$5),IF(AND(LEFT(SUBSTITUTE($I1026," ",""),LEN($F1026)+1)=$F1026&amp;"-",LEN(SUBSTITUTE($I1026," ",""))&gt;LEN($F1026)+1),"OK","Comment required"),"OK")))</f>
      </c>
    </row>
    <row r="1027" spans="1:10" x14ac:dyDescent="0.25">
      <c r="A1027" s="1"/>
      <c r="B1027" s="20"/>
      <c r="C1027" s="1"/>
      <c r="D1027" s="1"/>
      <c r="E1027" s="1"/>
      <c r="F1027" s="1"/>
      <c r="G1027" s="1"/>
      <c r="H1027" s="1"/>
      <c r="I1027" s="1"/>
      <c r="J1027" s="1">
        <f>IF($F1027="","",IF($H1027="","Not rated",IF(OR($H1027=Lists!$B$3,$H1027=Lists!$B$5),IF(AND(LEFT(SUBSTITUTE($I1027," ",""),LEN($F1027)+1)=$F1027&amp;"-",LEN(SUBSTITUTE($I1027," ",""))&gt;LEN($F1027)+1),"OK","Comment required"),"OK")))</f>
      </c>
    </row>
    <row r="1028" spans="1:10" x14ac:dyDescent="0.25">
      <c r="A1028" s="1"/>
      <c r="B1028" s="20"/>
      <c r="C1028" s="1"/>
      <c r="D1028" s="1"/>
      <c r="E1028" s="1"/>
      <c r="F1028" s="1"/>
      <c r="G1028" s="1"/>
      <c r="H1028" s="1"/>
      <c r="I1028" s="1"/>
      <c r="J1028" s="1">
        <f>IF($F1028="","",IF($H1028="","Not rated",IF(OR($H1028=Lists!$B$3,$H1028=Lists!$B$5),IF(AND(LEFT(SUBSTITUTE($I1028," ",""),LEN($F1028)+1)=$F1028&amp;"-",LEN(SUBSTITUTE($I1028," ",""))&gt;LEN($F1028)+1),"OK","Comment required"),"OK")))</f>
      </c>
    </row>
    <row r="1029" spans="1:10" x14ac:dyDescent="0.25">
      <c r="A1029" s="1"/>
      <c r="B1029" s="20"/>
      <c r="C1029" s="1"/>
      <c r="D1029" s="1"/>
      <c r="E1029" s="1"/>
      <c r="F1029" s="1"/>
      <c r="G1029" s="1"/>
      <c r="H1029" s="1"/>
      <c r="I1029" s="1"/>
      <c r="J1029" s="1">
        <f>IF($F1029="","",IF($H1029="","Not rated",IF(OR($H1029=Lists!$B$3,$H1029=Lists!$B$5),IF(AND(LEFT(SUBSTITUTE($I1029," ",""),LEN($F1029)+1)=$F1029&amp;"-",LEN(SUBSTITUTE($I1029," ",""))&gt;LEN($F1029)+1),"OK","Comment required"),"OK")))</f>
      </c>
    </row>
    <row r="1030" spans="1:10" x14ac:dyDescent="0.25">
      <c r="A1030" s="1"/>
      <c r="B1030" s="20"/>
      <c r="C1030" s="1"/>
      <c r="D1030" s="1"/>
      <c r="E1030" s="1"/>
      <c r="F1030" s="1"/>
      <c r="G1030" s="1"/>
      <c r="H1030" s="1"/>
      <c r="I1030" s="1"/>
      <c r="J1030" s="1">
        <f>IF($F1030="","",IF($H1030="","Not rated",IF(OR($H1030=Lists!$B$3,$H1030=Lists!$B$5),IF(AND(LEFT(SUBSTITUTE($I1030," ",""),LEN($F1030)+1)=$F1030&amp;"-",LEN(SUBSTITUTE($I1030," ",""))&gt;LEN($F1030)+1),"OK","Comment required"),"OK")))</f>
      </c>
    </row>
    <row r="1031" spans="1:10" x14ac:dyDescent="0.25">
      <c r="A1031" s="1"/>
      <c r="B1031" s="20"/>
      <c r="C1031" s="1"/>
      <c r="D1031" s="1"/>
      <c r="E1031" s="1"/>
      <c r="F1031" s="1"/>
      <c r="G1031" s="1"/>
      <c r="H1031" s="1"/>
      <c r="I1031" s="1"/>
      <c r="J1031" s="1">
        <f>IF($F1031="","",IF($H1031="","Not rated",IF(OR($H1031=Lists!$B$3,$H1031=Lists!$B$5),IF(AND(LEFT(SUBSTITUTE($I1031," ",""),LEN($F1031)+1)=$F1031&amp;"-",LEN(SUBSTITUTE($I1031," ",""))&gt;LEN($F1031)+1),"OK","Comment required"),"OK")))</f>
      </c>
    </row>
    <row r="1032" spans="1:10" x14ac:dyDescent="0.25">
      <c r="A1032" s="1"/>
      <c r="B1032" s="20"/>
      <c r="C1032" s="1"/>
      <c r="D1032" s="1"/>
      <c r="E1032" s="1"/>
      <c r="F1032" s="1"/>
      <c r="G1032" s="1"/>
      <c r="H1032" s="1"/>
      <c r="I1032" s="1"/>
      <c r="J1032" s="1">
        <f>IF($F1032="","",IF($H1032="","Not rated",IF(OR($H1032=Lists!$B$3,$H1032=Lists!$B$5),IF(AND(LEFT(SUBSTITUTE($I1032," ",""),LEN($F1032)+1)=$F1032&amp;"-",LEN(SUBSTITUTE($I1032," ",""))&gt;LEN($F1032)+1),"OK","Comment required"),"OK")))</f>
      </c>
    </row>
    <row r="1033" spans="1:10" x14ac:dyDescent="0.25">
      <c r="A1033" s="1"/>
      <c r="B1033" s="20"/>
      <c r="C1033" s="1"/>
      <c r="D1033" s="1"/>
      <c r="E1033" s="1"/>
      <c r="F1033" s="1"/>
      <c r="G1033" s="1"/>
      <c r="H1033" s="1"/>
      <c r="I1033" s="1"/>
      <c r="J1033" s="1">
        <f>IF($F1033="","",IF($H1033="","Not rated",IF(OR($H1033=Lists!$B$3,$H1033=Lists!$B$5),IF(AND(LEFT(SUBSTITUTE($I1033," ",""),LEN($F1033)+1)=$F1033&amp;"-",LEN(SUBSTITUTE($I1033," ",""))&gt;LEN($F1033)+1),"OK","Comment required"),"OK")))</f>
      </c>
    </row>
    <row r="1034" spans="1:10" x14ac:dyDescent="0.25">
      <c r="A1034" s="1"/>
      <c r="B1034" s="20"/>
      <c r="C1034" s="1"/>
      <c r="D1034" s="1"/>
      <c r="E1034" s="1"/>
      <c r="F1034" s="1"/>
      <c r="G1034" s="1"/>
      <c r="H1034" s="1"/>
      <c r="I1034" s="1"/>
      <c r="J1034" s="1">
        <f>IF($F1034="","",IF($H1034="","Not rated",IF(OR($H1034=Lists!$B$3,$H1034=Lists!$B$5),IF(AND(LEFT(SUBSTITUTE($I1034," ",""),LEN($F1034)+1)=$F1034&amp;"-",LEN(SUBSTITUTE($I1034," ",""))&gt;LEN($F1034)+1),"OK","Comment required"),"OK")))</f>
      </c>
    </row>
    <row r="1035" spans="1:10" x14ac:dyDescent="0.25">
      <c r="A1035" s="1"/>
      <c r="B1035" s="20"/>
      <c r="C1035" s="1"/>
      <c r="D1035" s="1"/>
      <c r="E1035" s="1"/>
      <c r="F1035" s="1"/>
      <c r="G1035" s="1"/>
      <c r="H1035" s="1"/>
      <c r="I1035" s="1"/>
      <c r="J1035" s="1">
        <f>IF($F1035="","",IF($H1035="","Not rated",IF(OR($H1035=Lists!$B$3,$H1035=Lists!$B$5),IF(AND(LEFT(SUBSTITUTE($I1035," ",""),LEN($F1035)+1)=$F1035&amp;"-",LEN(SUBSTITUTE($I1035," ",""))&gt;LEN($F1035)+1),"OK","Comment required"),"OK")))</f>
      </c>
    </row>
    <row r="1036" spans="1:10" x14ac:dyDescent="0.25">
      <c r="A1036" s="1"/>
      <c r="B1036" s="20"/>
      <c r="C1036" s="1"/>
      <c r="D1036" s="1"/>
      <c r="E1036" s="1"/>
      <c r="F1036" s="1"/>
      <c r="G1036" s="1"/>
      <c r="H1036" s="1"/>
      <c r="I1036" s="1"/>
      <c r="J1036" s="1">
        <f>IF($F1036="","",IF($H1036="","Not rated",IF(OR($H1036=Lists!$B$3,$H1036=Lists!$B$5),IF(AND(LEFT(SUBSTITUTE($I1036," ",""),LEN($F1036)+1)=$F1036&amp;"-",LEN(SUBSTITUTE($I1036," ",""))&gt;LEN($F1036)+1),"OK","Comment required"),"OK")))</f>
      </c>
    </row>
    <row r="1037" spans="1:10" x14ac:dyDescent="0.25">
      <c r="A1037" s="1"/>
      <c r="B1037" s="20"/>
      <c r="C1037" s="1"/>
      <c r="D1037" s="1"/>
      <c r="E1037" s="1"/>
      <c r="F1037" s="1"/>
      <c r="G1037" s="1"/>
      <c r="H1037" s="1"/>
      <c r="I1037" s="1"/>
      <c r="J1037" s="1">
        <f>IF($F1037="","",IF($H1037="","Not rated",IF(OR($H1037=Lists!$B$3,$H1037=Lists!$B$5),IF(AND(LEFT(SUBSTITUTE($I1037," ",""),LEN($F1037)+1)=$F1037&amp;"-",LEN(SUBSTITUTE($I1037," ",""))&gt;LEN($F1037)+1),"OK","Comment required"),"OK")))</f>
      </c>
    </row>
    <row r="1038" spans="1:10" x14ac:dyDescent="0.25">
      <c r="A1038" s="1"/>
      <c r="B1038" s="20"/>
      <c r="C1038" s="1"/>
      <c r="D1038" s="1"/>
      <c r="E1038" s="1"/>
      <c r="F1038" s="1"/>
      <c r="G1038" s="1"/>
      <c r="H1038" s="1"/>
      <c r="I1038" s="1"/>
      <c r="J1038" s="1">
        <f>IF($F1038="","",IF($H1038="","Not rated",IF(OR($H1038=Lists!$B$3,$H1038=Lists!$B$5),IF(AND(LEFT(SUBSTITUTE($I1038," ",""),LEN($F1038)+1)=$F1038&amp;"-",LEN(SUBSTITUTE($I1038," ",""))&gt;LEN($F1038)+1),"OK","Comment required"),"OK")))</f>
      </c>
    </row>
    <row r="1039" spans="1:10" x14ac:dyDescent="0.25">
      <c r="A1039" s="1"/>
      <c r="B1039" s="20"/>
      <c r="C1039" s="1"/>
      <c r="D1039" s="1"/>
      <c r="E1039" s="1"/>
      <c r="F1039" s="1"/>
      <c r="G1039" s="1"/>
      <c r="H1039" s="1"/>
      <c r="I1039" s="1"/>
      <c r="J1039" s="1">
        <f>IF($F1039="","",IF($H1039="","Not rated",IF(OR($H1039=Lists!$B$3,$H1039=Lists!$B$5),IF(AND(LEFT(SUBSTITUTE($I1039," ",""),LEN($F1039)+1)=$F1039&amp;"-",LEN(SUBSTITUTE($I1039," ",""))&gt;LEN($F1039)+1),"OK","Comment required"),"OK")))</f>
      </c>
    </row>
    <row r="1040" spans="1:10" x14ac:dyDescent="0.25">
      <c r="A1040" s="1"/>
      <c r="B1040" s="20"/>
      <c r="C1040" s="1"/>
      <c r="D1040" s="1"/>
      <c r="E1040" s="1"/>
      <c r="F1040" s="1"/>
      <c r="G1040" s="1"/>
      <c r="H1040" s="1"/>
      <c r="I1040" s="1"/>
      <c r="J1040" s="1">
        <f>IF($F1040="","",IF($H1040="","Not rated",IF(OR($H1040=Lists!$B$3,$H1040=Lists!$B$5),IF(AND(LEFT(SUBSTITUTE($I1040," ",""),LEN($F1040)+1)=$F1040&amp;"-",LEN(SUBSTITUTE($I1040," ",""))&gt;LEN($F1040)+1),"OK","Comment required"),"OK")))</f>
      </c>
    </row>
    <row r="1041" spans="1:10" x14ac:dyDescent="0.25">
      <c r="A1041" s="1"/>
      <c r="B1041" s="20"/>
      <c r="C1041" s="1"/>
      <c r="D1041" s="1"/>
      <c r="E1041" s="1"/>
      <c r="F1041" s="1"/>
      <c r="G1041" s="1"/>
      <c r="H1041" s="1"/>
      <c r="I1041" s="1"/>
      <c r="J1041" s="1">
        <f>IF($F1041="","",IF($H1041="","Not rated",IF(OR($H1041=Lists!$B$3,$H1041=Lists!$B$5),IF(AND(LEFT(SUBSTITUTE($I1041," ",""),LEN($F1041)+1)=$F1041&amp;"-",LEN(SUBSTITUTE($I1041," ",""))&gt;LEN($F1041)+1),"OK","Comment required"),"OK")))</f>
      </c>
    </row>
    <row r="1042" spans="1:10" x14ac:dyDescent="0.25">
      <c r="A1042" s="1"/>
      <c r="B1042" s="20"/>
      <c r="C1042" s="1"/>
      <c r="D1042" s="1"/>
      <c r="E1042" s="1"/>
      <c r="F1042" s="1"/>
      <c r="G1042" s="1"/>
      <c r="H1042" s="1"/>
      <c r="I1042" s="1"/>
      <c r="J1042" s="1">
        <f>IF($F1042="","",IF($H1042="","Not rated",IF(OR($H1042=Lists!$B$3,$H1042=Lists!$B$5),IF(AND(LEFT(SUBSTITUTE($I1042," ",""),LEN($F1042)+1)=$F1042&amp;"-",LEN(SUBSTITUTE($I1042," ",""))&gt;LEN($F1042)+1),"OK","Comment required"),"OK")))</f>
      </c>
    </row>
    <row r="1043" spans="1:10" x14ac:dyDescent="0.25">
      <c r="A1043" s="1"/>
      <c r="B1043" s="20"/>
      <c r="C1043" s="1"/>
      <c r="D1043" s="1"/>
      <c r="E1043" s="1"/>
      <c r="F1043" s="1"/>
      <c r="G1043" s="1"/>
      <c r="H1043" s="1"/>
      <c r="I1043" s="1"/>
      <c r="J1043" s="1">
        <f>IF($F1043="","",IF($H1043="","Not rated",IF(OR($H1043=Lists!$B$3,$H1043=Lists!$B$5),IF(AND(LEFT(SUBSTITUTE($I1043," ",""),LEN($F1043)+1)=$F1043&amp;"-",LEN(SUBSTITUTE($I1043," ",""))&gt;LEN($F1043)+1),"OK","Comment required"),"OK")))</f>
      </c>
    </row>
    <row r="1044" spans="1:10" x14ac:dyDescent="0.25">
      <c r="A1044" s="1"/>
      <c r="B1044" s="20"/>
      <c r="C1044" s="1"/>
      <c r="D1044" s="1"/>
      <c r="E1044" s="1"/>
      <c r="F1044" s="1"/>
      <c r="G1044" s="1"/>
      <c r="H1044" s="1"/>
      <c r="I1044" s="1"/>
      <c r="J1044" s="1">
        <f>IF($F1044="","",IF($H1044="","Not rated",IF(OR($H1044=Lists!$B$3,$H1044=Lists!$B$5),IF(AND(LEFT(SUBSTITUTE($I1044," ",""),LEN($F1044)+1)=$F1044&amp;"-",LEN(SUBSTITUTE($I1044," ",""))&gt;LEN($F1044)+1),"OK","Comment required"),"OK")))</f>
      </c>
    </row>
    <row r="1045" spans="1:10" x14ac:dyDescent="0.25">
      <c r="A1045" s="1"/>
      <c r="B1045" s="20"/>
      <c r="C1045" s="1"/>
      <c r="D1045" s="1"/>
      <c r="E1045" s="1"/>
      <c r="F1045" s="1"/>
      <c r="G1045" s="1"/>
      <c r="H1045" s="1"/>
      <c r="I1045" s="1"/>
      <c r="J1045" s="1">
        <f>IF($F1045="","",IF($H1045="","Not rated",IF(OR($H1045=Lists!$B$3,$H1045=Lists!$B$5),IF(AND(LEFT(SUBSTITUTE($I1045," ",""),LEN($F1045)+1)=$F1045&amp;"-",LEN(SUBSTITUTE($I1045," ",""))&gt;LEN($F1045)+1),"OK","Comment required"),"OK")))</f>
      </c>
    </row>
    <row r="1046" spans="1:10" x14ac:dyDescent="0.25">
      <c r="A1046" s="1"/>
      <c r="B1046" s="20"/>
      <c r="C1046" s="1"/>
      <c r="D1046" s="1"/>
      <c r="E1046" s="1"/>
      <c r="F1046" s="1"/>
      <c r="G1046" s="1"/>
      <c r="H1046" s="1"/>
      <c r="I1046" s="1"/>
      <c r="J1046" s="1">
        <f>IF($F1046="","",IF($H1046="","Not rated",IF(OR($H1046=Lists!$B$3,$H1046=Lists!$B$5),IF(AND(LEFT(SUBSTITUTE($I1046," ",""),LEN($F1046)+1)=$F1046&amp;"-",LEN(SUBSTITUTE($I1046," ",""))&gt;LEN($F1046)+1),"OK","Comment required"),"OK")))</f>
      </c>
    </row>
    <row r="1047" spans="1:10" x14ac:dyDescent="0.25">
      <c r="A1047" s="1"/>
      <c r="B1047" s="20"/>
      <c r="C1047" s="1"/>
      <c r="D1047" s="1"/>
      <c r="E1047" s="1"/>
      <c r="F1047" s="1"/>
      <c r="G1047" s="1"/>
      <c r="H1047" s="1"/>
      <c r="I1047" s="1"/>
      <c r="J1047" s="1">
        <f>IF($F1047="","",IF($H1047="","Not rated",IF(OR($H1047=Lists!$B$3,$H1047=Lists!$B$5),IF(AND(LEFT(SUBSTITUTE($I1047," ",""),LEN($F1047)+1)=$F1047&amp;"-",LEN(SUBSTITUTE($I1047," ",""))&gt;LEN($F1047)+1),"OK","Comment required"),"OK")))</f>
      </c>
    </row>
    <row r="1048" spans="1:10" x14ac:dyDescent="0.25">
      <c r="A1048" s="1"/>
      <c r="B1048" s="20"/>
      <c r="C1048" s="1"/>
      <c r="D1048" s="1"/>
      <c r="E1048" s="1"/>
      <c r="F1048" s="1"/>
      <c r="G1048" s="1"/>
      <c r="H1048" s="1"/>
      <c r="I1048" s="1"/>
      <c r="J1048" s="1">
        <f>IF($F1048="","",IF($H1048="","Not rated",IF(OR($H1048=Lists!$B$3,$H1048=Lists!$B$5),IF(AND(LEFT(SUBSTITUTE($I1048," ",""),LEN($F1048)+1)=$F1048&amp;"-",LEN(SUBSTITUTE($I1048," ",""))&gt;LEN($F1048)+1),"OK","Comment required"),"OK")))</f>
      </c>
    </row>
    <row r="1049" spans="1:10" x14ac:dyDescent="0.25">
      <c r="A1049" s="1"/>
      <c r="B1049" s="20"/>
      <c r="C1049" s="1"/>
      <c r="D1049" s="1"/>
      <c r="E1049" s="1"/>
      <c r="F1049" s="1"/>
      <c r="G1049" s="1"/>
      <c r="H1049" s="1"/>
      <c r="I1049" s="1"/>
      <c r="J1049" s="1">
        <f>IF($F1049="","",IF($H1049="","Not rated",IF(OR($H1049=Lists!$B$3,$H1049=Lists!$B$5),IF(AND(LEFT(SUBSTITUTE($I1049," ",""),LEN($F1049)+1)=$F1049&amp;"-",LEN(SUBSTITUTE($I1049," ",""))&gt;LEN($F1049)+1),"OK","Comment required"),"OK")))</f>
      </c>
    </row>
    <row r="1050" spans="1:10" x14ac:dyDescent="0.25">
      <c r="A1050" s="1"/>
      <c r="B1050" s="20"/>
      <c r="C1050" s="1"/>
      <c r="D1050" s="1"/>
      <c r="E1050" s="1"/>
      <c r="F1050" s="1"/>
      <c r="G1050" s="1"/>
      <c r="H1050" s="1"/>
      <c r="I1050" s="1"/>
      <c r="J1050" s="1">
        <f>IF($F1050="","",IF($H1050="","Not rated",IF(OR($H1050=Lists!$B$3,$H1050=Lists!$B$5),IF(AND(LEFT(SUBSTITUTE($I1050," ",""),LEN($F1050)+1)=$F1050&amp;"-",LEN(SUBSTITUTE($I1050," ",""))&gt;LEN($F1050)+1),"OK","Comment required"),"OK")))</f>
      </c>
    </row>
    <row r="1051" spans="1:10" x14ac:dyDescent="0.25">
      <c r="A1051" s="1"/>
      <c r="B1051" s="20"/>
      <c r="C1051" s="1"/>
      <c r="D1051" s="1"/>
      <c r="E1051" s="1"/>
      <c r="F1051" s="1"/>
      <c r="G1051" s="1"/>
      <c r="H1051" s="1"/>
      <c r="I1051" s="1"/>
      <c r="J1051" s="1">
        <f>IF($F1051="","",IF($H1051="","Not rated",IF(OR($H1051=Lists!$B$3,$H1051=Lists!$B$5),IF(AND(LEFT(SUBSTITUTE($I1051," ",""),LEN($F1051)+1)=$F1051&amp;"-",LEN(SUBSTITUTE($I1051," ",""))&gt;LEN($F1051)+1),"OK","Comment required"),"OK")))</f>
      </c>
    </row>
    <row r="1052" spans="1:10" x14ac:dyDescent="0.25">
      <c r="A1052" s="1"/>
      <c r="B1052" s="20"/>
      <c r="C1052" s="1"/>
      <c r="D1052" s="1"/>
      <c r="E1052" s="1"/>
      <c r="F1052" s="1"/>
      <c r="G1052" s="1"/>
      <c r="H1052" s="1"/>
      <c r="I1052" s="1"/>
      <c r="J1052" s="1">
        <f>IF($F1052="","",IF($H1052="","Not rated",IF(OR($H1052=Lists!$B$3,$H1052=Lists!$B$5),IF(AND(LEFT(SUBSTITUTE($I1052," ",""),LEN($F1052)+1)=$F1052&amp;"-",LEN(SUBSTITUTE($I1052," ",""))&gt;LEN($F1052)+1),"OK","Comment required"),"OK")))</f>
      </c>
    </row>
    <row r="1053" spans="1:10" x14ac:dyDescent="0.25">
      <c r="A1053" s="1"/>
      <c r="B1053" s="20"/>
      <c r="C1053" s="1"/>
      <c r="D1053" s="1"/>
      <c r="E1053" s="1"/>
      <c r="F1053" s="1"/>
      <c r="G1053" s="1"/>
      <c r="H1053" s="1"/>
      <c r="I1053" s="1"/>
      <c r="J1053" s="1">
        <f>IF($F1053="","",IF($H1053="","Not rated",IF(OR($H1053=Lists!$B$3,$H1053=Lists!$B$5),IF(AND(LEFT(SUBSTITUTE($I1053," ",""),LEN($F1053)+1)=$F1053&amp;"-",LEN(SUBSTITUTE($I1053," ",""))&gt;LEN($F1053)+1),"OK","Comment required"),"OK")))</f>
      </c>
    </row>
    <row r="1054" spans="1:10" x14ac:dyDescent="0.25">
      <c r="A1054" s="1"/>
      <c r="B1054" s="20"/>
      <c r="C1054" s="1"/>
      <c r="D1054" s="1"/>
      <c r="E1054" s="1"/>
      <c r="F1054" s="1"/>
      <c r="G1054" s="1"/>
      <c r="H1054" s="1"/>
      <c r="I1054" s="1"/>
      <c r="J1054" s="1">
        <f>IF($F1054="","",IF($H1054="","Not rated",IF(OR($H1054=Lists!$B$3,$H1054=Lists!$B$5),IF(AND(LEFT(SUBSTITUTE($I1054," ",""),LEN($F1054)+1)=$F1054&amp;"-",LEN(SUBSTITUTE($I1054," ",""))&gt;LEN($F1054)+1),"OK","Comment required"),"OK")))</f>
      </c>
    </row>
    <row r="1055" spans="1:10" x14ac:dyDescent="0.25">
      <c r="A1055" s="1"/>
      <c r="B1055" s="20"/>
      <c r="C1055" s="1"/>
      <c r="D1055" s="1"/>
      <c r="E1055" s="1"/>
      <c r="F1055" s="1"/>
      <c r="G1055" s="1"/>
      <c r="H1055" s="1"/>
      <c r="I1055" s="1"/>
      <c r="J1055" s="1">
        <f>IF($F1055="","",IF($H1055="","Not rated",IF(OR($H1055=Lists!$B$3,$H1055=Lists!$B$5),IF(AND(LEFT(SUBSTITUTE($I1055," ",""),LEN($F1055)+1)=$F1055&amp;"-",LEN(SUBSTITUTE($I1055," ",""))&gt;LEN($F1055)+1),"OK","Comment required"),"OK")))</f>
      </c>
    </row>
    <row r="1056" spans="1:10" x14ac:dyDescent="0.25">
      <c r="A1056" s="1"/>
      <c r="B1056" s="20"/>
      <c r="C1056" s="1"/>
      <c r="D1056" s="1"/>
      <c r="E1056" s="1"/>
      <c r="F1056" s="1"/>
      <c r="G1056" s="1"/>
      <c r="H1056" s="1"/>
      <c r="I1056" s="1"/>
      <c r="J1056" s="1">
        <f>IF($F1056="","",IF($H1056="","Not rated",IF(OR($H1056=Lists!$B$3,$H1056=Lists!$B$5),IF(AND(LEFT(SUBSTITUTE($I1056," ",""),LEN($F1056)+1)=$F1056&amp;"-",LEN(SUBSTITUTE($I1056," ",""))&gt;LEN($F1056)+1),"OK","Comment required"),"OK")))</f>
      </c>
    </row>
    <row r="1057" spans="1:10" x14ac:dyDescent="0.25">
      <c r="A1057" s="1"/>
      <c r="B1057" s="20"/>
      <c r="C1057" s="1"/>
      <c r="D1057" s="1"/>
      <c r="E1057" s="1"/>
      <c r="F1057" s="1"/>
      <c r="G1057" s="1"/>
      <c r="H1057" s="1"/>
      <c r="I1057" s="1"/>
      <c r="J1057" s="1">
        <f>IF($F1057="","",IF($H1057="","Not rated",IF(OR($H1057=Lists!$B$3,$H1057=Lists!$B$5),IF(AND(LEFT(SUBSTITUTE($I1057," ",""),LEN($F1057)+1)=$F1057&amp;"-",LEN(SUBSTITUTE($I1057," ",""))&gt;LEN($F1057)+1),"OK","Comment required"),"OK")))</f>
      </c>
    </row>
    <row r="1058" spans="1:10" x14ac:dyDescent="0.25">
      <c r="A1058" s="1"/>
      <c r="B1058" s="20"/>
      <c r="C1058" s="1"/>
      <c r="D1058" s="1"/>
      <c r="E1058" s="1"/>
      <c r="F1058" s="1"/>
      <c r="G1058" s="1"/>
      <c r="H1058" s="1"/>
      <c r="I1058" s="1"/>
      <c r="J1058" s="1">
        <f>IF($F1058="","",IF($H1058="","Not rated",IF(OR($H1058=Lists!$B$3,$H1058=Lists!$B$5),IF(AND(LEFT(SUBSTITUTE($I1058," ",""),LEN($F1058)+1)=$F1058&amp;"-",LEN(SUBSTITUTE($I1058," ",""))&gt;LEN($F1058)+1),"OK","Comment required"),"OK")))</f>
      </c>
    </row>
    <row r="1059" spans="1:10" x14ac:dyDescent="0.25">
      <c r="A1059" s="1"/>
      <c r="B1059" s="20"/>
      <c r="C1059" s="1"/>
      <c r="D1059" s="1"/>
      <c r="E1059" s="1"/>
      <c r="F1059" s="1"/>
      <c r="G1059" s="1"/>
      <c r="H1059" s="1"/>
      <c r="I1059" s="1"/>
      <c r="J1059" s="1">
        <f>IF($F1059="","",IF($H1059="","Not rated",IF(OR($H1059=Lists!$B$3,$H1059=Lists!$B$5),IF(AND(LEFT(SUBSTITUTE($I1059," ",""),LEN($F1059)+1)=$F1059&amp;"-",LEN(SUBSTITUTE($I1059," ",""))&gt;LEN($F1059)+1),"OK","Comment required"),"OK")))</f>
      </c>
    </row>
    <row r="1060" spans="1:10" x14ac:dyDescent="0.25">
      <c r="A1060" s="1"/>
      <c r="B1060" s="20"/>
      <c r="C1060" s="1"/>
      <c r="D1060" s="1"/>
      <c r="E1060" s="1"/>
      <c r="F1060" s="1"/>
      <c r="G1060" s="1"/>
      <c r="H1060" s="1"/>
      <c r="I1060" s="1"/>
      <c r="J1060" s="1">
        <f>IF($F1060="","",IF($H1060="","Not rated",IF(OR($H1060=Lists!$B$3,$H1060=Lists!$B$5),IF(AND(LEFT(SUBSTITUTE($I1060," ",""),LEN($F1060)+1)=$F1060&amp;"-",LEN(SUBSTITUTE($I1060," ",""))&gt;LEN($F1060)+1),"OK","Comment required"),"OK")))</f>
      </c>
    </row>
    <row r="1061" spans="1:10" x14ac:dyDescent="0.25">
      <c r="A1061" s="1"/>
      <c r="B1061" s="20"/>
      <c r="C1061" s="1"/>
      <c r="D1061" s="1"/>
      <c r="E1061" s="1"/>
      <c r="F1061" s="1"/>
      <c r="G1061" s="1"/>
      <c r="H1061" s="1"/>
      <c r="I1061" s="1"/>
      <c r="J1061" s="1">
        <f>IF($F1061="","",IF($H1061="","Not rated",IF(OR($H1061=Lists!$B$3,$H1061=Lists!$B$5),IF(AND(LEFT(SUBSTITUTE($I1061," ",""),LEN($F1061)+1)=$F1061&amp;"-",LEN(SUBSTITUTE($I1061," ",""))&gt;LEN($F1061)+1),"OK","Comment required"),"OK")))</f>
      </c>
    </row>
    <row r="1062" spans="1:10" x14ac:dyDescent="0.25">
      <c r="A1062" s="1"/>
      <c r="B1062" s="20"/>
      <c r="C1062" s="1"/>
      <c r="D1062" s="1"/>
      <c r="E1062" s="1"/>
      <c r="F1062" s="1"/>
      <c r="G1062" s="1"/>
      <c r="H1062" s="1"/>
      <c r="I1062" s="1"/>
      <c r="J1062" s="1">
        <f>IF($F1062="","",IF($H1062="","Not rated",IF(OR($H1062=Lists!$B$3,$H1062=Lists!$B$5),IF(AND(LEFT(SUBSTITUTE($I1062," ",""),LEN($F1062)+1)=$F1062&amp;"-",LEN(SUBSTITUTE($I1062," ",""))&gt;LEN($F1062)+1),"OK","Comment required"),"OK")))</f>
      </c>
    </row>
    <row r="1063" spans="1:10" x14ac:dyDescent="0.25">
      <c r="A1063" s="1"/>
      <c r="B1063" s="20"/>
      <c r="C1063" s="1"/>
      <c r="D1063" s="1"/>
      <c r="E1063" s="1"/>
      <c r="F1063" s="1"/>
      <c r="G1063" s="1"/>
      <c r="H1063" s="1"/>
      <c r="I1063" s="1"/>
      <c r="J1063" s="1">
        <f>IF($F1063="","",IF($H1063="","Not rated",IF(OR($H1063=Lists!$B$3,$H1063=Lists!$B$5),IF(AND(LEFT(SUBSTITUTE($I1063," ",""),LEN($F1063)+1)=$F1063&amp;"-",LEN(SUBSTITUTE($I1063," ",""))&gt;LEN($F1063)+1),"OK","Comment required"),"OK")))</f>
      </c>
    </row>
    <row r="1064" spans="1:10" x14ac:dyDescent="0.25">
      <c r="A1064" s="1"/>
      <c r="B1064" s="20"/>
      <c r="C1064" s="1"/>
      <c r="D1064" s="1"/>
      <c r="E1064" s="1"/>
      <c r="F1064" s="1"/>
      <c r="G1064" s="1"/>
      <c r="H1064" s="1"/>
      <c r="I1064" s="1"/>
      <c r="J1064" s="1">
        <f>IF($F1064="","",IF($H1064="","Not rated",IF(OR($H1064=Lists!$B$3,$H1064=Lists!$B$5),IF(AND(LEFT(SUBSTITUTE($I1064," ",""),LEN($F1064)+1)=$F1064&amp;"-",LEN(SUBSTITUTE($I1064," ",""))&gt;LEN($F1064)+1),"OK","Comment required"),"OK")))</f>
      </c>
    </row>
    <row r="1065" spans="1:10" x14ac:dyDescent="0.25">
      <c r="A1065" s="1"/>
      <c r="B1065" s="20"/>
      <c r="C1065" s="1"/>
      <c r="D1065" s="1"/>
      <c r="E1065" s="1"/>
      <c r="F1065" s="1"/>
      <c r="G1065" s="1"/>
      <c r="H1065" s="1"/>
      <c r="I1065" s="1"/>
      <c r="J1065" s="1">
        <f>IF($F1065="","",IF($H1065="","Not rated",IF(OR($H1065=Lists!$B$3,$H1065=Lists!$B$5),IF(AND(LEFT(SUBSTITUTE($I1065," ",""),LEN($F1065)+1)=$F1065&amp;"-",LEN(SUBSTITUTE($I1065," ",""))&gt;LEN($F1065)+1),"OK","Comment required"),"OK")))</f>
      </c>
    </row>
    <row r="1066" spans="1:10" x14ac:dyDescent="0.25">
      <c r="A1066" s="1"/>
      <c r="B1066" s="20"/>
      <c r="C1066" s="1"/>
      <c r="D1066" s="1"/>
      <c r="E1066" s="1"/>
      <c r="F1066" s="1"/>
      <c r="G1066" s="1"/>
      <c r="H1066" s="1"/>
      <c r="I1066" s="1"/>
      <c r="J1066" s="1">
        <f>IF($F1066="","",IF($H1066="","Not rated",IF(OR($H1066=Lists!$B$3,$H1066=Lists!$B$5),IF(AND(LEFT(SUBSTITUTE($I1066," ",""),LEN($F1066)+1)=$F1066&amp;"-",LEN(SUBSTITUTE($I1066," ",""))&gt;LEN($F1066)+1),"OK","Comment required"),"OK")))</f>
      </c>
    </row>
    <row r="1067" spans="1:10" x14ac:dyDescent="0.25">
      <c r="A1067" s="1"/>
      <c r="B1067" s="20"/>
      <c r="C1067" s="1"/>
      <c r="D1067" s="1"/>
      <c r="E1067" s="1"/>
      <c r="F1067" s="1"/>
      <c r="G1067" s="1"/>
      <c r="H1067" s="1"/>
      <c r="I1067" s="1"/>
      <c r="J1067" s="1">
        <f>IF($F1067="","",IF($H1067="","Not rated",IF(OR($H1067=Lists!$B$3,$H1067=Lists!$B$5),IF(AND(LEFT(SUBSTITUTE($I1067," ",""),LEN($F1067)+1)=$F1067&amp;"-",LEN(SUBSTITUTE($I1067," ",""))&gt;LEN($F1067)+1),"OK","Comment required"),"OK")))</f>
      </c>
    </row>
    <row r="1068" spans="1:10" x14ac:dyDescent="0.25">
      <c r="A1068" s="1"/>
      <c r="B1068" s="20"/>
      <c r="C1068" s="1"/>
      <c r="D1068" s="1"/>
      <c r="E1068" s="1"/>
      <c r="F1068" s="1"/>
      <c r="G1068" s="1"/>
      <c r="H1068" s="1"/>
      <c r="I1068" s="1"/>
      <c r="J1068" s="1">
        <f>IF($F1068="","",IF($H1068="","Not rated",IF(OR($H1068=Lists!$B$3,$H1068=Lists!$B$5),IF(AND(LEFT(SUBSTITUTE($I1068," ",""),LEN($F1068)+1)=$F1068&amp;"-",LEN(SUBSTITUTE($I1068," ",""))&gt;LEN($F1068)+1),"OK","Comment required"),"OK")))</f>
      </c>
    </row>
    <row r="1069" spans="1:10" x14ac:dyDescent="0.25">
      <c r="A1069" s="1"/>
      <c r="B1069" s="20"/>
      <c r="C1069" s="1"/>
      <c r="D1069" s="1"/>
      <c r="E1069" s="1"/>
      <c r="F1069" s="1"/>
      <c r="G1069" s="1"/>
      <c r="H1069" s="1"/>
      <c r="I1069" s="1"/>
      <c r="J1069" s="1">
        <f>IF($F1069="","",IF($H1069="","Not rated",IF(OR($H1069=Lists!$B$3,$H1069=Lists!$B$5),IF(AND(LEFT(SUBSTITUTE($I1069," ",""),LEN($F1069)+1)=$F1069&amp;"-",LEN(SUBSTITUTE($I1069," ",""))&gt;LEN($F1069)+1),"OK","Comment required"),"OK")))</f>
      </c>
    </row>
    <row r="1070" spans="1:10" x14ac:dyDescent="0.25">
      <c r="A1070" s="1"/>
      <c r="B1070" s="20"/>
      <c r="C1070" s="1"/>
      <c r="D1070" s="1"/>
      <c r="E1070" s="1"/>
      <c r="F1070" s="1"/>
      <c r="G1070" s="1"/>
      <c r="H1070" s="1"/>
      <c r="I1070" s="1"/>
      <c r="J1070" s="1">
        <f>IF($F1070="","",IF($H1070="","Not rated",IF(OR($H1070=Lists!$B$3,$H1070=Lists!$B$5),IF(AND(LEFT(SUBSTITUTE($I1070," ",""),LEN($F1070)+1)=$F1070&amp;"-",LEN(SUBSTITUTE($I1070," ",""))&gt;LEN($F1070)+1),"OK","Comment required"),"OK")))</f>
      </c>
    </row>
    <row r="1071" spans="1:10" x14ac:dyDescent="0.25">
      <c r="A1071" s="1"/>
      <c r="B1071" s="20"/>
      <c r="C1071" s="1"/>
      <c r="D1071" s="1"/>
      <c r="E1071" s="1"/>
      <c r="F1071" s="1"/>
      <c r="G1071" s="1"/>
      <c r="H1071" s="1"/>
      <c r="I1071" s="1"/>
      <c r="J1071" s="1">
        <f>IF($F1071="","",IF($H1071="","Not rated",IF(OR($H1071=Lists!$B$3,$H1071=Lists!$B$5),IF(AND(LEFT(SUBSTITUTE($I1071," ",""),LEN($F1071)+1)=$F1071&amp;"-",LEN(SUBSTITUTE($I1071," ",""))&gt;LEN($F1071)+1),"OK","Comment required"),"OK")))</f>
      </c>
    </row>
    <row r="1072" spans="1:10" x14ac:dyDescent="0.25">
      <c r="A1072" s="1"/>
      <c r="B1072" s="20"/>
      <c r="C1072" s="1"/>
      <c r="D1072" s="1"/>
      <c r="E1072" s="1"/>
      <c r="F1072" s="1"/>
      <c r="G1072" s="1"/>
      <c r="H1072" s="1"/>
      <c r="I1072" s="1"/>
      <c r="J1072" s="1">
        <f>IF($F1072="","",IF($H1072="","Not rated",IF(OR($H1072=Lists!$B$3,$H1072=Lists!$B$5),IF(AND(LEFT(SUBSTITUTE($I1072," ",""),LEN($F1072)+1)=$F1072&amp;"-",LEN(SUBSTITUTE($I1072," ",""))&gt;LEN($F1072)+1),"OK","Comment required"),"OK")))</f>
      </c>
    </row>
    <row r="1073" spans="1:10" x14ac:dyDescent="0.25">
      <c r="A1073" s="1"/>
      <c r="B1073" s="20"/>
      <c r="C1073" s="1"/>
      <c r="D1073" s="1"/>
      <c r="E1073" s="1"/>
      <c r="F1073" s="1"/>
      <c r="G1073" s="1"/>
      <c r="H1073" s="1"/>
      <c r="I1073" s="1"/>
      <c r="J1073" s="1">
        <f>IF($F1073="","",IF($H1073="","Not rated",IF(OR($H1073=Lists!$B$3,$H1073=Lists!$B$5),IF(AND(LEFT(SUBSTITUTE($I1073," ",""),LEN($F1073)+1)=$F1073&amp;"-",LEN(SUBSTITUTE($I1073," ",""))&gt;LEN($F1073)+1),"OK","Comment required"),"OK")))</f>
      </c>
    </row>
    <row r="1074" spans="1:10" x14ac:dyDescent="0.25">
      <c r="A1074" s="1"/>
      <c r="B1074" s="20"/>
      <c r="C1074" s="1"/>
      <c r="D1074" s="1"/>
      <c r="E1074" s="1"/>
      <c r="F1074" s="1"/>
      <c r="G1074" s="1"/>
      <c r="H1074" s="1"/>
      <c r="I1074" s="1"/>
      <c r="J1074" s="1">
        <f>IF($F1074="","",IF($H1074="","Not rated",IF(OR($H1074=Lists!$B$3,$H1074=Lists!$B$5),IF(AND(LEFT(SUBSTITUTE($I1074," ",""),LEN($F1074)+1)=$F1074&amp;"-",LEN(SUBSTITUTE($I1074," ",""))&gt;LEN($F1074)+1),"OK","Comment required"),"OK")))</f>
      </c>
    </row>
    <row r="1075" spans="1:10" x14ac:dyDescent="0.25">
      <c r="A1075" s="1"/>
      <c r="B1075" s="20"/>
      <c r="C1075" s="1"/>
      <c r="D1075" s="1"/>
      <c r="E1075" s="1"/>
      <c r="F1075" s="1"/>
      <c r="G1075" s="1"/>
      <c r="H1075" s="1"/>
      <c r="I1075" s="1"/>
      <c r="J1075" s="1">
        <f>IF($F1075="","",IF($H1075="","Not rated",IF(OR($H1075=Lists!$B$3,$H1075=Lists!$B$5),IF(AND(LEFT(SUBSTITUTE($I1075," ",""),LEN($F1075)+1)=$F1075&amp;"-",LEN(SUBSTITUTE($I1075," ",""))&gt;LEN($F1075)+1),"OK","Comment required"),"OK")))</f>
      </c>
    </row>
    <row r="1076" spans="1:10" x14ac:dyDescent="0.25">
      <c r="A1076" s="1"/>
      <c r="B1076" s="20"/>
      <c r="C1076" s="1"/>
      <c r="D1076" s="1"/>
      <c r="E1076" s="1"/>
      <c r="F1076" s="1"/>
      <c r="G1076" s="1"/>
      <c r="H1076" s="1"/>
      <c r="I1076" s="1"/>
      <c r="J1076" s="1">
        <f>IF($F1076="","",IF($H1076="","Not rated",IF(OR($H1076=Lists!$B$3,$H1076=Lists!$B$5),IF(AND(LEFT(SUBSTITUTE($I1076," ",""),LEN($F1076)+1)=$F1076&amp;"-",LEN(SUBSTITUTE($I1076," ",""))&gt;LEN($F1076)+1),"OK","Comment required"),"OK")))</f>
      </c>
    </row>
    <row r="1077" spans="1:10" x14ac:dyDescent="0.25">
      <c r="A1077" s="1"/>
      <c r="B1077" s="20"/>
      <c r="C1077" s="1"/>
      <c r="D1077" s="1"/>
      <c r="E1077" s="1"/>
      <c r="F1077" s="1"/>
      <c r="G1077" s="1"/>
      <c r="H1077" s="1"/>
      <c r="I1077" s="1"/>
      <c r="J1077" s="1">
        <f>IF($F1077="","",IF($H1077="","Not rated",IF(OR($H1077=Lists!$B$3,$H1077=Lists!$B$5),IF(AND(LEFT(SUBSTITUTE($I1077," ",""),LEN($F1077)+1)=$F1077&amp;"-",LEN(SUBSTITUTE($I1077," ",""))&gt;LEN($F1077)+1),"OK","Comment required"),"OK")))</f>
      </c>
    </row>
    <row r="1078" spans="1:10" x14ac:dyDescent="0.25">
      <c r="A1078" s="1"/>
      <c r="B1078" s="20"/>
      <c r="C1078" s="1"/>
      <c r="D1078" s="1"/>
      <c r="E1078" s="1"/>
      <c r="F1078" s="1"/>
      <c r="G1078" s="1"/>
      <c r="H1078" s="1"/>
      <c r="I1078" s="1"/>
      <c r="J1078" s="1">
        <f>IF($F1078="","",IF($H1078="","Not rated",IF(OR($H1078=Lists!$B$3,$H1078=Lists!$B$5),IF(AND(LEFT(SUBSTITUTE($I1078," ",""),LEN($F1078)+1)=$F1078&amp;"-",LEN(SUBSTITUTE($I1078," ",""))&gt;LEN($F1078)+1),"OK","Comment required"),"OK")))</f>
      </c>
    </row>
    <row r="1079" spans="1:10" x14ac:dyDescent="0.25">
      <c r="A1079" s="1"/>
      <c r="B1079" s="20"/>
      <c r="C1079" s="1"/>
      <c r="D1079" s="1"/>
      <c r="E1079" s="1"/>
      <c r="F1079" s="1"/>
      <c r="G1079" s="1"/>
      <c r="H1079" s="1"/>
      <c r="I1079" s="1"/>
      <c r="J1079" s="1">
        <f>IF($F1079="","",IF($H1079="","Not rated",IF(OR($H1079=Lists!$B$3,$H1079=Lists!$B$5),IF(AND(LEFT(SUBSTITUTE($I1079," ",""),LEN($F1079)+1)=$F1079&amp;"-",LEN(SUBSTITUTE($I1079," ",""))&gt;LEN($F1079)+1),"OK","Comment required"),"OK")))</f>
      </c>
    </row>
    <row r="1080" spans="1:10" x14ac:dyDescent="0.25">
      <c r="A1080" s="1"/>
      <c r="B1080" s="20"/>
      <c r="C1080" s="1"/>
      <c r="D1080" s="1"/>
      <c r="E1080" s="1"/>
      <c r="F1080" s="1"/>
      <c r="G1080" s="1"/>
      <c r="H1080" s="1"/>
      <c r="I1080" s="1"/>
      <c r="J1080" s="1">
        <f>IF($F1080="","",IF($H1080="","Not rated",IF(OR($H1080=Lists!$B$3,$H1080=Lists!$B$5),IF(AND(LEFT(SUBSTITUTE($I1080," ",""),LEN($F1080)+1)=$F1080&amp;"-",LEN(SUBSTITUTE($I1080," ",""))&gt;LEN($F1080)+1),"OK","Comment required"),"OK")))</f>
      </c>
    </row>
    <row r="1081" spans="1:10" x14ac:dyDescent="0.25">
      <c r="A1081" s="1"/>
      <c r="B1081" s="20"/>
      <c r="C1081" s="1"/>
      <c r="D1081" s="1"/>
      <c r="E1081" s="1"/>
      <c r="F1081" s="1"/>
      <c r="G1081" s="1"/>
      <c r="H1081" s="1"/>
      <c r="I1081" s="1"/>
      <c r="J1081" s="1">
        <f>IF($F1081="","",IF($H1081="","Not rated",IF(OR($H1081=Lists!$B$3,$H1081=Lists!$B$5),IF(AND(LEFT(SUBSTITUTE($I1081," ",""),LEN($F1081)+1)=$F1081&amp;"-",LEN(SUBSTITUTE($I1081," ",""))&gt;LEN($F1081)+1),"OK","Comment required"),"OK")))</f>
      </c>
    </row>
    <row r="1082" spans="1:10" x14ac:dyDescent="0.25">
      <c r="A1082" s="1"/>
      <c r="B1082" s="20"/>
      <c r="C1082" s="1"/>
      <c r="D1082" s="1"/>
      <c r="E1082" s="1"/>
      <c r="F1082" s="1"/>
      <c r="G1082" s="1"/>
      <c r="H1082" s="1"/>
      <c r="I1082" s="1"/>
      <c r="J1082" s="1">
        <f>IF($F1082="","",IF($H1082="","Not rated",IF(OR($H1082=Lists!$B$3,$H1082=Lists!$B$5),IF(AND(LEFT(SUBSTITUTE($I1082," ",""),LEN($F1082)+1)=$F1082&amp;"-",LEN(SUBSTITUTE($I1082," ",""))&gt;LEN($F1082)+1),"OK","Comment required"),"OK")))</f>
      </c>
    </row>
    <row r="1083" spans="1:10" x14ac:dyDescent="0.25">
      <c r="A1083" s="1"/>
      <c r="B1083" s="20"/>
      <c r="C1083" s="1"/>
      <c r="D1083" s="1"/>
      <c r="E1083" s="1"/>
      <c r="F1083" s="1"/>
      <c r="G1083" s="1"/>
      <c r="H1083" s="1"/>
      <c r="I1083" s="1"/>
      <c r="J1083" s="1">
        <f>IF($F1083="","",IF($H1083="","Not rated",IF(OR($H1083=Lists!$B$3,$H1083=Lists!$B$5),IF(AND(LEFT(SUBSTITUTE($I1083," ",""),LEN($F1083)+1)=$F1083&amp;"-",LEN(SUBSTITUTE($I1083," ",""))&gt;LEN($F1083)+1),"OK","Comment required"),"OK")))</f>
      </c>
    </row>
    <row r="1084" spans="1:10" x14ac:dyDescent="0.25">
      <c r="A1084" s="1"/>
      <c r="B1084" s="20"/>
      <c r="C1084" s="1"/>
      <c r="D1084" s="1"/>
      <c r="E1084" s="1"/>
      <c r="F1084" s="1"/>
      <c r="G1084" s="1"/>
      <c r="H1084" s="1"/>
      <c r="I1084" s="1"/>
      <c r="J1084" s="1">
        <f>IF($F1084="","",IF($H1084="","Not rated",IF(OR($H1084=Lists!$B$3,$H1084=Lists!$B$5),IF(AND(LEFT(SUBSTITUTE($I1084," ",""),LEN($F1084)+1)=$F1084&amp;"-",LEN(SUBSTITUTE($I1084," ",""))&gt;LEN($F1084)+1),"OK","Comment required"),"OK")))</f>
      </c>
    </row>
    <row r="1085" spans="1:10" x14ac:dyDescent="0.25">
      <c r="A1085" s="1"/>
      <c r="B1085" s="20"/>
      <c r="C1085" s="1"/>
      <c r="D1085" s="1"/>
      <c r="E1085" s="1"/>
      <c r="F1085" s="1"/>
      <c r="G1085" s="1"/>
      <c r="H1085" s="1"/>
      <c r="I1085" s="1"/>
      <c r="J1085" s="1">
        <f>IF($F1085="","",IF($H1085="","Not rated",IF(OR($H1085=Lists!$B$3,$H1085=Lists!$B$5),IF(AND(LEFT(SUBSTITUTE($I1085," ",""),LEN($F1085)+1)=$F1085&amp;"-",LEN(SUBSTITUTE($I1085," ",""))&gt;LEN($F1085)+1),"OK","Comment required"),"OK")))</f>
      </c>
    </row>
    <row r="1086" spans="1:10" x14ac:dyDescent="0.25">
      <c r="A1086" s="1"/>
      <c r="B1086" s="20"/>
      <c r="C1086" s="1"/>
      <c r="D1086" s="1"/>
      <c r="E1086" s="1"/>
      <c r="F1086" s="1"/>
      <c r="G1086" s="1"/>
      <c r="H1086" s="1"/>
      <c r="I1086" s="1"/>
      <c r="J1086" s="1">
        <f>IF($F1086="","",IF($H1086="","Not rated",IF(OR($H1086=Lists!$B$3,$H1086=Lists!$B$5),IF(AND(LEFT(SUBSTITUTE($I1086," ",""),LEN($F1086)+1)=$F1086&amp;"-",LEN(SUBSTITUTE($I1086," ",""))&gt;LEN($F1086)+1),"OK","Comment required"),"OK")))</f>
      </c>
    </row>
    <row r="1087" spans="1:10" x14ac:dyDescent="0.25">
      <c r="A1087" s="1"/>
      <c r="B1087" s="20"/>
      <c r="C1087" s="1"/>
      <c r="D1087" s="1"/>
      <c r="E1087" s="1"/>
      <c r="F1087" s="1"/>
      <c r="G1087" s="1"/>
      <c r="H1087" s="1"/>
      <c r="I1087" s="1"/>
      <c r="J1087" s="1">
        <f>IF($F1087="","",IF($H1087="","Not rated",IF(OR($H1087=Lists!$B$3,$H1087=Lists!$B$5),IF(AND(LEFT(SUBSTITUTE($I1087," ",""),LEN($F1087)+1)=$F1087&amp;"-",LEN(SUBSTITUTE($I1087," ",""))&gt;LEN($F1087)+1),"OK","Comment required"),"OK")))</f>
      </c>
    </row>
    <row r="1088" spans="1:10" x14ac:dyDescent="0.25">
      <c r="A1088" s="1"/>
      <c r="B1088" s="20"/>
      <c r="C1088" s="1"/>
      <c r="D1088" s="1"/>
      <c r="E1088" s="1"/>
      <c r="F1088" s="1"/>
      <c r="G1088" s="1"/>
      <c r="H1088" s="1"/>
      <c r="I1088" s="1"/>
      <c r="J1088" s="1">
        <f>IF($F1088="","",IF($H1088="","Not rated",IF(OR($H1088=Lists!$B$3,$H1088=Lists!$B$5),IF(AND(LEFT(SUBSTITUTE($I1088," ",""),LEN($F1088)+1)=$F1088&amp;"-",LEN(SUBSTITUTE($I1088," ",""))&gt;LEN($F1088)+1),"OK","Comment required"),"OK")))</f>
      </c>
    </row>
    <row r="1089" spans="1:10" x14ac:dyDescent="0.25">
      <c r="A1089" s="1"/>
      <c r="B1089" s="20"/>
      <c r="C1089" s="1"/>
      <c r="D1089" s="1"/>
      <c r="E1089" s="1"/>
      <c r="F1089" s="1"/>
      <c r="G1089" s="1"/>
      <c r="H1089" s="1"/>
      <c r="I1089" s="1"/>
      <c r="J1089" s="1">
        <f>IF($F1089="","",IF($H1089="","Not rated",IF(OR($H1089=Lists!$B$3,$H1089=Lists!$B$5),IF(AND(LEFT(SUBSTITUTE($I1089," ",""),LEN($F1089)+1)=$F1089&amp;"-",LEN(SUBSTITUTE($I1089," ",""))&gt;LEN($F1089)+1),"OK","Comment required"),"OK")))</f>
      </c>
    </row>
    <row r="1090" spans="1:10" x14ac:dyDescent="0.25">
      <c r="A1090" s="1"/>
      <c r="B1090" s="20"/>
      <c r="C1090" s="1"/>
      <c r="D1090" s="1"/>
      <c r="E1090" s="1"/>
      <c r="F1090" s="1"/>
      <c r="G1090" s="1"/>
      <c r="H1090" s="1"/>
      <c r="I1090" s="1"/>
      <c r="J1090" s="1">
        <f>IF($F1090="","",IF($H1090="","Not rated",IF(OR($H1090=Lists!$B$3,$H1090=Lists!$B$5),IF(AND(LEFT(SUBSTITUTE($I1090," ",""),LEN($F1090)+1)=$F1090&amp;"-",LEN(SUBSTITUTE($I1090," ",""))&gt;LEN($F1090)+1),"OK","Comment required"),"OK")))</f>
      </c>
    </row>
    <row r="1091" spans="1:10" x14ac:dyDescent="0.25">
      <c r="A1091" s="1"/>
      <c r="B1091" s="20"/>
      <c r="C1091" s="1"/>
      <c r="D1091" s="1"/>
      <c r="E1091" s="1"/>
      <c r="F1091" s="1"/>
      <c r="G1091" s="1"/>
      <c r="H1091" s="1"/>
      <c r="I1091" s="1"/>
      <c r="J1091" s="1">
        <f>IF($F1091="","",IF($H1091="","Not rated",IF(OR($H1091=Lists!$B$3,$H1091=Lists!$B$5),IF(AND(LEFT(SUBSTITUTE($I1091," ",""),LEN($F1091)+1)=$F1091&amp;"-",LEN(SUBSTITUTE($I1091," ",""))&gt;LEN($F1091)+1),"OK","Comment required"),"OK")))</f>
      </c>
    </row>
    <row r="1092" spans="1:10" x14ac:dyDescent="0.25">
      <c r="A1092" s="1"/>
      <c r="B1092" s="20"/>
      <c r="C1092" s="1"/>
      <c r="D1092" s="1"/>
      <c r="E1092" s="1"/>
      <c r="F1092" s="1"/>
      <c r="G1092" s="1"/>
      <c r="H1092" s="1"/>
      <c r="I1092" s="1"/>
      <c r="J1092" s="1">
        <f>IF($F1092="","",IF($H1092="","Not rated",IF(OR($H1092=Lists!$B$3,$H1092=Lists!$B$5),IF(AND(LEFT(SUBSTITUTE($I1092," ",""),LEN($F1092)+1)=$F1092&amp;"-",LEN(SUBSTITUTE($I1092," ",""))&gt;LEN($F1092)+1),"OK","Comment required"),"OK")))</f>
      </c>
    </row>
    <row r="1093" spans="1:10" x14ac:dyDescent="0.25">
      <c r="A1093" s="1"/>
      <c r="B1093" s="20"/>
      <c r="C1093" s="1"/>
      <c r="D1093" s="1"/>
      <c r="E1093" s="1"/>
      <c r="F1093" s="1"/>
      <c r="G1093" s="1"/>
      <c r="H1093" s="1"/>
      <c r="I1093" s="1"/>
      <c r="J1093" s="1">
        <f>IF($F1093="","",IF($H1093="","Not rated",IF(OR($H1093=Lists!$B$3,$H1093=Lists!$B$5),IF(AND(LEFT(SUBSTITUTE($I1093," ",""),LEN($F1093)+1)=$F1093&amp;"-",LEN(SUBSTITUTE($I1093," ",""))&gt;LEN($F1093)+1),"OK","Comment required"),"OK")))</f>
      </c>
    </row>
    <row r="1094" spans="1:10" x14ac:dyDescent="0.25">
      <c r="A1094" s="1"/>
      <c r="B1094" s="20"/>
      <c r="C1094" s="1"/>
      <c r="D1094" s="1"/>
      <c r="E1094" s="1"/>
      <c r="F1094" s="1"/>
      <c r="G1094" s="1"/>
      <c r="H1094" s="1"/>
      <c r="I1094" s="1"/>
      <c r="J1094" s="1">
        <f>IF($F1094="","",IF($H1094="","Not rated",IF(OR($H1094=Lists!$B$3,$H1094=Lists!$B$5),IF(AND(LEFT(SUBSTITUTE($I1094," ",""),LEN($F1094)+1)=$F1094&amp;"-",LEN(SUBSTITUTE($I1094," ",""))&gt;LEN($F1094)+1),"OK","Comment required"),"OK")))</f>
      </c>
    </row>
    <row r="1095" spans="1:10" x14ac:dyDescent="0.25">
      <c r="A1095" s="1"/>
      <c r="B1095" s="20"/>
      <c r="C1095" s="1"/>
      <c r="D1095" s="1"/>
      <c r="E1095" s="1"/>
      <c r="F1095" s="1"/>
      <c r="G1095" s="1"/>
      <c r="H1095" s="1"/>
      <c r="I1095" s="1"/>
      <c r="J1095" s="1">
        <f>IF($F1095="","",IF($H1095="","Not rated",IF(OR($H1095=Lists!$B$3,$H1095=Lists!$B$5),IF(AND(LEFT(SUBSTITUTE($I1095," ",""),LEN($F1095)+1)=$F1095&amp;"-",LEN(SUBSTITUTE($I1095," ",""))&gt;LEN($F1095)+1),"OK","Comment required"),"OK")))</f>
      </c>
    </row>
    <row r="1096" spans="1:10" x14ac:dyDescent="0.25">
      <c r="A1096" s="1"/>
      <c r="B1096" s="20"/>
      <c r="C1096" s="1"/>
      <c r="D1096" s="1"/>
      <c r="E1096" s="1"/>
      <c r="F1096" s="1"/>
      <c r="G1096" s="1"/>
      <c r="H1096" s="1"/>
      <c r="I1096" s="1"/>
      <c r="J1096" s="1">
        <f>IF($F1096="","",IF($H1096="","Not rated",IF(OR($H1096=Lists!$B$3,$H1096=Lists!$B$5),IF(AND(LEFT(SUBSTITUTE($I1096," ",""),LEN($F1096)+1)=$F1096&amp;"-",LEN(SUBSTITUTE($I1096," ",""))&gt;LEN($F1096)+1),"OK","Comment required"),"OK")))</f>
      </c>
    </row>
    <row r="1097" spans="1:10" x14ac:dyDescent="0.25">
      <c r="A1097" s="1"/>
      <c r="B1097" s="20"/>
      <c r="C1097" s="1"/>
      <c r="D1097" s="1"/>
      <c r="E1097" s="1"/>
      <c r="F1097" s="1"/>
      <c r="G1097" s="1"/>
      <c r="H1097" s="1"/>
      <c r="I1097" s="1"/>
      <c r="J1097" s="1">
        <f>IF($F1097="","",IF($H1097="","Not rated",IF(OR($H1097=Lists!$B$3,$H1097=Lists!$B$5),IF(AND(LEFT(SUBSTITUTE($I1097," ",""),LEN($F1097)+1)=$F1097&amp;"-",LEN(SUBSTITUTE($I1097," ",""))&gt;LEN($F1097)+1),"OK","Comment required"),"OK")))</f>
      </c>
    </row>
    <row r="1098" spans="1:10" x14ac:dyDescent="0.25">
      <c r="A1098" s="1"/>
      <c r="B1098" s="20"/>
      <c r="C1098" s="1"/>
      <c r="D1098" s="1"/>
      <c r="E1098" s="1"/>
      <c r="F1098" s="1"/>
      <c r="G1098" s="1"/>
      <c r="H1098" s="1"/>
      <c r="I1098" s="1"/>
      <c r="J1098" s="1">
        <f>IF($F1098="","",IF($H1098="","Not rated",IF(OR($H1098=Lists!$B$3,$H1098=Lists!$B$5),IF(AND(LEFT(SUBSTITUTE($I1098," ",""),LEN($F1098)+1)=$F1098&amp;"-",LEN(SUBSTITUTE($I1098," ",""))&gt;LEN($F1098)+1),"OK","Comment required"),"OK")))</f>
      </c>
    </row>
    <row r="1099" spans="1:10" x14ac:dyDescent="0.25">
      <c r="A1099" s="1"/>
      <c r="B1099" s="20"/>
      <c r="C1099" s="1"/>
      <c r="D1099" s="1"/>
      <c r="E1099" s="1"/>
      <c r="F1099" s="1"/>
      <c r="G1099" s="1"/>
      <c r="H1099" s="1"/>
      <c r="I1099" s="1"/>
      <c r="J1099" s="1">
        <f>IF($F1099="","",IF($H1099="","Not rated",IF(OR($H1099=Lists!$B$3,$H1099=Lists!$B$5),IF(AND(LEFT(SUBSTITUTE($I1099," ",""),LEN($F1099)+1)=$F1099&amp;"-",LEN(SUBSTITUTE($I1099," ",""))&gt;LEN($F1099)+1),"OK","Comment required"),"OK")))</f>
      </c>
    </row>
    <row r="1100" spans="1:10" x14ac:dyDescent="0.25">
      <c r="A1100" s="1"/>
      <c r="B1100" s="20"/>
      <c r="C1100" s="1"/>
      <c r="D1100" s="1"/>
      <c r="E1100" s="1"/>
      <c r="F1100" s="1"/>
      <c r="G1100" s="1"/>
      <c r="H1100" s="1"/>
      <c r="I1100" s="1"/>
      <c r="J1100" s="1">
        <f>IF($F1100="","",IF($H1100="","Not rated",IF(OR($H1100=Lists!$B$3,$H1100=Lists!$B$5),IF(AND(LEFT(SUBSTITUTE($I1100," ",""),LEN($F1100)+1)=$F1100&amp;"-",LEN(SUBSTITUTE($I1100," ",""))&gt;LEN($F1100)+1),"OK","Comment required"),"OK")))</f>
      </c>
    </row>
    <row r="1101" spans="1:10" x14ac:dyDescent="0.25">
      <c r="A1101" s="1"/>
      <c r="B1101" s="20"/>
      <c r="C1101" s="1"/>
      <c r="D1101" s="1"/>
      <c r="E1101" s="1"/>
      <c r="F1101" s="1"/>
      <c r="G1101" s="1"/>
      <c r="H1101" s="1"/>
      <c r="I1101" s="1"/>
      <c r="J1101" s="1">
        <f>IF($F1101="","",IF($H1101="","Not rated",IF(OR($H1101=Lists!$B$3,$H1101=Lists!$B$5),IF(AND(LEFT(SUBSTITUTE($I1101," ",""),LEN($F1101)+1)=$F1101&amp;"-",LEN(SUBSTITUTE($I1101," ",""))&gt;LEN($F1101)+1),"OK","Comment required"),"OK")))</f>
      </c>
    </row>
    <row r="1102" spans="1:10" x14ac:dyDescent="0.25">
      <c r="A1102" s="1"/>
      <c r="B1102" s="20"/>
      <c r="C1102" s="1"/>
      <c r="D1102" s="1"/>
      <c r="E1102" s="1"/>
      <c r="F1102" s="1"/>
      <c r="G1102" s="1"/>
      <c r="H1102" s="1"/>
      <c r="I1102" s="1"/>
      <c r="J1102" s="1">
        <f>IF($F1102="","",IF($H1102="","Not rated",IF(OR($H1102=Lists!$B$3,$H1102=Lists!$B$5),IF(AND(LEFT(SUBSTITUTE($I1102," ",""),LEN($F1102)+1)=$F1102&amp;"-",LEN(SUBSTITUTE($I1102," ",""))&gt;LEN($F1102)+1),"OK","Comment required"),"OK")))</f>
      </c>
    </row>
    <row r="1103" spans="1:10" x14ac:dyDescent="0.25">
      <c r="A1103" s="1"/>
      <c r="B1103" s="20"/>
      <c r="C1103" s="1"/>
      <c r="D1103" s="1"/>
      <c r="E1103" s="1"/>
      <c r="F1103" s="1"/>
      <c r="G1103" s="1"/>
      <c r="H1103" s="1"/>
      <c r="I1103" s="1"/>
      <c r="J1103" s="1">
        <f>IF($F1103="","",IF($H1103="","Not rated",IF(OR($H1103=Lists!$B$3,$H1103=Lists!$B$5),IF(AND(LEFT(SUBSTITUTE($I1103," ",""),LEN($F1103)+1)=$F1103&amp;"-",LEN(SUBSTITUTE($I1103," ",""))&gt;LEN($F1103)+1),"OK","Comment required"),"OK")))</f>
      </c>
    </row>
    <row r="1104" spans="1:10" x14ac:dyDescent="0.25">
      <c r="A1104" s="1"/>
      <c r="B1104" s="20"/>
      <c r="C1104" s="1"/>
      <c r="D1104" s="1"/>
      <c r="E1104" s="1"/>
      <c r="F1104" s="1"/>
      <c r="G1104" s="1"/>
      <c r="H1104" s="1"/>
      <c r="I1104" s="1"/>
      <c r="J1104" s="1">
        <f>IF($F1104="","",IF($H1104="","Not rated",IF(OR($H1104=Lists!$B$3,$H1104=Lists!$B$5),IF(AND(LEFT(SUBSTITUTE($I1104," ",""),LEN($F1104)+1)=$F1104&amp;"-",LEN(SUBSTITUTE($I1104," ",""))&gt;LEN($F1104)+1),"OK","Comment required"),"OK")))</f>
      </c>
    </row>
    <row r="1105" spans="1:10" x14ac:dyDescent="0.25">
      <c r="A1105" s="1"/>
      <c r="B1105" s="20"/>
      <c r="C1105" s="1"/>
      <c r="D1105" s="1"/>
      <c r="E1105" s="1"/>
      <c r="F1105" s="1"/>
      <c r="G1105" s="1"/>
      <c r="H1105" s="1"/>
      <c r="I1105" s="1"/>
      <c r="J1105" s="1">
        <f>IF($F1105="","",IF($H1105="","Not rated",IF(OR($H1105=Lists!$B$3,$H1105=Lists!$B$5),IF(AND(LEFT(SUBSTITUTE($I1105," ",""),LEN($F1105)+1)=$F1105&amp;"-",LEN(SUBSTITUTE($I1105," ",""))&gt;LEN($F1105)+1),"OK","Comment required"),"OK")))</f>
      </c>
    </row>
    <row r="1106" spans="1:10" x14ac:dyDescent="0.25">
      <c r="A1106" s="1"/>
      <c r="B1106" s="20"/>
      <c r="C1106" s="1"/>
      <c r="D1106" s="1"/>
      <c r="E1106" s="1"/>
      <c r="F1106" s="1"/>
      <c r="G1106" s="1"/>
      <c r="H1106" s="1"/>
      <c r="I1106" s="1"/>
      <c r="J1106" s="1">
        <f>IF($F1106="","",IF($H1106="","Not rated",IF(OR($H1106=Lists!$B$3,$H1106=Lists!$B$5),IF(AND(LEFT(SUBSTITUTE($I1106," ",""),LEN($F1106)+1)=$F1106&amp;"-",LEN(SUBSTITUTE($I1106," ",""))&gt;LEN($F1106)+1),"OK","Comment required"),"OK")))</f>
      </c>
    </row>
    <row r="1107" spans="1:10" x14ac:dyDescent="0.25">
      <c r="A1107" s="1"/>
      <c r="B1107" s="20"/>
      <c r="C1107" s="1"/>
      <c r="D1107" s="1"/>
      <c r="E1107" s="1"/>
      <c r="F1107" s="1"/>
      <c r="G1107" s="1"/>
      <c r="H1107" s="1"/>
      <c r="I1107" s="1"/>
      <c r="J1107" s="1">
        <f>IF($F1107="","",IF($H1107="","Not rated",IF(OR($H1107=Lists!$B$3,$H1107=Lists!$B$5),IF(AND(LEFT(SUBSTITUTE($I1107," ",""),LEN($F1107)+1)=$F1107&amp;"-",LEN(SUBSTITUTE($I1107," ",""))&gt;LEN($F1107)+1),"OK","Comment required"),"OK")))</f>
      </c>
    </row>
    <row r="1108" spans="1:10" x14ac:dyDescent="0.25">
      <c r="A1108" s="1"/>
      <c r="B1108" s="20"/>
      <c r="C1108" s="1"/>
      <c r="D1108" s="1"/>
      <c r="E1108" s="1"/>
      <c r="F1108" s="1"/>
      <c r="G1108" s="1"/>
      <c r="H1108" s="1"/>
      <c r="I1108" s="1"/>
      <c r="J1108" s="1">
        <f>IF($F1108="","",IF($H1108="","Not rated",IF(OR($H1108=Lists!$B$3,$H1108=Lists!$B$5),IF(AND(LEFT(SUBSTITUTE($I1108," ",""),LEN($F1108)+1)=$F1108&amp;"-",LEN(SUBSTITUTE($I1108," ",""))&gt;LEN($F1108)+1),"OK","Comment required"),"OK")))</f>
      </c>
    </row>
    <row r="1109" spans="1:10" x14ac:dyDescent="0.25">
      <c r="A1109" s="1"/>
      <c r="B1109" s="20"/>
      <c r="C1109" s="1"/>
      <c r="D1109" s="1"/>
      <c r="E1109" s="1"/>
      <c r="F1109" s="1"/>
      <c r="G1109" s="1"/>
      <c r="H1109" s="1"/>
      <c r="I1109" s="1"/>
      <c r="J1109" s="1">
        <f>IF($F1109="","",IF($H1109="","Not rated",IF(OR($H1109=Lists!$B$3,$H1109=Lists!$B$5),IF(AND(LEFT(SUBSTITUTE($I1109," ",""),LEN($F1109)+1)=$F1109&amp;"-",LEN(SUBSTITUTE($I1109," ",""))&gt;LEN($F1109)+1),"OK","Comment required"),"OK")))</f>
      </c>
    </row>
    <row r="1110" spans="1:10" x14ac:dyDescent="0.25">
      <c r="A1110" s="1"/>
      <c r="B1110" s="20"/>
      <c r="C1110" s="1"/>
      <c r="D1110" s="1"/>
      <c r="E1110" s="1"/>
      <c r="F1110" s="1"/>
      <c r="G1110" s="1"/>
      <c r="H1110" s="1"/>
      <c r="I1110" s="1"/>
      <c r="J1110" s="1">
        <f>IF($F1110="","",IF($H1110="","Not rated",IF(OR($H1110=Lists!$B$3,$H1110=Lists!$B$5),IF(AND(LEFT(SUBSTITUTE($I1110," ",""),LEN($F1110)+1)=$F1110&amp;"-",LEN(SUBSTITUTE($I1110," ",""))&gt;LEN($F1110)+1),"OK","Comment required"),"OK")))</f>
      </c>
    </row>
    <row r="1111" spans="1:10" x14ac:dyDescent="0.25">
      <c r="A1111" s="1"/>
      <c r="B1111" s="20"/>
      <c r="C1111" s="1"/>
      <c r="D1111" s="1"/>
      <c r="E1111" s="1"/>
      <c r="F1111" s="1"/>
      <c r="G1111" s="1"/>
      <c r="H1111" s="1"/>
      <c r="I1111" s="1"/>
      <c r="J1111" s="1">
        <f>IF($F1111="","",IF($H1111="","Not rated",IF(OR($H1111=Lists!$B$3,$H1111=Lists!$B$5),IF(AND(LEFT(SUBSTITUTE($I1111," ",""),LEN($F1111)+1)=$F1111&amp;"-",LEN(SUBSTITUTE($I1111," ",""))&gt;LEN($F1111)+1),"OK","Comment required"),"OK")))</f>
      </c>
    </row>
    <row r="1112" spans="1:10" x14ac:dyDescent="0.25">
      <c r="A1112" s="1"/>
      <c r="B1112" s="20"/>
      <c r="C1112" s="1"/>
      <c r="D1112" s="1"/>
      <c r="E1112" s="1"/>
      <c r="F1112" s="1"/>
      <c r="G1112" s="1"/>
      <c r="H1112" s="1"/>
      <c r="I1112" s="1"/>
      <c r="J1112" s="1">
        <f>IF($F1112="","",IF($H1112="","Not rated",IF(OR($H1112=Lists!$B$3,$H1112=Lists!$B$5),IF(AND(LEFT(SUBSTITUTE($I1112," ",""),LEN($F1112)+1)=$F1112&amp;"-",LEN(SUBSTITUTE($I1112," ",""))&gt;LEN($F1112)+1),"OK","Comment required"),"OK")))</f>
      </c>
    </row>
    <row r="1113" spans="1:10" x14ac:dyDescent="0.25">
      <c r="A1113" s="1"/>
      <c r="B1113" s="20"/>
      <c r="C1113" s="1"/>
      <c r="D1113" s="1"/>
      <c r="E1113" s="1"/>
      <c r="F1113" s="1"/>
      <c r="G1113" s="1"/>
      <c r="H1113" s="1"/>
      <c r="I1113" s="1"/>
      <c r="J1113" s="1">
        <f>IF($F1113="","",IF($H1113="","Not rated",IF(OR($H1113=Lists!$B$3,$H1113=Lists!$B$5),IF(AND(LEFT(SUBSTITUTE($I1113," ",""),LEN($F1113)+1)=$F1113&amp;"-",LEN(SUBSTITUTE($I1113," ",""))&gt;LEN($F1113)+1),"OK","Comment required"),"OK")))</f>
      </c>
    </row>
    <row r="1114" spans="1:10" x14ac:dyDescent="0.25">
      <c r="A1114" s="1"/>
      <c r="B1114" s="20"/>
      <c r="C1114" s="1"/>
      <c r="D1114" s="1"/>
      <c r="E1114" s="1"/>
      <c r="F1114" s="1"/>
      <c r="G1114" s="1"/>
      <c r="H1114" s="1"/>
      <c r="I1114" s="1"/>
      <c r="J1114" s="1">
        <f>IF($F1114="","",IF($H1114="","Not rated",IF(OR($H1114=Lists!$B$3,$H1114=Lists!$B$5),IF(AND(LEFT(SUBSTITUTE($I1114," ",""),LEN($F1114)+1)=$F1114&amp;"-",LEN(SUBSTITUTE($I1114," ",""))&gt;LEN($F1114)+1),"OK","Comment required"),"OK")))</f>
      </c>
    </row>
    <row r="1115" spans="1:10" x14ac:dyDescent="0.25">
      <c r="A1115" s="1"/>
      <c r="B1115" s="20"/>
      <c r="C1115" s="1"/>
      <c r="D1115" s="1"/>
      <c r="E1115" s="1"/>
      <c r="F1115" s="1"/>
      <c r="G1115" s="1"/>
      <c r="H1115" s="1"/>
      <c r="I1115" s="1"/>
      <c r="J1115" s="1">
        <f>IF($F1115="","",IF($H1115="","Not rated",IF(OR($H1115=Lists!$B$3,$H1115=Lists!$B$5),IF(AND(LEFT(SUBSTITUTE($I1115," ",""),LEN($F1115)+1)=$F1115&amp;"-",LEN(SUBSTITUTE($I1115," ",""))&gt;LEN($F1115)+1),"OK","Comment required"),"OK")))</f>
      </c>
    </row>
    <row r="1116" spans="1:10" x14ac:dyDescent="0.25">
      <c r="A1116" s="1"/>
      <c r="B1116" s="20"/>
      <c r="C1116" s="1"/>
      <c r="D1116" s="1"/>
      <c r="E1116" s="1"/>
      <c r="F1116" s="1"/>
      <c r="G1116" s="1"/>
      <c r="H1116" s="1"/>
      <c r="I1116" s="1"/>
      <c r="J1116" s="1">
        <f>IF($F1116="","",IF($H1116="","Not rated",IF(OR($H1116=Lists!$B$3,$H1116=Lists!$B$5),IF(AND(LEFT(SUBSTITUTE($I1116," ",""),LEN($F1116)+1)=$F1116&amp;"-",LEN(SUBSTITUTE($I1116," ",""))&gt;LEN($F1116)+1),"OK","Comment required"),"OK")))</f>
      </c>
    </row>
    <row r="1117" spans="1:10" x14ac:dyDescent="0.25">
      <c r="A1117" s="1"/>
      <c r="B1117" s="20"/>
      <c r="C1117" s="1"/>
      <c r="D1117" s="1"/>
      <c r="E1117" s="1"/>
      <c r="F1117" s="1"/>
      <c r="G1117" s="1"/>
      <c r="H1117" s="1"/>
      <c r="I1117" s="1"/>
      <c r="J1117" s="1">
        <f>IF($F1117="","",IF($H1117="","Not rated",IF(OR($H1117=Lists!$B$3,$H1117=Lists!$B$5),IF(AND(LEFT(SUBSTITUTE($I1117," ",""),LEN($F1117)+1)=$F1117&amp;"-",LEN(SUBSTITUTE($I1117," ",""))&gt;LEN($F1117)+1),"OK","Comment required"),"OK")))</f>
      </c>
    </row>
    <row r="1118" spans="1:10" x14ac:dyDescent="0.25">
      <c r="A1118" s="1"/>
      <c r="B1118" s="20"/>
      <c r="C1118" s="1"/>
      <c r="D1118" s="1"/>
      <c r="E1118" s="1"/>
      <c r="F1118" s="1"/>
      <c r="G1118" s="1"/>
      <c r="H1118" s="1"/>
      <c r="I1118" s="1"/>
      <c r="J1118" s="1">
        <f>IF($F1118="","",IF($H1118="","Not rated",IF(OR($H1118=Lists!$B$3,$H1118=Lists!$B$5),IF(AND(LEFT(SUBSTITUTE($I1118," ",""),LEN($F1118)+1)=$F1118&amp;"-",LEN(SUBSTITUTE($I1118," ",""))&gt;LEN($F1118)+1),"OK","Comment required"),"OK")))</f>
      </c>
    </row>
    <row r="1119" spans="1:10" x14ac:dyDescent="0.25">
      <c r="A1119" s="1"/>
      <c r="B1119" s="20"/>
      <c r="C1119" s="1"/>
      <c r="D1119" s="1"/>
      <c r="E1119" s="1"/>
      <c r="F1119" s="1"/>
      <c r="G1119" s="1"/>
      <c r="H1119" s="1"/>
      <c r="I1119" s="1"/>
      <c r="J1119" s="1">
        <f>IF($F1119="","",IF($H1119="","Not rated",IF(OR($H1119=Lists!$B$3,$H1119=Lists!$B$5),IF(AND(LEFT(SUBSTITUTE($I1119," ",""),LEN($F1119)+1)=$F1119&amp;"-",LEN(SUBSTITUTE($I1119," ",""))&gt;LEN($F1119)+1),"OK","Comment required"),"OK")))</f>
      </c>
    </row>
    <row r="1120" spans="1:10" x14ac:dyDescent="0.25">
      <c r="A1120" s="1"/>
      <c r="B1120" s="20"/>
      <c r="C1120" s="1"/>
      <c r="D1120" s="1"/>
      <c r="E1120" s="1"/>
      <c r="F1120" s="1"/>
      <c r="G1120" s="1"/>
      <c r="H1120" s="1"/>
      <c r="I1120" s="1"/>
      <c r="J1120" s="1">
        <f>IF($F1120="","",IF($H1120="","Not rated",IF(OR($H1120=Lists!$B$3,$H1120=Lists!$B$5),IF(AND(LEFT(SUBSTITUTE($I1120," ",""),LEN($F1120)+1)=$F1120&amp;"-",LEN(SUBSTITUTE($I1120," ",""))&gt;LEN($F1120)+1),"OK","Comment required"),"OK")))</f>
      </c>
    </row>
    <row r="1121" spans="1:10" x14ac:dyDescent="0.25">
      <c r="A1121" s="1"/>
      <c r="B1121" s="20"/>
      <c r="C1121" s="1"/>
      <c r="D1121" s="1"/>
      <c r="E1121" s="1"/>
      <c r="F1121" s="1"/>
      <c r="G1121" s="1"/>
      <c r="H1121" s="1"/>
      <c r="I1121" s="1"/>
      <c r="J1121" s="1">
        <f>IF($F1121="","",IF($H1121="","Not rated",IF(OR($H1121=Lists!$B$3,$H1121=Lists!$B$5),IF(AND(LEFT(SUBSTITUTE($I1121," ",""),LEN($F1121)+1)=$F1121&amp;"-",LEN(SUBSTITUTE($I1121," ",""))&gt;LEN($F1121)+1),"OK","Comment required"),"OK")))</f>
      </c>
    </row>
    <row r="1122" spans="1:10" x14ac:dyDescent="0.25">
      <c r="A1122" s="1"/>
      <c r="B1122" s="20"/>
      <c r="C1122" s="1"/>
      <c r="D1122" s="1"/>
      <c r="E1122" s="1"/>
      <c r="F1122" s="1"/>
      <c r="G1122" s="1"/>
      <c r="H1122" s="1"/>
      <c r="I1122" s="1"/>
      <c r="J1122" s="1">
        <f>IF($F1122="","",IF($H1122="","Not rated",IF(OR($H1122=Lists!$B$3,$H1122=Lists!$B$5),IF(AND(LEFT(SUBSTITUTE($I1122," ",""),LEN($F1122)+1)=$F1122&amp;"-",LEN(SUBSTITUTE($I1122," ",""))&gt;LEN($F1122)+1),"OK","Comment required"),"OK")))</f>
      </c>
    </row>
    <row r="1123" spans="1:10" x14ac:dyDescent="0.25">
      <c r="A1123" s="1"/>
      <c r="B1123" s="20"/>
      <c r="C1123" s="1"/>
      <c r="D1123" s="1"/>
      <c r="E1123" s="1"/>
      <c r="F1123" s="1"/>
      <c r="G1123" s="1"/>
      <c r="H1123" s="1"/>
      <c r="I1123" s="1"/>
      <c r="J1123" s="1">
        <f>IF($F1123="","",IF($H1123="","Not rated",IF(OR($H1123=Lists!$B$3,$H1123=Lists!$B$5),IF(AND(LEFT(SUBSTITUTE($I1123," ",""),LEN($F1123)+1)=$F1123&amp;"-",LEN(SUBSTITUTE($I1123," ",""))&gt;LEN($F1123)+1),"OK","Comment required"),"OK")))</f>
      </c>
    </row>
    <row r="1124" spans="1:10" x14ac:dyDescent="0.25">
      <c r="A1124" s="1"/>
      <c r="B1124" s="20"/>
      <c r="C1124" s="1"/>
      <c r="D1124" s="1"/>
      <c r="E1124" s="1"/>
      <c r="F1124" s="1"/>
      <c r="G1124" s="1"/>
      <c r="H1124" s="1"/>
      <c r="I1124" s="1"/>
      <c r="J1124" s="1">
        <f>IF($F1124="","",IF($H1124="","Not rated",IF(OR($H1124=Lists!$B$3,$H1124=Lists!$B$5),IF(AND(LEFT(SUBSTITUTE($I1124," ",""),LEN($F1124)+1)=$F1124&amp;"-",LEN(SUBSTITUTE($I1124," ",""))&gt;LEN($F1124)+1),"OK","Comment required"),"OK")))</f>
      </c>
    </row>
    <row r="1125" spans="1:10" x14ac:dyDescent="0.25">
      <c r="A1125" s="1"/>
      <c r="B1125" s="20"/>
      <c r="C1125" s="1"/>
      <c r="D1125" s="1"/>
      <c r="E1125" s="1"/>
      <c r="F1125" s="1"/>
      <c r="G1125" s="1"/>
      <c r="H1125" s="1"/>
      <c r="I1125" s="1"/>
      <c r="J1125" s="1">
        <f>IF($F1125="","",IF($H1125="","Not rated",IF(OR($H1125=Lists!$B$3,$H1125=Lists!$B$5),IF(AND(LEFT(SUBSTITUTE($I1125," ",""),LEN($F1125)+1)=$F1125&amp;"-",LEN(SUBSTITUTE($I1125," ",""))&gt;LEN($F1125)+1),"OK","Comment required"),"OK")))</f>
      </c>
    </row>
    <row r="1126" spans="1:10" x14ac:dyDescent="0.25">
      <c r="A1126" s="1"/>
      <c r="B1126" s="20"/>
      <c r="C1126" s="1"/>
      <c r="D1126" s="1"/>
      <c r="E1126" s="1"/>
      <c r="F1126" s="1"/>
      <c r="G1126" s="1"/>
      <c r="H1126" s="1"/>
      <c r="I1126" s="1"/>
      <c r="J1126" s="1">
        <f>IF($F1126="","",IF($H1126="","Not rated",IF(OR($H1126=Lists!$B$3,$H1126=Lists!$B$5),IF(AND(LEFT(SUBSTITUTE($I1126," ",""),LEN($F1126)+1)=$F1126&amp;"-",LEN(SUBSTITUTE($I1126," ",""))&gt;LEN($F1126)+1),"OK","Comment required"),"OK")))</f>
      </c>
    </row>
    <row r="1127" spans="1:10" x14ac:dyDescent="0.25">
      <c r="A1127" s="1"/>
      <c r="B1127" s="20"/>
      <c r="C1127" s="1"/>
      <c r="D1127" s="1"/>
      <c r="E1127" s="1"/>
      <c r="F1127" s="1"/>
      <c r="G1127" s="1"/>
      <c r="H1127" s="1"/>
      <c r="I1127" s="1"/>
      <c r="J1127" s="1">
        <f>IF($F1127="","",IF($H1127="","Not rated",IF(OR($H1127=Lists!$B$3,$H1127=Lists!$B$5),IF(AND(LEFT(SUBSTITUTE($I1127," ",""),LEN($F1127)+1)=$F1127&amp;"-",LEN(SUBSTITUTE($I1127," ",""))&gt;LEN($F1127)+1),"OK","Comment required"),"OK")))</f>
      </c>
    </row>
    <row r="1128" spans="1:10" x14ac:dyDescent="0.25">
      <c r="A1128" s="1"/>
      <c r="B1128" s="20"/>
      <c r="C1128" s="1"/>
      <c r="D1128" s="1"/>
      <c r="E1128" s="1"/>
      <c r="F1128" s="1"/>
      <c r="G1128" s="1"/>
      <c r="H1128" s="1"/>
      <c r="I1128" s="1"/>
      <c r="J1128" s="1">
        <f>IF($F1128="","",IF($H1128="","Not rated",IF(OR($H1128=Lists!$B$3,$H1128=Lists!$B$5),IF(AND(LEFT(SUBSTITUTE($I1128," ",""),LEN($F1128)+1)=$F1128&amp;"-",LEN(SUBSTITUTE($I1128," ",""))&gt;LEN($F1128)+1),"OK","Comment required"),"OK")))</f>
      </c>
    </row>
    <row r="1129" spans="1:10" x14ac:dyDescent="0.25">
      <c r="A1129" s="1"/>
      <c r="B1129" s="20"/>
      <c r="C1129" s="1"/>
      <c r="D1129" s="1"/>
      <c r="E1129" s="1"/>
      <c r="F1129" s="1"/>
      <c r="G1129" s="1"/>
      <c r="H1129" s="1"/>
      <c r="I1129" s="1"/>
      <c r="J1129" s="1">
        <f>IF($F1129="","",IF($H1129="","Not rated",IF(OR($H1129=Lists!$B$3,$H1129=Lists!$B$5),IF(AND(LEFT(SUBSTITUTE($I1129," ",""),LEN($F1129)+1)=$F1129&amp;"-",LEN(SUBSTITUTE($I1129," ",""))&gt;LEN($F1129)+1),"OK","Comment required"),"OK")))</f>
      </c>
    </row>
    <row r="1130" spans="1:10" x14ac:dyDescent="0.25">
      <c r="A1130" s="1"/>
      <c r="B1130" s="20"/>
      <c r="C1130" s="1"/>
      <c r="D1130" s="1"/>
      <c r="E1130" s="1"/>
      <c r="F1130" s="1"/>
      <c r="G1130" s="1"/>
      <c r="H1130" s="1"/>
      <c r="I1130" s="1"/>
      <c r="J1130" s="1">
        <f>IF($F1130="","",IF($H1130="","Not rated",IF(OR($H1130=Lists!$B$3,$H1130=Lists!$B$5),IF(AND(LEFT(SUBSTITUTE($I1130," ",""),LEN($F1130)+1)=$F1130&amp;"-",LEN(SUBSTITUTE($I1130," ",""))&gt;LEN($F1130)+1),"OK","Comment required"),"OK")))</f>
      </c>
    </row>
    <row r="1131" spans="1:10" x14ac:dyDescent="0.25">
      <c r="A1131" s="1"/>
      <c r="B1131" s="20"/>
      <c r="C1131" s="1"/>
      <c r="D1131" s="1"/>
      <c r="E1131" s="1"/>
      <c r="F1131" s="1"/>
      <c r="G1131" s="1"/>
      <c r="H1131" s="1"/>
      <c r="I1131" s="1"/>
      <c r="J1131" s="1">
        <f>IF($F1131="","",IF($H1131="","Not rated",IF(OR($H1131=Lists!$B$3,$H1131=Lists!$B$5),IF(AND(LEFT(SUBSTITUTE($I1131," ",""),LEN($F1131)+1)=$F1131&amp;"-",LEN(SUBSTITUTE($I1131," ",""))&gt;LEN($F1131)+1),"OK","Comment required"),"OK")))</f>
      </c>
    </row>
    <row r="1132" spans="1:10" x14ac:dyDescent="0.25">
      <c r="A1132" s="1"/>
      <c r="B1132" s="20"/>
      <c r="C1132" s="1"/>
      <c r="D1132" s="1"/>
      <c r="E1132" s="1"/>
      <c r="F1132" s="1"/>
      <c r="G1132" s="1"/>
      <c r="H1132" s="1"/>
      <c r="I1132" s="1"/>
      <c r="J1132" s="1">
        <f>IF($F1132="","",IF($H1132="","Not rated",IF(OR($H1132=Lists!$B$3,$H1132=Lists!$B$5),IF(AND(LEFT(SUBSTITUTE($I1132," ",""),LEN($F1132)+1)=$F1132&amp;"-",LEN(SUBSTITUTE($I1132," ",""))&gt;LEN($F1132)+1),"OK","Comment required"),"OK")))</f>
      </c>
    </row>
    <row r="1133" spans="1:10" x14ac:dyDescent="0.25">
      <c r="A1133" s="1"/>
      <c r="B1133" s="20"/>
      <c r="C1133" s="1"/>
      <c r="D1133" s="1"/>
      <c r="E1133" s="1"/>
      <c r="F1133" s="1"/>
      <c r="G1133" s="1"/>
      <c r="H1133" s="1"/>
      <c r="I1133" s="1"/>
      <c r="J1133" s="1">
        <f>IF($F1133="","",IF($H1133="","Not rated",IF(OR($H1133=Lists!$B$3,$H1133=Lists!$B$5),IF(AND(LEFT(SUBSTITUTE($I1133," ",""),LEN($F1133)+1)=$F1133&amp;"-",LEN(SUBSTITUTE($I1133," ",""))&gt;LEN($F1133)+1),"OK","Comment required"),"OK")))</f>
      </c>
    </row>
    <row r="1134" spans="1:10" x14ac:dyDescent="0.25">
      <c r="A1134" s="1"/>
      <c r="B1134" s="20"/>
      <c r="C1134" s="1"/>
      <c r="D1134" s="1"/>
      <c r="E1134" s="1"/>
      <c r="F1134" s="1"/>
      <c r="G1134" s="1"/>
      <c r="H1134" s="1"/>
      <c r="I1134" s="1"/>
      <c r="J1134" s="1">
        <f>IF($F1134="","",IF($H1134="","Not rated",IF(OR($H1134=Lists!$B$3,$H1134=Lists!$B$5),IF(AND(LEFT(SUBSTITUTE($I1134," ",""),LEN($F1134)+1)=$F1134&amp;"-",LEN(SUBSTITUTE($I1134," ",""))&gt;LEN($F1134)+1),"OK","Comment required"),"OK")))</f>
      </c>
    </row>
    <row r="1135" spans="1:10" x14ac:dyDescent="0.25">
      <c r="A1135" s="1"/>
      <c r="B1135" s="20"/>
      <c r="C1135" s="1"/>
      <c r="D1135" s="1"/>
      <c r="E1135" s="1"/>
      <c r="F1135" s="1"/>
      <c r="G1135" s="1"/>
      <c r="H1135" s="1"/>
      <c r="I1135" s="1"/>
      <c r="J1135" s="1">
        <f>IF($F1135="","",IF($H1135="","Not rated",IF(OR($H1135=Lists!$B$3,$H1135=Lists!$B$5),IF(AND(LEFT(SUBSTITUTE($I1135," ",""),LEN($F1135)+1)=$F1135&amp;"-",LEN(SUBSTITUTE($I1135," ",""))&gt;LEN($F1135)+1),"OK","Comment required"),"OK")))</f>
      </c>
    </row>
    <row r="1136" spans="1:10" x14ac:dyDescent="0.25">
      <c r="A1136" s="1"/>
      <c r="B1136" s="20"/>
      <c r="C1136" s="1"/>
      <c r="D1136" s="1"/>
      <c r="E1136" s="1"/>
      <c r="F1136" s="1"/>
      <c r="G1136" s="1"/>
      <c r="H1136" s="1"/>
      <c r="I1136" s="1"/>
      <c r="J1136" s="1">
        <f>IF($F1136="","",IF($H1136="","Not rated",IF(OR($H1136=Lists!$B$3,$H1136=Lists!$B$5),IF(AND(LEFT(SUBSTITUTE($I1136," ",""),LEN($F1136)+1)=$F1136&amp;"-",LEN(SUBSTITUTE($I1136," ",""))&gt;LEN($F1136)+1),"OK","Comment required"),"OK")))</f>
      </c>
    </row>
    <row r="1137" spans="1:10" x14ac:dyDescent="0.25">
      <c r="A1137" s="1"/>
      <c r="B1137" s="20"/>
      <c r="C1137" s="1"/>
      <c r="D1137" s="1"/>
      <c r="E1137" s="1"/>
      <c r="F1137" s="1"/>
      <c r="G1137" s="1"/>
      <c r="H1137" s="1"/>
      <c r="I1137" s="1"/>
      <c r="J1137" s="1">
        <f>IF($F1137="","",IF($H1137="","Not rated",IF(OR($H1137=Lists!$B$3,$H1137=Lists!$B$5),IF(AND(LEFT(SUBSTITUTE($I1137," ",""),LEN($F1137)+1)=$F1137&amp;"-",LEN(SUBSTITUTE($I1137," ",""))&gt;LEN($F1137)+1),"OK","Comment required"),"OK")))</f>
      </c>
    </row>
    <row r="1138" spans="1:10" x14ac:dyDescent="0.25">
      <c r="A1138" s="1"/>
      <c r="B1138" s="20"/>
      <c r="C1138" s="1"/>
      <c r="D1138" s="1"/>
      <c r="E1138" s="1"/>
      <c r="F1138" s="1"/>
      <c r="G1138" s="1"/>
      <c r="H1138" s="1"/>
      <c r="I1138" s="1"/>
      <c r="J1138" s="1">
        <f>IF($F1138="","",IF($H1138="","Not rated",IF(OR($H1138=Lists!$B$3,$H1138=Lists!$B$5),IF(AND(LEFT(SUBSTITUTE($I1138," ",""),LEN($F1138)+1)=$F1138&amp;"-",LEN(SUBSTITUTE($I1138," ",""))&gt;LEN($F1138)+1),"OK","Comment required"),"OK")))</f>
      </c>
    </row>
    <row r="1139" spans="1:10" x14ac:dyDescent="0.25">
      <c r="A1139" s="1"/>
      <c r="B1139" s="20"/>
      <c r="C1139" s="1"/>
      <c r="D1139" s="1"/>
      <c r="E1139" s="1"/>
      <c r="F1139" s="1"/>
      <c r="G1139" s="1"/>
      <c r="H1139" s="1"/>
      <c r="I1139" s="1"/>
      <c r="J1139" s="1">
        <f>IF($F1139="","",IF($H1139="","Not rated",IF(OR($H1139=Lists!$B$3,$H1139=Lists!$B$5),IF(AND(LEFT(SUBSTITUTE($I1139," ",""),LEN($F1139)+1)=$F1139&amp;"-",LEN(SUBSTITUTE($I1139," ",""))&gt;LEN($F1139)+1),"OK","Comment required"),"OK")))</f>
      </c>
    </row>
    <row r="1140" spans="1:10" x14ac:dyDescent="0.25">
      <c r="A1140" s="1"/>
      <c r="B1140" s="20"/>
      <c r="C1140" s="1"/>
      <c r="D1140" s="1"/>
      <c r="E1140" s="1"/>
      <c r="F1140" s="1"/>
      <c r="G1140" s="1"/>
      <c r="H1140" s="1"/>
      <c r="I1140" s="1"/>
      <c r="J1140" s="1">
        <f>IF($F1140="","",IF($H1140="","Not rated",IF(OR($H1140=Lists!$B$3,$H1140=Lists!$B$5),IF(AND(LEFT(SUBSTITUTE($I1140," ",""),LEN($F1140)+1)=$F1140&amp;"-",LEN(SUBSTITUTE($I1140," ",""))&gt;LEN($F1140)+1),"OK","Comment required"),"OK")))</f>
      </c>
    </row>
    <row r="1141" spans="1:10" x14ac:dyDescent="0.25">
      <c r="A1141" s="1"/>
      <c r="B1141" s="20"/>
      <c r="C1141" s="1"/>
      <c r="D1141" s="1"/>
      <c r="E1141" s="1"/>
      <c r="F1141" s="1"/>
      <c r="G1141" s="1"/>
      <c r="H1141" s="1"/>
      <c r="I1141" s="1"/>
      <c r="J1141" s="1">
        <f>IF($F1141="","",IF($H1141="","Not rated",IF(OR($H1141=Lists!$B$3,$H1141=Lists!$B$5),IF(AND(LEFT(SUBSTITUTE($I1141," ",""),LEN($F1141)+1)=$F1141&amp;"-",LEN(SUBSTITUTE($I1141," ",""))&gt;LEN($F1141)+1),"OK","Comment required"),"OK")))</f>
      </c>
    </row>
    <row r="1142" spans="1:10" x14ac:dyDescent="0.25">
      <c r="A1142" s="1"/>
      <c r="B1142" s="20"/>
      <c r="C1142" s="1"/>
      <c r="D1142" s="1"/>
      <c r="E1142" s="1"/>
      <c r="F1142" s="1"/>
      <c r="G1142" s="1"/>
      <c r="H1142" s="1"/>
      <c r="I1142" s="1"/>
      <c r="J1142" s="1">
        <f>IF($F1142="","",IF($H1142="","Not rated",IF(OR($H1142=Lists!$B$3,$H1142=Lists!$B$5),IF(AND(LEFT(SUBSTITUTE($I1142," ",""),LEN($F1142)+1)=$F1142&amp;"-",LEN(SUBSTITUTE($I1142," ",""))&gt;LEN($F1142)+1),"OK","Comment required"),"OK")))</f>
      </c>
    </row>
    <row r="1143" spans="1:10" x14ac:dyDescent="0.25">
      <c r="A1143" s="1"/>
      <c r="B1143" s="20"/>
      <c r="C1143" s="1"/>
      <c r="D1143" s="1"/>
      <c r="E1143" s="1"/>
      <c r="F1143" s="1"/>
      <c r="G1143" s="1"/>
      <c r="H1143" s="1"/>
      <c r="I1143" s="1"/>
      <c r="J1143" s="1">
        <f>IF($F1143="","",IF($H1143="","Not rated",IF(OR($H1143=Lists!$B$3,$H1143=Lists!$B$5),IF(AND(LEFT(SUBSTITUTE($I1143," ",""),LEN($F1143)+1)=$F1143&amp;"-",LEN(SUBSTITUTE($I1143," ",""))&gt;LEN($F1143)+1),"OK","Comment required"),"OK")))</f>
      </c>
    </row>
    <row r="1144" spans="1:10" x14ac:dyDescent="0.25">
      <c r="A1144" s="1"/>
      <c r="B1144" s="20"/>
      <c r="C1144" s="1"/>
      <c r="D1144" s="1"/>
      <c r="E1144" s="1"/>
      <c r="F1144" s="1"/>
      <c r="G1144" s="1"/>
      <c r="H1144" s="1"/>
      <c r="I1144" s="1"/>
      <c r="J1144" s="1">
        <f>IF($F1144="","",IF($H1144="","Not rated",IF(OR($H1144=Lists!$B$3,$H1144=Lists!$B$5),IF(AND(LEFT(SUBSTITUTE($I1144," ",""),LEN($F1144)+1)=$F1144&amp;"-",LEN(SUBSTITUTE($I1144," ",""))&gt;LEN($F1144)+1),"OK","Comment required"),"OK")))</f>
      </c>
    </row>
    <row r="1145" spans="1:10" x14ac:dyDescent="0.25">
      <c r="A1145" s="1"/>
      <c r="B1145" s="20"/>
      <c r="C1145" s="1"/>
      <c r="D1145" s="1"/>
      <c r="E1145" s="1"/>
      <c r="F1145" s="1"/>
      <c r="G1145" s="1"/>
      <c r="H1145" s="1"/>
      <c r="I1145" s="1"/>
      <c r="J1145" s="1">
        <f>IF($F1145="","",IF($H1145="","Not rated",IF(OR($H1145=Lists!$B$3,$H1145=Lists!$B$5),IF(AND(LEFT(SUBSTITUTE($I1145," ",""),LEN($F1145)+1)=$F1145&amp;"-",LEN(SUBSTITUTE($I1145," ",""))&gt;LEN($F1145)+1),"OK","Comment required"),"OK")))</f>
      </c>
    </row>
    <row r="1146" spans="1:10" x14ac:dyDescent="0.25">
      <c r="A1146" s="1"/>
      <c r="B1146" s="20"/>
      <c r="C1146" s="1"/>
      <c r="D1146" s="1"/>
      <c r="E1146" s="1"/>
      <c r="F1146" s="1"/>
      <c r="G1146" s="1"/>
      <c r="H1146" s="1"/>
      <c r="I1146" s="1"/>
      <c r="J1146" s="1">
        <f>IF($F1146="","",IF($H1146="","Not rated",IF(OR($H1146=Lists!$B$3,$H1146=Lists!$B$5),IF(AND(LEFT(SUBSTITUTE($I1146," ",""),LEN($F1146)+1)=$F1146&amp;"-",LEN(SUBSTITUTE($I1146," ",""))&gt;LEN($F1146)+1),"OK","Comment required"),"OK")))</f>
      </c>
    </row>
    <row r="1147" spans="1:10" x14ac:dyDescent="0.25">
      <c r="A1147" s="1"/>
      <c r="B1147" s="20"/>
      <c r="C1147" s="1"/>
      <c r="D1147" s="1"/>
      <c r="E1147" s="1"/>
      <c r="F1147" s="1"/>
      <c r="G1147" s="1"/>
      <c r="H1147" s="1"/>
      <c r="I1147" s="1"/>
      <c r="J1147" s="1">
        <f>IF($F1147="","",IF($H1147="","Not rated",IF(OR($H1147=Lists!$B$3,$H1147=Lists!$B$5),IF(AND(LEFT(SUBSTITUTE($I1147," ",""),LEN($F1147)+1)=$F1147&amp;"-",LEN(SUBSTITUTE($I1147," ",""))&gt;LEN($F1147)+1),"OK","Comment required"),"OK")))</f>
      </c>
    </row>
    <row r="1148" spans="1:10" x14ac:dyDescent="0.25">
      <c r="A1148" s="1"/>
      <c r="B1148" s="20"/>
      <c r="C1148" s="1"/>
      <c r="D1148" s="1"/>
      <c r="E1148" s="1"/>
      <c r="F1148" s="1"/>
      <c r="G1148" s="1"/>
      <c r="H1148" s="1"/>
      <c r="I1148" s="1"/>
      <c r="J1148" s="1">
        <f>IF($F1148="","",IF($H1148="","Not rated",IF(OR($H1148=Lists!$B$3,$H1148=Lists!$B$5),IF(AND(LEFT(SUBSTITUTE($I1148," ",""),LEN($F1148)+1)=$F1148&amp;"-",LEN(SUBSTITUTE($I1148," ",""))&gt;LEN($F1148)+1),"OK","Comment required"),"OK")))</f>
      </c>
    </row>
    <row r="1149" spans="1:10" x14ac:dyDescent="0.25">
      <c r="A1149" s="1"/>
      <c r="B1149" s="20"/>
      <c r="C1149" s="1"/>
      <c r="D1149" s="1"/>
      <c r="E1149" s="1"/>
      <c r="F1149" s="1"/>
      <c r="G1149" s="1"/>
      <c r="H1149" s="1"/>
      <c r="I1149" s="1"/>
      <c r="J1149" s="1">
        <f>IF($F1149="","",IF($H1149="","Not rated",IF(OR($H1149=Lists!$B$3,$H1149=Lists!$B$5),IF(AND(LEFT(SUBSTITUTE($I1149," ",""),LEN($F1149)+1)=$F1149&amp;"-",LEN(SUBSTITUTE($I1149," ",""))&gt;LEN($F1149)+1),"OK","Comment required"),"OK")))</f>
      </c>
    </row>
    <row r="1150" spans="1:10" x14ac:dyDescent="0.25">
      <c r="A1150" s="1"/>
      <c r="B1150" s="20"/>
      <c r="C1150" s="1"/>
      <c r="D1150" s="1"/>
      <c r="E1150" s="1"/>
      <c r="F1150" s="1"/>
      <c r="G1150" s="1"/>
      <c r="H1150" s="1"/>
      <c r="I1150" s="1"/>
      <c r="J1150" s="1">
        <f>IF($F1150="","",IF($H1150="","Not rated",IF(OR($H1150=Lists!$B$3,$H1150=Lists!$B$5),IF(AND(LEFT(SUBSTITUTE($I1150," ",""),LEN($F1150)+1)=$F1150&amp;"-",LEN(SUBSTITUTE($I1150," ",""))&gt;LEN($F1150)+1),"OK","Comment required"),"OK")))</f>
      </c>
    </row>
    <row r="1151" spans="1:10" x14ac:dyDescent="0.25">
      <c r="A1151" s="1"/>
      <c r="B1151" s="20"/>
      <c r="C1151" s="1"/>
      <c r="D1151" s="1"/>
      <c r="E1151" s="1"/>
      <c r="F1151" s="1"/>
      <c r="G1151" s="1"/>
      <c r="H1151" s="1"/>
      <c r="I1151" s="1"/>
      <c r="J1151" s="1">
        <f>IF($F1151="","",IF($H1151="","Not rated",IF(OR($H1151=Lists!$B$3,$H1151=Lists!$B$5),IF(AND(LEFT(SUBSTITUTE($I1151," ",""),LEN($F1151)+1)=$F1151&amp;"-",LEN(SUBSTITUTE($I1151," ",""))&gt;LEN($F1151)+1),"OK","Comment required"),"OK")))</f>
      </c>
    </row>
    <row r="1152" spans="1:10" x14ac:dyDescent="0.25">
      <c r="A1152" s="1"/>
      <c r="B1152" s="20"/>
      <c r="C1152" s="1"/>
      <c r="D1152" s="1"/>
      <c r="E1152" s="1"/>
      <c r="F1152" s="1"/>
      <c r="G1152" s="1"/>
      <c r="H1152" s="1"/>
      <c r="I1152" s="1"/>
      <c r="J1152" s="1">
        <f>IF($F1152="","",IF($H1152="","Not rated",IF(OR($H1152=Lists!$B$3,$H1152=Lists!$B$5),IF(AND(LEFT(SUBSTITUTE($I1152," ",""),LEN($F1152)+1)=$F1152&amp;"-",LEN(SUBSTITUTE($I1152," ",""))&gt;LEN($F1152)+1),"OK","Comment required"),"OK")))</f>
      </c>
    </row>
    <row r="1153" spans="1:10" x14ac:dyDescent="0.25">
      <c r="A1153" s="1"/>
      <c r="B1153" s="20"/>
      <c r="C1153" s="1"/>
      <c r="D1153" s="1"/>
      <c r="E1153" s="1"/>
      <c r="F1153" s="1"/>
      <c r="G1153" s="1"/>
      <c r="H1153" s="1"/>
      <c r="I1153" s="1"/>
      <c r="J1153" s="1">
        <f>IF($F1153="","",IF($H1153="","Not rated",IF(OR($H1153=Lists!$B$3,$H1153=Lists!$B$5),IF(AND(LEFT(SUBSTITUTE($I1153," ",""),LEN($F1153)+1)=$F1153&amp;"-",LEN(SUBSTITUTE($I1153," ",""))&gt;LEN($F1153)+1),"OK","Comment required"),"OK")))</f>
      </c>
    </row>
    <row r="1154" spans="1:10" x14ac:dyDescent="0.25">
      <c r="A1154" s="1"/>
      <c r="B1154" s="20"/>
      <c r="C1154" s="1"/>
      <c r="D1154" s="1"/>
      <c r="E1154" s="1"/>
      <c r="F1154" s="1"/>
      <c r="G1154" s="1"/>
      <c r="H1154" s="1"/>
      <c r="I1154" s="1"/>
      <c r="J1154" s="1">
        <f>IF($F1154="","",IF($H1154="","Not rated",IF(OR($H1154=Lists!$B$3,$H1154=Lists!$B$5),IF(AND(LEFT(SUBSTITUTE($I1154," ",""),LEN($F1154)+1)=$F1154&amp;"-",LEN(SUBSTITUTE($I1154," ",""))&gt;LEN($F1154)+1),"OK","Comment required"),"OK")))</f>
      </c>
    </row>
    <row r="1155" spans="1:10" x14ac:dyDescent="0.25">
      <c r="A1155" s="1"/>
      <c r="B1155" s="20"/>
      <c r="C1155" s="1"/>
      <c r="D1155" s="1"/>
      <c r="E1155" s="1"/>
      <c r="F1155" s="1"/>
      <c r="G1155" s="1"/>
      <c r="H1155" s="1"/>
      <c r="I1155" s="1"/>
      <c r="J1155" s="1">
        <f>IF($F1155="","",IF($H1155="","Not rated",IF(OR($H1155=Lists!$B$3,$H1155=Lists!$B$5),IF(AND(LEFT(SUBSTITUTE($I1155," ",""),LEN($F1155)+1)=$F1155&amp;"-",LEN(SUBSTITUTE($I1155," ",""))&gt;LEN($F1155)+1),"OK","Comment required"),"OK")))</f>
      </c>
    </row>
    <row r="1156" spans="1:10" x14ac:dyDescent="0.25">
      <c r="A1156" s="1"/>
      <c r="B1156" s="20"/>
      <c r="C1156" s="1"/>
      <c r="D1156" s="1"/>
      <c r="E1156" s="1"/>
      <c r="F1156" s="1"/>
      <c r="G1156" s="1"/>
      <c r="H1156" s="1"/>
      <c r="I1156" s="1"/>
      <c r="J1156" s="1">
        <f>IF($F1156="","",IF($H1156="","Not rated",IF(OR($H1156=Lists!$B$3,$H1156=Lists!$B$5),IF(AND(LEFT(SUBSTITUTE($I1156," ",""),LEN($F1156)+1)=$F1156&amp;"-",LEN(SUBSTITUTE($I1156," ",""))&gt;LEN($F1156)+1),"OK","Comment required"),"OK")))</f>
      </c>
    </row>
    <row r="1157" spans="1:10" x14ac:dyDescent="0.25">
      <c r="A1157" s="1"/>
      <c r="B1157" s="20"/>
      <c r="C1157" s="1"/>
      <c r="D1157" s="1"/>
      <c r="E1157" s="1"/>
      <c r="F1157" s="1"/>
      <c r="G1157" s="1"/>
      <c r="H1157" s="1"/>
      <c r="I1157" s="1"/>
      <c r="J1157" s="1">
        <f>IF($F1157="","",IF($H1157="","Not rated",IF(OR($H1157=Lists!$B$3,$H1157=Lists!$B$5),IF(AND(LEFT(SUBSTITUTE($I1157," ",""),LEN($F1157)+1)=$F1157&amp;"-",LEN(SUBSTITUTE($I1157," ",""))&gt;LEN($F1157)+1),"OK","Comment required"),"OK")))</f>
      </c>
    </row>
    <row r="1158" spans="1:10" x14ac:dyDescent="0.25">
      <c r="A1158" s="1"/>
      <c r="B1158" s="20"/>
      <c r="C1158" s="1"/>
      <c r="D1158" s="1"/>
      <c r="E1158" s="1"/>
      <c r="F1158" s="1"/>
      <c r="G1158" s="1"/>
      <c r="H1158" s="1"/>
      <c r="I1158" s="1"/>
      <c r="J1158" s="1">
        <f>IF($F1158="","",IF($H1158="","Not rated",IF(OR($H1158=Lists!$B$3,$H1158=Lists!$B$5),IF(AND(LEFT(SUBSTITUTE($I1158," ",""),LEN($F1158)+1)=$F1158&amp;"-",LEN(SUBSTITUTE($I1158," ",""))&gt;LEN($F1158)+1),"OK","Comment required"),"OK")))</f>
      </c>
    </row>
    <row r="1159" spans="1:10" x14ac:dyDescent="0.25">
      <c r="A1159" s="1"/>
      <c r="B1159" s="20"/>
      <c r="C1159" s="1"/>
      <c r="D1159" s="1"/>
      <c r="E1159" s="1"/>
      <c r="F1159" s="1"/>
      <c r="G1159" s="1"/>
      <c r="H1159" s="1"/>
      <c r="I1159" s="1"/>
      <c r="J1159" s="1">
        <f>IF($F1159="","",IF($H1159="","Not rated",IF(OR($H1159=Lists!$B$3,$H1159=Lists!$B$5),IF(AND(LEFT(SUBSTITUTE($I1159," ",""),LEN($F1159)+1)=$F1159&amp;"-",LEN(SUBSTITUTE($I1159," ",""))&gt;LEN($F1159)+1),"OK","Comment required"),"OK")))</f>
      </c>
    </row>
    <row r="1160" spans="1:10" x14ac:dyDescent="0.25">
      <c r="A1160" s="1"/>
      <c r="B1160" s="20"/>
      <c r="C1160" s="1"/>
      <c r="D1160" s="1"/>
      <c r="E1160" s="1"/>
      <c r="F1160" s="1"/>
      <c r="G1160" s="1"/>
      <c r="H1160" s="1"/>
      <c r="I1160" s="1"/>
      <c r="J1160" s="1">
        <f>IF($F1160="","",IF($H1160="","Not rated",IF(OR($H1160=Lists!$B$3,$H1160=Lists!$B$5),IF(AND(LEFT(SUBSTITUTE($I1160," ",""),LEN($F1160)+1)=$F1160&amp;"-",LEN(SUBSTITUTE($I1160," ",""))&gt;LEN($F1160)+1),"OK","Comment required"),"OK")))</f>
      </c>
    </row>
    <row r="1161" spans="1:10" x14ac:dyDescent="0.25">
      <c r="A1161" s="1"/>
      <c r="B1161" s="20"/>
      <c r="C1161" s="1"/>
      <c r="D1161" s="1"/>
      <c r="E1161" s="1"/>
      <c r="F1161" s="1"/>
      <c r="G1161" s="1"/>
      <c r="H1161" s="1"/>
      <c r="I1161" s="1"/>
      <c r="J1161" s="1">
        <f>IF($F1161="","",IF($H1161="","Not rated",IF(OR($H1161=Lists!$B$3,$H1161=Lists!$B$5),IF(AND(LEFT(SUBSTITUTE($I1161," ",""),LEN($F1161)+1)=$F1161&amp;"-",LEN(SUBSTITUTE($I1161," ",""))&gt;LEN($F1161)+1),"OK","Comment required"),"OK")))</f>
      </c>
    </row>
    <row r="1162" spans="1:10" x14ac:dyDescent="0.25">
      <c r="A1162" s="1"/>
      <c r="B1162" s="20"/>
      <c r="C1162" s="1"/>
      <c r="D1162" s="1"/>
      <c r="E1162" s="1"/>
      <c r="F1162" s="1"/>
      <c r="G1162" s="1"/>
      <c r="H1162" s="1"/>
      <c r="I1162" s="1"/>
      <c r="J1162" s="1">
        <f>IF($F1162="","",IF($H1162="","Not rated",IF(OR($H1162=Lists!$B$3,$H1162=Lists!$B$5),IF(AND(LEFT(SUBSTITUTE($I1162," ",""),LEN($F1162)+1)=$F1162&amp;"-",LEN(SUBSTITUTE($I1162," ",""))&gt;LEN($F1162)+1),"OK","Comment required"),"OK")))</f>
      </c>
    </row>
    <row r="1163" spans="1:10" x14ac:dyDescent="0.25">
      <c r="A1163" s="1"/>
      <c r="B1163" s="20"/>
      <c r="C1163" s="1"/>
      <c r="D1163" s="1"/>
      <c r="E1163" s="1"/>
      <c r="F1163" s="1"/>
      <c r="G1163" s="1"/>
      <c r="H1163" s="1"/>
      <c r="I1163" s="1"/>
      <c r="J1163" s="1">
        <f>IF($F1163="","",IF($H1163="","Not rated",IF(OR($H1163=Lists!$B$3,$H1163=Lists!$B$5),IF(AND(LEFT(SUBSTITUTE($I1163," ",""),LEN($F1163)+1)=$F1163&amp;"-",LEN(SUBSTITUTE($I1163," ",""))&gt;LEN($F1163)+1),"OK","Comment required"),"OK")))</f>
      </c>
    </row>
    <row r="1164" spans="1:10" x14ac:dyDescent="0.25">
      <c r="A1164" s="1"/>
      <c r="B1164" s="20"/>
      <c r="C1164" s="1"/>
      <c r="D1164" s="1"/>
      <c r="E1164" s="1"/>
      <c r="F1164" s="1"/>
      <c r="G1164" s="1"/>
      <c r="H1164" s="1"/>
      <c r="I1164" s="1"/>
      <c r="J1164" s="1">
        <f>IF($F1164="","",IF($H1164="","Not rated",IF(OR($H1164=Lists!$B$3,$H1164=Lists!$B$5),IF(AND(LEFT(SUBSTITUTE($I1164," ",""),LEN($F1164)+1)=$F1164&amp;"-",LEN(SUBSTITUTE($I1164," ",""))&gt;LEN($F1164)+1),"OK","Comment required"),"OK")))</f>
      </c>
    </row>
    <row r="1165" spans="1:10" x14ac:dyDescent="0.25">
      <c r="A1165" s="1"/>
      <c r="B1165" s="20"/>
      <c r="C1165" s="1"/>
      <c r="D1165" s="1"/>
      <c r="E1165" s="1"/>
      <c r="F1165" s="1"/>
      <c r="G1165" s="1"/>
      <c r="H1165" s="1"/>
      <c r="I1165" s="1"/>
      <c r="J1165" s="1">
        <f>IF($F1165="","",IF($H1165="","Not rated",IF(OR($H1165=Lists!$B$3,$H1165=Lists!$B$5),IF(AND(LEFT(SUBSTITUTE($I1165," ",""),LEN($F1165)+1)=$F1165&amp;"-",LEN(SUBSTITUTE($I1165," ",""))&gt;LEN($F1165)+1),"OK","Comment required"),"OK")))</f>
      </c>
    </row>
    <row r="1166" spans="1:10" x14ac:dyDescent="0.25">
      <c r="A1166" s="1"/>
      <c r="B1166" s="20"/>
      <c r="C1166" s="1"/>
      <c r="D1166" s="1"/>
      <c r="E1166" s="1"/>
      <c r="F1166" s="1"/>
      <c r="G1166" s="1"/>
      <c r="H1166" s="1"/>
      <c r="I1166" s="1"/>
      <c r="J1166" s="1">
        <f>IF($F1166="","",IF($H1166="","Not rated",IF(OR($H1166=Lists!$B$3,$H1166=Lists!$B$5),IF(AND(LEFT(SUBSTITUTE($I1166," ",""),LEN($F1166)+1)=$F1166&amp;"-",LEN(SUBSTITUTE($I1166," ",""))&gt;LEN($F1166)+1),"OK","Comment required"),"OK")))</f>
      </c>
    </row>
    <row r="1167" spans="1:10" x14ac:dyDescent="0.25">
      <c r="A1167" s="1"/>
      <c r="B1167" s="20"/>
      <c r="C1167" s="1"/>
      <c r="D1167" s="1"/>
      <c r="E1167" s="1"/>
      <c r="F1167" s="1"/>
      <c r="G1167" s="1"/>
      <c r="H1167" s="1"/>
      <c r="I1167" s="1"/>
      <c r="J1167" s="1">
        <f>IF($F1167="","",IF($H1167="","Not rated",IF(OR($H1167=Lists!$B$3,$H1167=Lists!$B$5),IF(AND(LEFT(SUBSTITUTE($I1167," ",""),LEN($F1167)+1)=$F1167&amp;"-",LEN(SUBSTITUTE($I1167," ",""))&gt;LEN($F1167)+1),"OK","Comment required"),"OK")))</f>
      </c>
    </row>
    <row r="1168" spans="1:10" x14ac:dyDescent="0.25">
      <c r="A1168" s="1"/>
      <c r="B1168" s="20"/>
      <c r="C1168" s="1"/>
      <c r="D1168" s="1"/>
      <c r="E1168" s="1"/>
      <c r="F1168" s="1"/>
      <c r="G1168" s="1"/>
      <c r="H1168" s="1"/>
      <c r="I1168" s="1"/>
      <c r="J1168" s="1">
        <f>IF($F1168="","",IF($H1168="","Not rated",IF(OR($H1168=Lists!$B$3,$H1168=Lists!$B$5),IF(AND(LEFT(SUBSTITUTE($I1168," ",""),LEN($F1168)+1)=$F1168&amp;"-",LEN(SUBSTITUTE($I1168," ",""))&gt;LEN($F1168)+1),"OK","Comment required"),"OK")))</f>
      </c>
    </row>
    <row r="1169" spans="1:10" x14ac:dyDescent="0.25">
      <c r="A1169" s="1"/>
      <c r="B1169" s="20"/>
      <c r="C1169" s="1"/>
      <c r="D1169" s="1"/>
      <c r="E1169" s="1"/>
      <c r="F1169" s="1"/>
      <c r="G1169" s="1"/>
      <c r="H1169" s="1"/>
      <c r="I1169" s="1"/>
      <c r="J1169" s="1">
        <f>IF($F1169="","",IF($H1169="","Not rated",IF(OR($H1169=Lists!$B$3,$H1169=Lists!$B$5),IF(AND(LEFT(SUBSTITUTE($I1169," ",""),LEN($F1169)+1)=$F1169&amp;"-",LEN(SUBSTITUTE($I1169," ",""))&gt;LEN($F1169)+1),"OK","Comment required"),"OK")))</f>
      </c>
    </row>
    <row r="1170" spans="1:10" x14ac:dyDescent="0.25">
      <c r="A1170" s="1"/>
      <c r="B1170" s="20"/>
      <c r="C1170" s="1"/>
      <c r="D1170" s="1"/>
      <c r="E1170" s="1"/>
      <c r="F1170" s="1"/>
      <c r="G1170" s="1"/>
      <c r="H1170" s="1"/>
      <c r="I1170" s="1"/>
      <c r="J1170" s="1">
        <f>IF($F1170="","",IF($H1170="","Not rated",IF(OR($H1170=Lists!$B$3,$H1170=Lists!$B$5),IF(AND(LEFT(SUBSTITUTE($I1170," ",""),LEN($F1170)+1)=$F1170&amp;"-",LEN(SUBSTITUTE($I1170," ",""))&gt;LEN($F1170)+1),"OK","Comment required"),"OK")))</f>
      </c>
    </row>
    <row r="1171" spans="1:10" x14ac:dyDescent="0.25">
      <c r="A1171" s="1"/>
      <c r="B1171" s="20"/>
      <c r="C1171" s="1"/>
      <c r="D1171" s="1"/>
      <c r="E1171" s="1"/>
      <c r="F1171" s="1"/>
      <c r="G1171" s="1"/>
      <c r="H1171" s="1"/>
      <c r="I1171" s="1"/>
      <c r="J1171" s="1">
        <f>IF($F1171="","",IF($H1171="","Not rated",IF(OR($H1171=Lists!$B$3,$H1171=Lists!$B$5),IF(AND(LEFT(SUBSTITUTE($I1171," ",""),LEN($F1171)+1)=$F1171&amp;"-",LEN(SUBSTITUTE($I1171," ",""))&gt;LEN($F1171)+1),"OK","Comment required"),"OK")))</f>
      </c>
    </row>
    <row r="1172" spans="1:10" x14ac:dyDescent="0.25">
      <c r="A1172" s="1"/>
      <c r="B1172" s="20"/>
      <c r="C1172" s="1"/>
      <c r="D1172" s="1"/>
      <c r="E1172" s="1"/>
      <c r="F1172" s="1"/>
      <c r="G1172" s="1"/>
      <c r="H1172" s="1"/>
      <c r="I1172" s="1"/>
      <c r="J1172" s="1">
        <f>IF($F1172="","",IF($H1172="","Not rated",IF(OR($H1172=Lists!$B$3,$H1172=Lists!$B$5),IF(AND(LEFT(SUBSTITUTE($I1172," ",""),LEN($F1172)+1)=$F1172&amp;"-",LEN(SUBSTITUTE($I1172," ",""))&gt;LEN($F1172)+1),"OK","Comment required"),"OK")))</f>
      </c>
    </row>
    <row r="1173" spans="1:10" x14ac:dyDescent="0.25">
      <c r="A1173" s="1"/>
      <c r="B1173" s="20"/>
      <c r="C1173" s="1"/>
      <c r="D1173" s="1"/>
      <c r="E1173" s="1"/>
      <c r="F1173" s="1"/>
      <c r="G1173" s="1"/>
      <c r="H1173" s="1"/>
      <c r="I1173" s="1"/>
      <c r="J1173" s="1">
        <f>IF($F1173="","",IF($H1173="","Not rated",IF(OR($H1173=Lists!$B$3,$H1173=Lists!$B$5),IF(AND(LEFT(SUBSTITUTE($I1173," ",""),LEN($F1173)+1)=$F1173&amp;"-",LEN(SUBSTITUTE($I1173," ",""))&gt;LEN($F1173)+1),"OK","Comment required"),"OK")))</f>
      </c>
    </row>
    <row r="1174" spans="1:10" x14ac:dyDescent="0.25">
      <c r="A1174" s="1"/>
      <c r="B1174" s="20"/>
      <c r="C1174" s="1"/>
      <c r="D1174" s="1"/>
      <c r="E1174" s="1"/>
      <c r="F1174" s="1"/>
      <c r="G1174" s="1"/>
      <c r="H1174" s="1"/>
      <c r="I1174" s="1"/>
      <c r="J1174" s="1">
        <f>IF($F1174="","",IF($H1174="","Not rated",IF(OR($H1174=Lists!$B$3,$H1174=Lists!$B$5),IF(AND(LEFT(SUBSTITUTE($I1174," ",""),LEN($F1174)+1)=$F1174&amp;"-",LEN(SUBSTITUTE($I1174," ",""))&gt;LEN($F1174)+1),"OK","Comment required"),"OK")))</f>
      </c>
    </row>
    <row r="1175" spans="1:10" x14ac:dyDescent="0.25">
      <c r="A1175" s="1"/>
      <c r="B1175" s="20"/>
      <c r="C1175" s="1"/>
      <c r="D1175" s="1"/>
      <c r="E1175" s="1"/>
      <c r="F1175" s="1"/>
      <c r="G1175" s="1"/>
      <c r="H1175" s="1"/>
      <c r="I1175" s="1"/>
      <c r="J1175" s="1">
        <f>IF($F1175="","",IF($H1175="","Not rated",IF(OR($H1175=Lists!$B$3,$H1175=Lists!$B$5),IF(AND(LEFT(SUBSTITUTE($I1175," ",""),LEN($F1175)+1)=$F1175&amp;"-",LEN(SUBSTITUTE($I1175," ",""))&gt;LEN($F1175)+1),"OK","Comment required"),"OK")))</f>
      </c>
    </row>
    <row r="1176" spans="1:10" x14ac:dyDescent="0.25">
      <c r="A1176" s="1"/>
      <c r="B1176" s="20"/>
      <c r="C1176" s="1"/>
      <c r="D1176" s="1"/>
      <c r="E1176" s="1"/>
      <c r="F1176" s="1"/>
      <c r="G1176" s="1"/>
      <c r="H1176" s="1"/>
      <c r="I1176" s="1"/>
      <c r="J1176" s="1">
        <f>IF($F1176="","",IF($H1176="","Not rated",IF(OR($H1176=Lists!$B$3,$H1176=Lists!$B$5),IF(AND(LEFT(SUBSTITUTE($I1176," ",""),LEN($F1176)+1)=$F1176&amp;"-",LEN(SUBSTITUTE($I1176," ",""))&gt;LEN($F1176)+1),"OK","Comment required"),"OK")))</f>
      </c>
    </row>
    <row r="1177" spans="1:10" x14ac:dyDescent="0.25">
      <c r="A1177" s="1"/>
      <c r="B1177" s="20"/>
      <c r="C1177" s="1"/>
      <c r="D1177" s="1"/>
      <c r="E1177" s="1"/>
      <c r="F1177" s="1"/>
      <c r="G1177" s="1"/>
      <c r="H1177" s="1"/>
      <c r="I1177" s="1"/>
      <c r="J1177" s="1">
        <f>IF($F1177="","",IF($H1177="","Not rated",IF(OR($H1177=Lists!$B$3,$H1177=Lists!$B$5),IF(AND(LEFT(SUBSTITUTE($I1177," ",""),LEN($F1177)+1)=$F1177&amp;"-",LEN(SUBSTITUTE($I1177," ",""))&gt;LEN($F1177)+1),"OK","Comment required"),"OK")))</f>
      </c>
    </row>
    <row r="1178" spans="1:10" x14ac:dyDescent="0.25">
      <c r="A1178" s="1"/>
      <c r="B1178" s="20"/>
      <c r="C1178" s="1"/>
      <c r="D1178" s="1"/>
      <c r="E1178" s="1"/>
      <c r="F1178" s="1"/>
      <c r="G1178" s="1"/>
      <c r="H1178" s="1"/>
      <c r="I1178" s="1"/>
      <c r="J1178" s="1">
        <f>IF($F1178="","",IF($H1178="","Not rated",IF(OR($H1178=Lists!$B$3,$H1178=Lists!$B$5),IF(AND(LEFT(SUBSTITUTE($I1178," ",""),LEN($F1178)+1)=$F1178&amp;"-",LEN(SUBSTITUTE($I1178," ",""))&gt;LEN($F1178)+1),"OK","Comment required"),"OK")))</f>
      </c>
    </row>
    <row r="1179" spans="1:10" x14ac:dyDescent="0.25">
      <c r="A1179" s="1"/>
      <c r="B1179" s="20"/>
      <c r="C1179" s="1"/>
      <c r="D1179" s="1"/>
      <c r="E1179" s="1"/>
      <c r="F1179" s="1"/>
      <c r="G1179" s="1"/>
      <c r="H1179" s="1"/>
      <c r="I1179" s="1"/>
      <c r="J1179" s="1">
        <f>IF($F1179="","",IF($H1179="","Not rated",IF(OR($H1179=Lists!$B$3,$H1179=Lists!$B$5),IF(AND(LEFT(SUBSTITUTE($I1179," ",""),LEN($F1179)+1)=$F1179&amp;"-",LEN(SUBSTITUTE($I1179," ",""))&gt;LEN($F1179)+1),"OK","Comment required"),"OK")))</f>
      </c>
    </row>
    <row r="1180" spans="1:10" x14ac:dyDescent="0.25">
      <c r="A1180" s="1"/>
      <c r="B1180" s="20"/>
      <c r="C1180" s="1"/>
      <c r="D1180" s="1"/>
      <c r="E1180" s="1"/>
      <c r="F1180" s="1"/>
      <c r="G1180" s="1"/>
      <c r="H1180" s="1"/>
      <c r="I1180" s="1"/>
      <c r="J1180" s="1">
        <f>IF($F1180="","",IF($H1180="","Not rated",IF(OR($H1180=Lists!$B$3,$H1180=Lists!$B$5),IF(AND(LEFT(SUBSTITUTE($I1180," ",""),LEN($F1180)+1)=$F1180&amp;"-",LEN(SUBSTITUTE($I1180," ",""))&gt;LEN($F1180)+1),"OK","Comment required"),"OK")))</f>
      </c>
    </row>
    <row r="1181" spans="1:10" x14ac:dyDescent="0.25">
      <c r="A1181" s="1"/>
      <c r="B1181" s="20"/>
      <c r="C1181" s="1"/>
      <c r="D1181" s="1"/>
      <c r="E1181" s="1"/>
      <c r="F1181" s="1"/>
      <c r="G1181" s="1"/>
      <c r="H1181" s="1"/>
      <c r="I1181" s="1"/>
      <c r="J1181" s="1">
        <f>IF($F1181="","",IF($H1181="","Not rated",IF(OR($H1181=Lists!$B$3,$H1181=Lists!$B$5),IF(AND(LEFT(SUBSTITUTE($I1181," ",""),LEN($F1181)+1)=$F1181&amp;"-",LEN(SUBSTITUTE($I1181," ",""))&gt;LEN($F1181)+1),"OK","Comment required"),"OK")))</f>
      </c>
    </row>
    <row r="1182" spans="1:10" x14ac:dyDescent="0.25">
      <c r="A1182" s="1"/>
      <c r="B1182" s="20"/>
      <c r="C1182" s="1"/>
      <c r="D1182" s="1"/>
      <c r="E1182" s="1"/>
      <c r="F1182" s="1"/>
      <c r="G1182" s="1"/>
      <c r="H1182" s="1"/>
      <c r="I1182" s="1"/>
      <c r="J1182" s="1">
        <f>IF($F1182="","",IF($H1182="","Not rated",IF(OR($H1182=Lists!$B$3,$H1182=Lists!$B$5),IF(AND(LEFT(SUBSTITUTE($I1182," ",""),LEN($F1182)+1)=$F1182&amp;"-",LEN(SUBSTITUTE($I1182," ",""))&gt;LEN($F1182)+1),"OK","Comment required"),"OK")))</f>
      </c>
    </row>
    <row r="1183" spans="1:10" x14ac:dyDescent="0.25">
      <c r="A1183" s="1"/>
      <c r="B1183" s="20"/>
      <c r="C1183" s="1"/>
      <c r="D1183" s="1"/>
      <c r="E1183" s="1"/>
      <c r="F1183" s="1"/>
      <c r="G1183" s="1"/>
      <c r="H1183" s="1"/>
      <c r="I1183" s="1"/>
      <c r="J1183" s="1">
        <f>IF($F1183="","",IF($H1183="","Not rated",IF(OR($H1183=Lists!$B$3,$H1183=Lists!$B$5),IF(AND(LEFT(SUBSTITUTE($I1183," ",""),LEN($F1183)+1)=$F1183&amp;"-",LEN(SUBSTITUTE($I1183," ",""))&gt;LEN($F1183)+1),"OK","Comment required"),"OK")))</f>
      </c>
    </row>
    <row r="1184" spans="1:10" x14ac:dyDescent="0.25">
      <c r="A1184" s="1"/>
      <c r="B1184" s="20"/>
      <c r="C1184" s="1"/>
      <c r="D1184" s="1"/>
      <c r="E1184" s="1"/>
      <c r="F1184" s="1"/>
      <c r="G1184" s="1"/>
      <c r="H1184" s="1"/>
      <c r="I1184" s="1"/>
      <c r="J1184" s="1">
        <f>IF($F1184="","",IF($H1184="","Not rated",IF(OR($H1184=Lists!$B$3,$H1184=Lists!$B$5),IF(AND(LEFT(SUBSTITUTE($I1184," ",""),LEN($F1184)+1)=$F1184&amp;"-",LEN(SUBSTITUTE($I1184," ",""))&gt;LEN($F1184)+1),"OK","Comment required"),"OK")))</f>
      </c>
    </row>
    <row r="1185" spans="1:10" x14ac:dyDescent="0.25">
      <c r="A1185" s="1"/>
      <c r="B1185" s="20"/>
      <c r="C1185" s="1"/>
      <c r="D1185" s="1"/>
      <c r="E1185" s="1"/>
      <c r="F1185" s="1"/>
      <c r="G1185" s="1"/>
      <c r="H1185" s="1"/>
      <c r="I1185" s="1"/>
      <c r="J1185" s="1">
        <f>IF($F1185="","",IF($H1185="","Not rated",IF(OR($H1185=Lists!$B$3,$H1185=Lists!$B$5),IF(AND(LEFT(SUBSTITUTE($I1185," ",""),LEN($F1185)+1)=$F1185&amp;"-",LEN(SUBSTITUTE($I1185," ",""))&gt;LEN($F1185)+1),"OK","Comment required"),"OK")))</f>
      </c>
    </row>
    <row r="1186" spans="1:10" x14ac:dyDescent="0.25">
      <c r="A1186" s="1"/>
      <c r="B1186" s="20"/>
      <c r="C1186" s="1"/>
      <c r="D1186" s="1"/>
      <c r="E1186" s="1"/>
      <c r="F1186" s="1"/>
      <c r="G1186" s="1"/>
      <c r="H1186" s="1"/>
      <c r="I1186" s="1"/>
      <c r="J1186" s="1">
        <f>IF($F1186="","",IF($H1186="","Not rated",IF(OR($H1186=Lists!$B$3,$H1186=Lists!$B$5),IF(AND(LEFT(SUBSTITUTE($I1186," ",""),LEN($F1186)+1)=$F1186&amp;"-",LEN(SUBSTITUTE($I1186," ",""))&gt;LEN($F1186)+1),"OK","Comment required"),"OK")))</f>
      </c>
    </row>
    <row r="1187" spans="1:10" x14ac:dyDescent="0.25">
      <c r="A1187" s="1"/>
      <c r="B1187" s="20"/>
      <c r="C1187" s="1"/>
      <c r="D1187" s="1"/>
      <c r="E1187" s="1"/>
      <c r="F1187" s="1"/>
      <c r="G1187" s="1"/>
      <c r="H1187" s="1"/>
      <c r="I1187" s="1"/>
      <c r="J1187" s="1">
        <f>IF($F1187="","",IF($H1187="","Not rated",IF(OR($H1187=Lists!$B$3,$H1187=Lists!$B$5),IF(AND(LEFT(SUBSTITUTE($I1187," ",""),LEN($F1187)+1)=$F1187&amp;"-",LEN(SUBSTITUTE($I1187," ",""))&gt;LEN($F1187)+1),"OK","Comment required"),"OK")))</f>
      </c>
    </row>
    <row r="1188" spans="1:10" x14ac:dyDescent="0.25">
      <c r="A1188" s="1"/>
      <c r="B1188" s="20"/>
      <c r="C1188" s="1"/>
      <c r="D1188" s="1"/>
      <c r="E1188" s="1"/>
      <c r="F1188" s="1"/>
      <c r="G1188" s="1"/>
      <c r="H1188" s="1"/>
      <c r="I1188" s="1"/>
      <c r="J1188" s="1">
        <f>IF($F1188="","",IF($H1188="","Not rated",IF(OR($H1188=Lists!$B$3,$H1188=Lists!$B$5),IF(AND(LEFT(SUBSTITUTE($I1188," ",""),LEN($F1188)+1)=$F1188&amp;"-",LEN(SUBSTITUTE($I1188," ",""))&gt;LEN($F1188)+1),"OK","Comment required"),"OK")))</f>
      </c>
    </row>
    <row r="1189" spans="1:10" x14ac:dyDescent="0.25">
      <c r="A1189" s="1"/>
      <c r="B1189" s="20"/>
      <c r="C1189" s="1"/>
      <c r="D1189" s="1"/>
      <c r="E1189" s="1"/>
      <c r="F1189" s="1"/>
      <c r="G1189" s="1"/>
      <c r="H1189" s="1"/>
      <c r="I1189" s="1"/>
      <c r="J1189" s="1">
        <f>IF($F1189="","",IF($H1189="","Not rated",IF(OR($H1189=Lists!$B$3,$H1189=Lists!$B$5),IF(AND(LEFT(SUBSTITUTE($I1189," ",""),LEN($F1189)+1)=$F1189&amp;"-",LEN(SUBSTITUTE($I1189," ",""))&gt;LEN($F1189)+1),"OK","Comment required"),"OK")))</f>
      </c>
    </row>
    <row r="1190" spans="1:10" x14ac:dyDescent="0.25">
      <c r="A1190" s="1"/>
      <c r="B1190" s="20"/>
      <c r="C1190" s="1"/>
      <c r="D1190" s="1"/>
      <c r="E1190" s="1"/>
      <c r="F1190" s="1"/>
      <c r="G1190" s="1"/>
      <c r="H1190" s="1"/>
      <c r="I1190" s="1"/>
      <c r="J1190" s="1">
        <f>IF($F1190="","",IF($H1190="","Not rated",IF(OR($H1190=Lists!$B$3,$H1190=Lists!$B$5),IF(AND(LEFT(SUBSTITUTE($I1190," ",""),LEN($F1190)+1)=$F1190&amp;"-",LEN(SUBSTITUTE($I1190," ",""))&gt;LEN($F1190)+1),"OK","Comment required"),"OK")))</f>
      </c>
    </row>
    <row r="1191" spans="1:10" x14ac:dyDescent="0.25">
      <c r="A1191" s="1"/>
      <c r="B1191" s="20"/>
      <c r="C1191" s="1"/>
      <c r="D1191" s="1"/>
      <c r="E1191" s="1"/>
      <c r="F1191" s="1"/>
      <c r="G1191" s="1"/>
      <c r="H1191" s="1"/>
      <c r="I1191" s="1"/>
      <c r="J1191" s="1">
        <f>IF($F1191="","",IF($H1191="","Not rated",IF(OR($H1191=Lists!$B$3,$H1191=Lists!$B$5),IF(AND(LEFT(SUBSTITUTE($I1191," ",""),LEN($F1191)+1)=$F1191&amp;"-",LEN(SUBSTITUTE($I1191," ",""))&gt;LEN($F1191)+1),"OK","Comment required"),"OK")))</f>
      </c>
    </row>
    <row r="1192" spans="1:10" x14ac:dyDescent="0.25">
      <c r="A1192" s="1"/>
      <c r="B1192" s="20"/>
      <c r="C1192" s="1"/>
      <c r="D1192" s="1"/>
      <c r="E1192" s="1"/>
      <c r="F1192" s="1"/>
      <c r="G1192" s="1"/>
      <c r="H1192" s="1"/>
      <c r="I1192" s="1"/>
      <c r="J1192" s="1">
        <f>IF($F1192="","",IF($H1192="","Not rated",IF(OR($H1192=Lists!$B$3,$H1192=Lists!$B$5),IF(AND(LEFT(SUBSTITUTE($I1192," ",""),LEN($F1192)+1)=$F1192&amp;"-",LEN(SUBSTITUTE($I1192," ",""))&gt;LEN($F1192)+1),"OK","Comment required"),"OK")))</f>
      </c>
    </row>
    <row r="1193" spans="1:10" x14ac:dyDescent="0.25">
      <c r="A1193" s="1"/>
      <c r="B1193" s="20"/>
      <c r="C1193" s="1"/>
      <c r="D1193" s="1"/>
      <c r="E1193" s="1"/>
      <c r="F1193" s="1"/>
      <c r="G1193" s="1"/>
      <c r="H1193" s="1"/>
      <c r="I1193" s="1"/>
      <c r="J1193" s="1">
        <f>IF($F1193="","",IF($H1193="","Not rated",IF(OR($H1193=Lists!$B$3,$H1193=Lists!$B$5),IF(AND(LEFT(SUBSTITUTE($I1193," ",""),LEN($F1193)+1)=$F1193&amp;"-",LEN(SUBSTITUTE($I1193," ",""))&gt;LEN($F1193)+1),"OK","Comment required"),"OK")))</f>
      </c>
    </row>
    <row r="1194" spans="1:10" x14ac:dyDescent="0.25">
      <c r="A1194" s="1"/>
      <c r="B1194" s="20"/>
      <c r="C1194" s="1"/>
      <c r="D1194" s="1"/>
      <c r="E1194" s="1"/>
      <c r="F1194" s="1"/>
      <c r="G1194" s="1"/>
      <c r="H1194" s="1"/>
      <c r="I1194" s="1"/>
      <c r="J1194" s="1">
        <f>IF($F1194="","",IF($H1194="","Not rated",IF(OR($H1194=Lists!$B$3,$H1194=Lists!$B$5),IF(AND(LEFT(SUBSTITUTE($I1194," ",""),LEN($F1194)+1)=$F1194&amp;"-",LEN(SUBSTITUTE($I1194," ",""))&gt;LEN($F1194)+1),"OK","Comment required"),"OK")))</f>
      </c>
    </row>
    <row r="1195" spans="1:10" x14ac:dyDescent="0.25">
      <c r="A1195" s="1"/>
      <c r="B1195" s="20"/>
      <c r="C1195" s="1"/>
      <c r="D1195" s="1"/>
      <c r="E1195" s="1"/>
      <c r="F1195" s="1"/>
      <c r="G1195" s="1"/>
      <c r="H1195" s="1"/>
      <c r="I1195" s="1"/>
      <c r="J1195" s="1">
        <f>IF($F1195="","",IF($H1195="","Not rated",IF(OR($H1195=Lists!$B$3,$H1195=Lists!$B$5),IF(AND(LEFT(SUBSTITUTE($I1195," ",""),LEN($F1195)+1)=$F1195&amp;"-",LEN(SUBSTITUTE($I1195," ",""))&gt;LEN($F1195)+1),"OK","Comment required"),"OK")))</f>
      </c>
    </row>
    <row r="1196" spans="1:10" x14ac:dyDescent="0.25">
      <c r="A1196" s="1"/>
      <c r="B1196" s="20"/>
      <c r="C1196" s="1"/>
      <c r="D1196" s="1"/>
      <c r="E1196" s="1"/>
      <c r="F1196" s="1"/>
      <c r="G1196" s="1"/>
      <c r="H1196" s="1"/>
      <c r="I1196" s="1"/>
      <c r="J1196" s="1">
        <f>IF($F1196="","",IF($H1196="","Not rated",IF(OR($H1196=Lists!$B$3,$H1196=Lists!$B$5),IF(AND(LEFT(SUBSTITUTE($I1196," ",""),LEN($F1196)+1)=$F1196&amp;"-",LEN(SUBSTITUTE($I1196," ",""))&gt;LEN($F1196)+1),"OK","Comment required"),"OK")))</f>
      </c>
    </row>
    <row r="1197" spans="1:10" x14ac:dyDescent="0.25">
      <c r="A1197" s="1"/>
      <c r="B1197" s="20"/>
      <c r="C1197" s="1"/>
      <c r="D1197" s="1"/>
      <c r="E1197" s="1"/>
      <c r="F1197" s="1"/>
      <c r="G1197" s="1"/>
      <c r="H1197" s="1"/>
      <c r="I1197" s="1"/>
      <c r="J1197" s="1">
        <f>IF($F1197="","",IF($H1197="","Not rated",IF(OR($H1197=Lists!$B$3,$H1197=Lists!$B$5),IF(AND(LEFT(SUBSTITUTE($I1197," ",""),LEN($F1197)+1)=$F1197&amp;"-",LEN(SUBSTITUTE($I1197," ",""))&gt;LEN($F1197)+1),"OK","Comment required"),"OK")))</f>
      </c>
    </row>
    <row r="1198" spans="1:10" x14ac:dyDescent="0.25">
      <c r="A1198" s="1"/>
      <c r="B1198" s="20"/>
      <c r="C1198" s="1"/>
      <c r="D1198" s="1"/>
      <c r="E1198" s="1"/>
      <c r="F1198" s="1"/>
      <c r="G1198" s="1"/>
      <c r="H1198" s="1"/>
      <c r="I1198" s="1"/>
      <c r="J1198" s="1">
        <f>IF($F1198="","",IF($H1198="","Not rated",IF(OR($H1198=Lists!$B$3,$H1198=Lists!$B$5),IF(AND(LEFT(SUBSTITUTE($I1198," ",""),LEN($F1198)+1)=$F1198&amp;"-",LEN(SUBSTITUTE($I1198," ",""))&gt;LEN($F1198)+1),"OK","Comment required"),"OK")))</f>
      </c>
    </row>
    <row r="1199" spans="1:10" x14ac:dyDescent="0.25">
      <c r="A1199" s="1"/>
      <c r="B1199" s="20"/>
      <c r="C1199" s="1"/>
      <c r="D1199" s="1"/>
      <c r="E1199" s="1"/>
      <c r="F1199" s="1"/>
      <c r="G1199" s="1"/>
      <c r="H1199" s="1"/>
      <c r="I1199" s="1"/>
      <c r="J1199" s="1">
        <f>IF($F1199="","",IF($H1199="","Not rated",IF(OR($H1199=Lists!$B$3,$H1199=Lists!$B$5),IF(AND(LEFT(SUBSTITUTE($I1199," ",""),LEN($F1199)+1)=$F1199&amp;"-",LEN(SUBSTITUTE($I1199," ",""))&gt;LEN($F1199)+1),"OK","Comment required"),"OK")))</f>
      </c>
    </row>
    <row r="1200" spans="1:10" x14ac:dyDescent="0.25">
      <c r="A1200" s="1"/>
      <c r="B1200" s="20"/>
      <c r="C1200" s="1"/>
      <c r="D1200" s="1"/>
      <c r="E1200" s="1"/>
      <c r="F1200" s="1"/>
      <c r="G1200" s="1"/>
      <c r="H1200" s="1"/>
      <c r="I1200" s="1"/>
      <c r="J1200" s="1">
        <f>IF($F1200="","",IF($H1200="","Not rated",IF(OR($H1200=Lists!$B$3,$H1200=Lists!$B$5),IF(AND(LEFT(SUBSTITUTE($I1200," ",""),LEN($F1200)+1)=$F1200&amp;"-",LEN(SUBSTITUTE($I1200," ",""))&gt;LEN($F1200)+1),"OK","Comment required"),"OK")))</f>
      </c>
    </row>
    <row r="1201" spans="1:10" x14ac:dyDescent="0.25">
      <c r="A1201" s="1"/>
      <c r="B1201" s="20"/>
      <c r="C1201" s="1"/>
      <c r="D1201" s="1"/>
      <c r="E1201" s="1"/>
      <c r="F1201" s="1"/>
      <c r="G1201" s="1"/>
      <c r="H1201" s="1"/>
      <c r="I1201" s="1"/>
      <c r="J1201" s="1">
        <f>IF($F1201="","",IF($H1201="","Not rated",IF(OR($H1201=Lists!$B$3,$H1201=Lists!$B$5),IF(AND(LEFT(SUBSTITUTE($I1201," ",""),LEN($F1201)+1)=$F1201&amp;"-",LEN(SUBSTITUTE($I1201," ",""))&gt;LEN($F1201)+1),"OK","Comment required"),"OK")))</f>
      </c>
    </row>
    <row r="1202" spans="1:10" x14ac:dyDescent="0.25">
      <c r="A1202" s="1"/>
      <c r="B1202" s="20"/>
      <c r="C1202" s="1"/>
      <c r="D1202" s="1"/>
      <c r="E1202" s="1"/>
      <c r="F1202" s="1"/>
      <c r="G1202" s="1"/>
      <c r="H1202" s="1"/>
      <c r="I1202" s="1"/>
      <c r="J1202" s="1">
        <f>IF($F1202="","",IF($H1202="","Not rated",IF(OR($H1202=Lists!$B$3,$H1202=Lists!$B$5),IF(AND(LEFT(SUBSTITUTE($I1202," ",""),LEN($F1202)+1)=$F1202&amp;"-",LEN(SUBSTITUTE($I1202," ",""))&gt;LEN($F1202)+1),"OK","Comment required"),"OK")))</f>
      </c>
    </row>
    <row r="1203" spans="1:10" x14ac:dyDescent="0.25">
      <c r="A1203" s="1"/>
      <c r="B1203" s="20"/>
      <c r="C1203" s="1"/>
      <c r="D1203" s="1"/>
      <c r="E1203" s="1"/>
      <c r="F1203" s="1"/>
      <c r="G1203" s="1"/>
      <c r="H1203" s="1"/>
      <c r="I1203" s="1"/>
      <c r="J1203" s="1">
        <f>IF($F1203="","",IF($H1203="","Not rated",IF(OR($H1203=Lists!$B$3,$H1203=Lists!$B$5),IF(AND(LEFT(SUBSTITUTE($I1203," ",""),LEN($F1203)+1)=$F1203&amp;"-",LEN(SUBSTITUTE($I1203," ",""))&gt;LEN($F1203)+1),"OK","Comment required"),"OK")))</f>
      </c>
    </row>
    <row r="1204" spans="1:10" x14ac:dyDescent="0.25">
      <c r="A1204" s="1"/>
      <c r="B1204" s="20"/>
      <c r="C1204" s="1"/>
      <c r="D1204" s="1"/>
      <c r="E1204" s="1"/>
      <c r="F1204" s="1"/>
      <c r="G1204" s="1"/>
      <c r="H1204" s="1"/>
      <c r="I1204" s="1"/>
      <c r="J1204" s="1">
        <f>IF($F1204="","",IF($H1204="","Not rated",IF(OR($H1204=Lists!$B$3,$H1204=Lists!$B$5),IF(AND(LEFT(SUBSTITUTE($I1204," ",""),LEN($F1204)+1)=$F1204&amp;"-",LEN(SUBSTITUTE($I1204," ",""))&gt;LEN($F1204)+1),"OK","Comment required"),"OK")))</f>
      </c>
    </row>
    <row r="1205" spans="1:10" x14ac:dyDescent="0.25">
      <c r="A1205" s="1"/>
      <c r="B1205" s="20"/>
      <c r="C1205" s="1"/>
      <c r="D1205" s="1"/>
      <c r="E1205" s="1"/>
      <c r="F1205" s="1"/>
      <c r="G1205" s="1"/>
      <c r="H1205" s="1"/>
      <c r="I1205" s="1"/>
      <c r="J1205" s="1">
        <f>IF($F1205="","",IF($H1205="","Not rated",IF(OR($H1205=Lists!$B$3,$H1205=Lists!$B$5),IF(AND(LEFT(SUBSTITUTE($I1205," ",""),LEN($F1205)+1)=$F1205&amp;"-",LEN(SUBSTITUTE($I1205," ",""))&gt;LEN($F1205)+1),"OK","Comment required"),"OK")))</f>
      </c>
    </row>
    <row r="1206" spans="1:10" x14ac:dyDescent="0.25">
      <c r="A1206" s="1"/>
      <c r="B1206" s="20"/>
      <c r="C1206" s="1"/>
      <c r="D1206" s="1"/>
      <c r="E1206" s="1"/>
      <c r="F1206" s="1"/>
      <c r="G1206" s="1"/>
      <c r="H1206" s="1"/>
      <c r="I1206" s="1"/>
      <c r="J1206" s="1">
        <f>IF($F1206="","",IF($H1206="","Not rated",IF(OR($H1206=Lists!$B$3,$H1206=Lists!$B$5),IF(AND(LEFT(SUBSTITUTE($I1206," ",""),LEN($F1206)+1)=$F1206&amp;"-",LEN(SUBSTITUTE($I1206," ",""))&gt;LEN($F1206)+1),"OK","Comment required"),"OK")))</f>
      </c>
    </row>
    <row r="1207" spans="1:10" x14ac:dyDescent="0.25">
      <c r="A1207" s="1"/>
      <c r="B1207" s="20"/>
      <c r="C1207" s="1"/>
      <c r="D1207" s="1"/>
      <c r="E1207" s="1"/>
      <c r="F1207" s="1"/>
      <c r="G1207" s="1"/>
      <c r="H1207" s="1"/>
      <c r="I1207" s="1"/>
      <c r="J1207" s="1">
        <f>IF($F1207="","",IF($H1207="","Not rated",IF(OR($H1207=Lists!$B$3,$H1207=Lists!$B$5),IF(AND(LEFT(SUBSTITUTE($I1207," ",""),LEN($F1207)+1)=$F1207&amp;"-",LEN(SUBSTITUTE($I1207," ",""))&gt;LEN($F1207)+1),"OK","Comment required"),"OK")))</f>
      </c>
    </row>
    <row r="1208" spans="1:10" x14ac:dyDescent="0.25">
      <c r="A1208" s="1"/>
      <c r="B1208" s="20"/>
      <c r="C1208" s="1"/>
      <c r="D1208" s="1"/>
      <c r="E1208" s="1"/>
      <c r="F1208" s="1"/>
      <c r="G1208" s="1"/>
      <c r="H1208" s="1"/>
      <c r="I1208" s="1"/>
      <c r="J1208" s="1">
        <f>IF($F1208="","",IF($H1208="","Not rated",IF(OR($H1208=Lists!$B$3,$H1208=Lists!$B$5),IF(AND(LEFT(SUBSTITUTE($I1208," ",""),LEN($F1208)+1)=$F1208&amp;"-",LEN(SUBSTITUTE($I1208," ",""))&gt;LEN($F1208)+1),"OK","Comment required"),"OK")))</f>
      </c>
    </row>
    <row r="1209" spans="1:10" x14ac:dyDescent="0.25">
      <c r="A1209" s="1"/>
      <c r="B1209" s="20"/>
      <c r="C1209" s="1"/>
      <c r="D1209" s="1"/>
      <c r="E1209" s="1"/>
      <c r="F1209" s="1"/>
      <c r="G1209" s="1"/>
      <c r="H1209" s="1"/>
      <c r="I1209" s="1"/>
      <c r="J1209" s="1">
        <f>IF($F1209="","",IF($H1209="","Not rated",IF(OR($H1209=Lists!$B$3,$H1209=Lists!$B$5),IF(AND(LEFT(SUBSTITUTE($I1209," ",""),LEN($F1209)+1)=$F1209&amp;"-",LEN(SUBSTITUTE($I1209," ",""))&gt;LEN($F1209)+1),"OK","Comment required"),"OK")))</f>
      </c>
    </row>
    <row r="1210" spans="1:10" x14ac:dyDescent="0.25">
      <c r="A1210" s="1"/>
      <c r="B1210" s="20"/>
      <c r="C1210" s="1"/>
      <c r="D1210" s="1"/>
      <c r="E1210" s="1"/>
      <c r="F1210" s="1"/>
      <c r="G1210" s="1"/>
      <c r="H1210" s="1"/>
      <c r="I1210" s="1"/>
      <c r="J1210" s="1">
        <f>IF($F1210="","",IF($H1210="","Not rated",IF(OR($H1210=Lists!$B$3,$H1210=Lists!$B$5),IF(AND(LEFT(SUBSTITUTE($I1210," ",""),LEN($F1210)+1)=$F1210&amp;"-",LEN(SUBSTITUTE($I1210," ",""))&gt;LEN($F1210)+1),"OK","Comment required"),"OK")))</f>
      </c>
    </row>
    <row r="1211" spans="1:10" x14ac:dyDescent="0.25">
      <c r="A1211" s="1"/>
      <c r="B1211" s="20"/>
      <c r="C1211" s="1"/>
      <c r="D1211" s="1"/>
      <c r="E1211" s="1"/>
      <c r="F1211" s="1"/>
      <c r="G1211" s="1"/>
      <c r="H1211" s="1"/>
      <c r="I1211" s="1"/>
      <c r="J1211" s="1">
        <f>IF($F1211="","",IF($H1211="","Not rated",IF(OR($H1211=Lists!$B$3,$H1211=Lists!$B$5),IF(AND(LEFT(SUBSTITUTE($I1211," ",""),LEN($F1211)+1)=$F1211&amp;"-",LEN(SUBSTITUTE($I1211," ",""))&gt;LEN($F1211)+1),"OK","Comment required"),"OK")))</f>
      </c>
    </row>
    <row r="1212" spans="1:10" x14ac:dyDescent="0.25">
      <c r="A1212" s="1"/>
      <c r="B1212" s="20"/>
      <c r="C1212" s="1"/>
      <c r="D1212" s="1"/>
      <c r="E1212" s="1"/>
      <c r="F1212" s="1"/>
      <c r="G1212" s="1"/>
      <c r="H1212" s="1"/>
      <c r="I1212" s="1"/>
      <c r="J1212" s="1">
        <f>IF($F1212="","",IF($H1212="","Not rated",IF(OR($H1212=Lists!$B$3,$H1212=Lists!$B$5),IF(AND(LEFT(SUBSTITUTE($I1212," ",""),LEN($F1212)+1)=$F1212&amp;"-",LEN(SUBSTITUTE($I1212," ",""))&gt;LEN($F1212)+1),"OK","Comment required"),"OK")))</f>
      </c>
    </row>
    <row r="1213" spans="1:10" x14ac:dyDescent="0.25">
      <c r="A1213" s="1"/>
      <c r="B1213" s="20"/>
      <c r="C1213" s="1"/>
      <c r="D1213" s="1"/>
      <c r="E1213" s="1"/>
      <c r="F1213" s="1"/>
      <c r="G1213" s="1"/>
      <c r="H1213" s="1"/>
      <c r="I1213" s="1"/>
      <c r="J1213" s="1">
        <f>IF($F1213="","",IF($H1213="","Not rated",IF(OR($H1213=Lists!$B$3,$H1213=Lists!$B$5),IF(AND(LEFT(SUBSTITUTE($I1213," ",""),LEN($F1213)+1)=$F1213&amp;"-",LEN(SUBSTITUTE($I1213," ",""))&gt;LEN($F1213)+1),"OK","Comment required"),"OK")))</f>
      </c>
    </row>
    <row r="1214" spans="1:10" x14ac:dyDescent="0.25">
      <c r="A1214" s="1"/>
      <c r="B1214" s="20"/>
      <c r="C1214" s="1"/>
      <c r="D1214" s="1"/>
      <c r="E1214" s="1"/>
      <c r="F1214" s="1"/>
      <c r="G1214" s="1"/>
      <c r="H1214" s="1"/>
      <c r="I1214" s="1"/>
      <c r="J1214" s="1">
        <f>IF($F1214="","",IF($H1214="","Not rated",IF(OR($H1214=Lists!$B$3,$H1214=Lists!$B$5),IF(AND(LEFT(SUBSTITUTE($I1214," ",""),LEN($F1214)+1)=$F1214&amp;"-",LEN(SUBSTITUTE($I1214," ",""))&gt;LEN($F1214)+1),"OK","Comment required"),"OK")))</f>
      </c>
    </row>
    <row r="1215" spans="1:10" x14ac:dyDescent="0.25">
      <c r="A1215" s="1"/>
      <c r="B1215" s="20"/>
      <c r="C1215" s="1"/>
      <c r="D1215" s="1"/>
      <c r="E1215" s="1"/>
      <c r="F1215" s="1"/>
      <c r="G1215" s="1"/>
      <c r="H1215" s="1"/>
      <c r="I1215" s="1"/>
      <c r="J1215" s="1">
        <f>IF($F1215="","",IF($H1215="","Not rated",IF(OR($H1215=Lists!$B$3,$H1215=Lists!$B$5),IF(AND(LEFT(SUBSTITUTE($I1215," ",""),LEN($F1215)+1)=$F1215&amp;"-",LEN(SUBSTITUTE($I1215," ",""))&gt;LEN($F1215)+1),"OK","Comment required"),"OK")))</f>
      </c>
    </row>
    <row r="1216" spans="1:10" x14ac:dyDescent="0.25">
      <c r="A1216" s="1"/>
      <c r="B1216" s="20"/>
      <c r="C1216" s="1"/>
      <c r="D1216" s="1"/>
      <c r="E1216" s="1"/>
      <c r="F1216" s="1"/>
      <c r="G1216" s="1"/>
      <c r="H1216" s="1"/>
      <c r="I1216" s="1"/>
      <c r="J1216" s="1">
        <f>IF($F1216="","",IF($H1216="","Not rated",IF(OR($H1216=Lists!$B$3,$H1216=Lists!$B$5),IF(AND(LEFT(SUBSTITUTE($I1216," ",""),LEN($F1216)+1)=$F1216&amp;"-",LEN(SUBSTITUTE($I1216," ",""))&gt;LEN($F1216)+1),"OK","Comment required"),"OK")))</f>
      </c>
    </row>
    <row r="1217" spans="1:10" x14ac:dyDescent="0.25">
      <c r="A1217" s="1"/>
      <c r="B1217" s="20"/>
      <c r="C1217" s="1"/>
      <c r="D1217" s="1"/>
      <c r="E1217" s="1"/>
      <c r="F1217" s="1"/>
      <c r="G1217" s="1"/>
      <c r="H1217" s="1"/>
      <c r="I1217" s="1"/>
      <c r="J1217" s="1">
        <f>IF($F1217="","",IF($H1217="","Not rated",IF(OR($H1217=Lists!$B$3,$H1217=Lists!$B$5),IF(AND(LEFT(SUBSTITUTE($I1217," ",""),LEN($F1217)+1)=$F1217&amp;"-",LEN(SUBSTITUTE($I1217," ",""))&gt;LEN($F1217)+1),"OK","Comment required"),"OK")))</f>
      </c>
    </row>
    <row r="1218" spans="1:10" x14ac:dyDescent="0.25">
      <c r="A1218" s="1"/>
      <c r="B1218" s="20"/>
      <c r="C1218" s="1"/>
      <c r="D1218" s="1"/>
      <c r="E1218" s="1"/>
      <c r="F1218" s="1"/>
      <c r="G1218" s="1"/>
      <c r="H1218" s="1"/>
      <c r="I1218" s="1"/>
      <c r="J1218" s="1">
        <f>IF($F1218="","",IF($H1218="","Not rated",IF(OR($H1218=Lists!$B$3,$H1218=Lists!$B$5),IF(AND(LEFT(SUBSTITUTE($I1218," ",""),LEN($F1218)+1)=$F1218&amp;"-",LEN(SUBSTITUTE($I1218," ",""))&gt;LEN($F1218)+1),"OK","Comment required"),"OK")))</f>
      </c>
    </row>
    <row r="1219" spans="1:10" x14ac:dyDescent="0.25">
      <c r="A1219" s="1"/>
      <c r="B1219" s="20"/>
      <c r="C1219" s="1"/>
      <c r="D1219" s="1"/>
      <c r="E1219" s="1"/>
      <c r="F1219" s="1"/>
      <c r="G1219" s="1"/>
      <c r="H1219" s="1"/>
      <c r="I1219" s="1"/>
      <c r="J1219" s="1">
        <f>IF($F1219="","",IF($H1219="","Not rated",IF(OR($H1219=Lists!$B$3,$H1219=Lists!$B$5),IF(AND(LEFT(SUBSTITUTE($I1219," ",""),LEN($F1219)+1)=$F1219&amp;"-",LEN(SUBSTITUTE($I1219," ",""))&gt;LEN($F1219)+1),"OK","Comment required"),"OK")))</f>
      </c>
    </row>
    <row r="1220" spans="1:10" x14ac:dyDescent="0.25">
      <c r="A1220" s="1"/>
      <c r="B1220" s="20"/>
      <c r="C1220" s="1"/>
      <c r="D1220" s="1"/>
      <c r="E1220" s="1"/>
      <c r="F1220" s="1"/>
      <c r="G1220" s="1"/>
      <c r="H1220" s="1"/>
      <c r="I1220" s="1"/>
      <c r="J1220" s="1">
        <f>IF($F1220="","",IF($H1220="","Not rated",IF(OR($H1220=Lists!$B$3,$H1220=Lists!$B$5),IF(AND(LEFT(SUBSTITUTE($I1220," ",""),LEN($F1220)+1)=$F1220&amp;"-",LEN(SUBSTITUTE($I1220," ",""))&gt;LEN($F1220)+1),"OK","Comment required"),"OK")))</f>
      </c>
    </row>
    <row r="1221" spans="1:10" x14ac:dyDescent="0.25">
      <c r="A1221" s="1"/>
      <c r="B1221" s="20"/>
      <c r="C1221" s="1"/>
      <c r="D1221" s="1"/>
      <c r="E1221" s="1"/>
      <c r="F1221" s="1"/>
      <c r="G1221" s="1"/>
      <c r="H1221" s="1"/>
      <c r="I1221" s="1"/>
      <c r="J1221" s="1">
        <f>IF($F1221="","",IF($H1221="","Not rated",IF(OR($H1221=Lists!$B$3,$H1221=Lists!$B$5),IF(AND(LEFT(SUBSTITUTE($I1221," ",""),LEN($F1221)+1)=$F1221&amp;"-",LEN(SUBSTITUTE($I1221," ",""))&gt;LEN($F1221)+1),"OK","Comment required"),"OK")))</f>
      </c>
    </row>
    <row r="1222" spans="1:10" x14ac:dyDescent="0.25">
      <c r="A1222" s="1"/>
      <c r="B1222" s="20"/>
      <c r="C1222" s="1"/>
      <c r="D1222" s="1"/>
      <c r="E1222" s="1"/>
      <c r="F1222" s="1"/>
      <c r="G1222" s="1"/>
      <c r="H1222" s="1"/>
      <c r="I1222" s="1"/>
      <c r="J1222" s="1">
        <f>IF($F1222="","",IF($H1222="","Not rated",IF(OR($H1222=Lists!$B$3,$H1222=Lists!$B$5),IF(AND(LEFT(SUBSTITUTE($I1222," ",""),LEN($F1222)+1)=$F1222&amp;"-",LEN(SUBSTITUTE($I1222," ",""))&gt;LEN($F1222)+1),"OK","Comment required"),"OK")))</f>
      </c>
    </row>
    <row r="1223" spans="1:10" x14ac:dyDescent="0.25">
      <c r="A1223" s="1"/>
      <c r="B1223" s="20"/>
      <c r="C1223" s="1"/>
      <c r="D1223" s="1"/>
      <c r="E1223" s="1"/>
      <c r="F1223" s="1"/>
      <c r="G1223" s="1"/>
      <c r="H1223" s="1"/>
      <c r="I1223" s="1"/>
      <c r="J1223" s="1">
        <f>IF($F1223="","",IF($H1223="","Not rated",IF(OR($H1223=Lists!$B$3,$H1223=Lists!$B$5),IF(AND(LEFT(SUBSTITUTE($I1223," ",""),LEN($F1223)+1)=$F1223&amp;"-",LEN(SUBSTITUTE($I1223," ",""))&gt;LEN($F1223)+1),"OK","Comment required"),"OK")))</f>
      </c>
    </row>
    <row r="1224" spans="1:10" x14ac:dyDescent="0.25">
      <c r="A1224" s="1"/>
      <c r="B1224" s="20"/>
      <c r="C1224" s="1"/>
      <c r="D1224" s="1"/>
      <c r="E1224" s="1"/>
      <c r="F1224" s="1"/>
      <c r="G1224" s="1"/>
      <c r="H1224" s="1"/>
      <c r="I1224" s="1"/>
      <c r="J1224" s="1">
        <f>IF($F1224="","",IF($H1224="","Not rated",IF(OR($H1224=Lists!$B$3,$H1224=Lists!$B$5),IF(AND(LEFT(SUBSTITUTE($I1224," ",""),LEN($F1224)+1)=$F1224&amp;"-",LEN(SUBSTITUTE($I1224," ",""))&gt;LEN($F1224)+1),"OK","Comment required"),"OK")))</f>
      </c>
    </row>
    <row r="1225" spans="1:10" x14ac:dyDescent="0.25">
      <c r="A1225" s="1"/>
      <c r="B1225" s="20"/>
      <c r="C1225" s="1"/>
      <c r="D1225" s="1"/>
      <c r="E1225" s="1"/>
      <c r="F1225" s="1"/>
      <c r="G1225" s="1"/>
      <c r="H1225" s="1"/>
      <c r="I1225" s="1"/>
      <c r="J1225" s="1">
        <f>IF($F1225="","",IF($H1225="","Not rated",IF(OR($H1225=Lists!$B$3,$H1225=Lists!$B$5),IF(AND(LEFT(SUBSTITUTE($I1225," ",""),LEN($F1225)+1)=$F1225&amp;"-",LEN(SUBSTITUTE($I1225," ",""))&gt;LEN($F1225)+1),"OK","Comment required"),"OK")))</f>
      </c>
    </row>
    <row r="1226" spans="1:10" x14ac:dyDescent="0.25">
      <c r="A1226" s="1"/>
      <c r="B1226" s="20"/>
      <c r="C1226" s="1"/>
      <c r="D1226" s="1"/>
      <c r="E1226" s="1"/>
      <c r="F1226" s="1"/>
      <c r="G1226" s="1"/>
      <c r="H1226" s="1"/>
      <c r="I1226" s="1"/>
      <c r="J1226" s="1">
        <f>IF($F1226="","",IF($H1226="","Not rated",IF(OR($H1226=Lists!$B$3,$H1226=Lists!$B$5),IF(AND(LEFT(SUBSTITUTE($I1226," ",""),LEN($F1226)+1)=$F1226&amp;"-",LEN(SUBSTITUTE($I1226," ",""))&gt;LEN($F1226)+1),"OK","Comment required"),"OK")))</f>
      </c>
    </row>
    <row r="1227" spans="1:10" x14ac:dyDescent="0.25">
      <c r="A1227" s="1"/>
      <c r="B1227" s="20"/>
      <c r="C1227" s="1"/>
      <c r="D1227" s="1"/>
      <c r="E1227" s="1"/>
      <c r="F1227" s="1"/>
      <c r="G1227" s="1"/>
      <c r="H1227" s="1"/>
      <c r="I1227" s="1"/>
      <c r="J1227" s="1">
        <f>IF($F1227="","",IF($H1227="","Not rated",IF(OR($H1227=Lists!$B$3,$H1227=Lists!$B$5),IF(AND(LEFT(SUBSTITUTE($I1227," ",""),LEN($F1227)+1)=$F1227&amp;"-",LEN(SUBSTITUTE($I1227," ",""))&gt;LEN($F1227)+1),"OK","Comment required"),"OK")))</f>
      </c>
    </row>
    <row r="1228" spans="1:10" x14ac:dyDescent="0.25">
      <c r="A1228" s="1"/>
      <c r="B1228" s="20"/>
      <c r="C1228" s="1"/>
      <c r="D1228" s="1"/>
      <c r="E1228" s="1"/>
      <c r="F1228" s="1"/>
      <c r="G1228" s="1"/>
      <c r="H1228" s="1"/>
      <c r="I1228" s="1"/>
      <c r="J1228" s="1">
        <f>IF($F1228="","",IF($H1228="","Not rated",IF(OR($H1228=Lists!$B$3,$H1228=Lists!$B$5),IF(AND(LEFT(SUBSTITUTE($I1228," ",""),LEN($F1228)+1)=$F1228&amp;"-",LEN(SUBSTITUTE($I1228," ",""))&gt;LEN($F1228)+1),"OK","Comment required"),"OK")))</f>
      </c>
    </row>
    <row r="1229" spans="1:10" x14ac:dyDescent="0.25">
      <c r="A1229" s="1"/>
      <c r="B1229" s="20"/>
      <c r="C1229" s="1"/>
      <c r="D1229" s="1"/>
      <c r="E1229" s="1"/>
      <c r="F1229" s="1"/>
      <c r="G1229" s="1"/>
      <c r="H1229" s="1"/>
      <c r="I1229" s="1"/>
      <c r="J1229" s="1">
        <f>IF($F1229="","",IF($H1229="","Not rated",IF(OR($H1229=Lists!$B$3,$H1229=Lists!$B$5),IF(AND(LEFT(SUBSTITUTE($I1229," ",""),LEN($F1229)+1)=$F1229&amp;"-",LEN(SUBSTITUTE($I1229," ",""))&gt;LEN($F1229)+1),"OK","Comment required"),"OK")))</f>
      </c>
    </row>
    <row r="1230" spans="1:10" x14ac:dyDescent="0.25">
      <c r="A1230" s="1"/>
      <c r="B1230" s="20"/>
      <c r="C1230" s="1"/>
      <c r="D1230" s="1"/>
      <c r="E1230" s="1"/>
      <c r="F1230" s="1"/>
      <c r="G1230" s="1"/>
      <c r="H1230" s="1"/>
      <c r="I1230" s="1"/>
      <c r="J1230" s="1">
        <f>IF($F1230="","",IF($H1230="","Not rated",IF(OR($H1230=Lists!$B$3,$H1230=Lists!$B$5),IF(AND(LEFT(SUBSTITUTE($I1230," ",""),LEN($F1230)+1)=$F1230&amp;"-",LEN(SUBSTITUTE($I1230," ",""))&gt;LEN($F1230)+1),"OK","Comment required"),"OK")))</f>
      </c>
    </row>
    <row r="1231" spans="1:10" x14ac:dyDescent="0.25">
      <c r="A1231" s="1"/>
      <c r="B1231" s="20"/>
      <c r="C1231" s="1"/>
      <c r="D1231" s="1"/>
      <c r="E1231" s="1"/>
      <c r="F1231" s="1"/>
      <c r="G1231" s="1"/>
      <c r="H1231" s="1"/>
      <c r="I1231" s="1"/>
      <c r="J1231" s="1">
        <f>IF($F1231="","",IF($H1231="","Not rated",IF(OR($H1231=Lists!$B$3,$H1231=Lists!$B$5),IF(AND(LEFT(SUBSTITUTE($I1231," ",""),LEN($F1231)+1)=$F1231&amp;"-",LEN(SUBSTITUTE($I1231," ",""))&gt;LEN($F1231)+1),"OK","Comment required"),"OK")))</f>
      </c>
    </row>
    <row r="1232" spans="1:10" x14ac:dyDescent="0.25">
      <c r="A1232" s="1"/>
      <c r="B1232" s="20"/>
      <c r="C1232" s="1"/>
      <c r="D1232" s="1"/>
      <c r="E1232" s="1"/>
      <c r="F1232" s="1"/>
      <c r="G1232" s="1"/>
      <c r="H1232" s="1"/>
      <c r="I1232" s="1"/>
      <c r="J1232" s="1">
        <f>IF($F1232="","",IF($H1232="","Not rated",IF(OR($H1232=Lists!$B$3,$H1232=Lists!$B$5),IF(AND(LEFT(SUBSTITUTE($I1232," ",""),LEN($F1232)+1)=$F1232&amp;"-",LEN(SUBSTITUTE($I1232," ",""))&gt;LEN($F1232)+1),"OK","Comment required"),"OK")))</f>
      </c>
    </row>
    <row r="1233" spans="1:10" x14ac:dyDescent="0.25">
      <c r="A1233" s="1"/>
      <c r="B1233" s="20"/>
      <c r="C1233" s="1"/>
      <c r="D1233" s="1"/>
      <c r="E1233" s="1"/>
      <c r="F1233" s="1"/>
      <c r="G1233" s="1"/>
      <c r="H1233" s="1"/>
      <c r="I1233" s="1"/>
      <c r="J1233" s="1">
        <f>IF($F1233="","",IF($H1233="","Not rated",IF(OR($H1233=Lists!$B$3,$H1233=Lists!$B$5),IF(AND(LEFT(SUBSTITUTE($I1233," ",""),LEN($F1233)+1)=$F1233&amp;"-",LEN(SUBSTITUTE($I1233," ",""))&gt;LEN($F1233)+1),"OK","Comment required"),"OK")))</f>
      </c>
    </row>
    <row r="1234" spans="1:10" x14ac:dyDescent="0.25">
      <c r="A1234" s="1"/>
      <c r="B1234" s="20"/>
      <c r="C1234" s="1"/>
      <c r="D1234" s="1"/>
      <c r="E1234" s="1"/>
      <c r="F1234" s="1"/>
      <c r="G1234" s="1"/>
      <c r="H1234" s="1"/>
      <c r="I1234" s="1"/>
      <c r="J1234" s="1">
        <f>IF($F1234="","",IF($H1234="","Not rated",IF(OR($H1234=Lists!$B$3,$H1234=Lists!$B$5),IF(AND(LEFT(SUBSTITUTE($I1234," ",""),LEN($F1234)+1)=$F1234&amp;"-",LEN(SUBSTITUTE($I1234," ",""))&gt;LEN($F1234)+1),"OK","Comment required"),"OK")))</f>
      </c>
    </row>
    <row r="1235" spans="1:10" x14ac:dyDescent="0.25">
      <c r="A1235" s="1"/>
      <c r="B1235" s="20"/>
      <c r="C1235" s="1"/>
      <c r="D1235" s="1"/>
      <c r="E1235" s="1"/>
      <c r="F1235" s="1"/>
      <c r="G1235" s="1"/>
      <c r="H1235" s="1"/>
      <c r="I1235" s="1"/>
      <c r="J1235" s="1">
        <f>IF($F1235="","",IF($H1235="","Not rated",IF(OR($H1235=Lists!$B$3,$H1235=Lists!$B$5),IF(AND(LEFT(SUBSTITUTE($I1235," ",""),LEN($F1235)+1)=$F1235&amp;"-",LEN(SUBSTITUTE($I1235," ",""))&gt;LEN($F1235)+1),"OK","Comment required"),"OK")))</f>
      </c>
    </row>
    <row r="1236" spans="1:10" x14ac:dyDescent="0.25">
      <c r="A1236" s="1"/>
      <c r="B1236" s="20"/>
      <c r="C1236" s="1"/>
      <c r="D1236" s="1"/>
      <c r="E1236" s="1"/>
      <c r="F1236" s="1"/>
      <c r="G1236" s="1"/>
      <c r="H1236" s="1"/>
      <c r="I1236" s="1"/>
      <c r="J1236" s="1">
        <f>IF($F1236="","",IF($H1236="","Not rated",IF(OR($H1236=Lists!$B$3,$H1236=Lists!$B$5),IF(AND(LEFT(SUBSTITUTE($I1236," ",""),LEN($F1236)+1)=$F1236&amp;"-",LEN(SUBSTITUTE($I1236," ",""))&gt;LEN($F1236)+1),"OK","Comment required"),"OK")))</f>
      </c>
    </row>
    <row r="1237" spans="1:10" x14ac:dyDescent="0.25">
      <c r="A1237" s="1"/>
      <c r="B1237" s="20"/>
      <c r="C1237" s="1"/>
      <c r="D1237" s="1"/>
      <c r="E1237" s="1"/>
      <c r="F1237" s="1"/>
      <c r="G1237" s="1"/>
      <c r="H1237" s="1"/>
      <c r="I1237" s="1"/>
      <c r="J1237" s="1">
        <f>IF($F1237="","",IF($H1237="","Not rated",IF(OR($H1237=Lists!$B$3,$H1237=Lists!$B$5),IF(AND(LEFT(SUBSTITUTE($I1237," ",""),LEN($F1237)+1)=$F1237&amp;"-",LEN(SUBSTITUTE($I1237," ",""))&gt;LEN($F1237)+1),"OK","Comment required"),"OK")))</f>
      </c>
    </row>
    <row r="1238" spans="1:10" x14ac:dyDescent="0.25">
      <c r="A1238" s="1"/>
      <c r="B1238" s="20"/>
      <c r="C1238" s="1"/>
      <c r="D1238" s="1"/>
      <c r="E1238" s="1"/>
      <c r="F1238" s="1"/>
      <c r="G1238" s="1"/>
      <c r="H1238" s="1"/>
      <c r="I1238" s="1"/>
      <c r="J1238" s="1">
        <f>IF($F1238="","",IF($H1238="","Not rated",IF(OR($H1238=Lists!$B$3,$H1238=Lists!$B$5),IF(AND(LEFT(SUBSTITUTE($I1238," ",""),LEN($F1238)+1)=$F1238&amp;"-",LEN(SUBSTITUTE($I1238," ",""))&gt;LEN($F1238)+1),"OK","Comment required"),"OK")))</f>
      </c>
    </row>
    <row r="1239" spans="1:10" x14ac:dyDescent="0.25">
      <c r="A1239" s="1"/>
      <c r="B1239" s="20"/>
      <c r="C1239" s="1"/>
      <c r="D1239" s="1"/>
      <c r="E1239" s="1"/>
      <c r="F1239" s="1"/>
      <c r="G1239" s="1"/>
      <c r="H1239" s="1"/>
      <c r="I1239" s="1"/>
      <c r="J1239" s="1">
        <f>IF($F1239="","",IF($H1239="","Not rated",IF(OR($H1239=Lists!$B$3,$H1239=Lists!$B$5),IF(AND(LEFT(SUBSTITUTE($I1239," ",""),LEN($F1239)+1)=$F1239&amp;"-",LEN(SUBSTITUTE($I1239," ",""))&gt;LEN($F1239)+1),"OK","Comment required"),"OK")))</f>
      </c>
    </row>
    <row r="1240" spans="1:10" x14ac:dyDescent="0.25">
      <c r="A1240" s="1"/>
      <c r="B1240" s="20"/>
      <c r="C1240" s="1"/>
      <c r="D1240" s="1"/>
      <c r="E1240" s="1"/>
      <c r="F1240" s="1"/>
      <c r="G1240" s="1"/>
      <c r="H1240" s="1"/>
      <c r="I1240" s="1"/>
      <c r="J1240" s="1">
        <f>IF($F1240="","",IF($H1240="","Not rated",IF(OR($H1240=Lists!$B$3,$H1240=Lists!$B$5),IF(AND(LEFT(SUBSTITUTE($I1240," ",""),LEN($F1240)+1)=$F1240&amp;"-",LEN(SUBSTITUTE($I1240," ",""))&gt;LEN($F1240)+1),"OK","Comment required"),"OK")))</f>
      </c>
    </row>
    <row r="1241" spans="1:10" x14ac:dyDescent="0.25">
      <c r="A1241" s="1"/>
      <c r="B1241" s="20"/>
      <c r="C1241" s="1"/>
      <c r="D1241" s="1"/>
      <c r="E1241" s="1"/>
      <c r="F1241" s="1"/>
      <c r="G1241" s="1"/>
      <c r="H1241" s="1"/>
      <c r="I1241" s="1"/>
      <c r="J1241" s="1">
        <f>IF($F1241="","",IF($H1241="","Not rated",IF(OR($H1241=Lists!$B$3,$H1241=Lists!$B$5),IF(AND(LEFT(SUBSTITUTE($I1241," ",""),LEN($F1241)+1)=$F1241&amp;"-",LEN(SUBSTITUTE($I1241," ",""))&gt;LEN($F1241)+1),"OK","Comment required"),"OK")))</f>
      </c>
    </row>
    <row r="1242" spans="1:10" x14ac:dyDescent="0.25">
      <c r="A1242" s="1"/>
      <c r="B1242" s="20"/>
      <c r="C1242" s="1"/>
      <c r="D1242" s="1"/>
      <c r="E1242" s="1"/>
      <c r="F1242" s="1"/>
      <c r="G1242" s="1"/>
      <c r="H1242" s="1"/>
      <c r="I1242" s="1"/>
      <c r="J1242" s="1">
        <f>IF($F1242="","",IF($H1242="","Not rated",IF(OR($H1242=Lists!$B$3,$H1242=Lists!$B$5),IF(AND(LEFT(SUBSTITUTE($I1242," ",""),LEN($F1242)+1)=$F1242&amp;"-",LEN(SUBSTITUTE($I1242," ",""))&gt;LEN($F1242)+1),"OK","Comment required"),"OK")))</f>
      </c>
    </row>
    <row r="1243" spans="1:10" x14ac:dyDescent="0.25">
      <c r="A1243" s="1"/>
      <c r="B1243" s="20"/>
      <c r="C1243" s="1"/>
      <c r="D1243" s="1"/>
      <c r="E1243" s="1"/>
      <c r="F1243" s="1"/>
      <c r="G1243" s="1"/>
      <c r="H1243" s="1"/>
      <c r="I1243" s="1"/>
      <c r="J1243" s="1">
        <f>IF($F1243="","",IF($H1243="","Not rated",IF(OR($H1243=Lists!$B$3,$H1243=Lists!$B$5),IF(AND(LEFT(SUBSTITUTE($I1243," ",""),LEN($F1243)+1)=$F1243&amp;"-",LEN(SUBSTITUTE($I1243," ",""))&gt;LEN($F1243)+1),"OK","Comment required"),"OK")))</f>
      </c>
    </row>
    <row r="1244" spans="1:10" x14ac:dyDescent="0.25">
      <c r="A1244" s="1"/>
      <c r="B1244" s="20"/>
      <c r="C1244" s="1"/>
      <c r="D1244" s="1"/>
      <c r="E1244" s="1"/>
      <c r="F1244" s="1"/>
      <c r="G1244" s="1"/>
      <c r="H1244" s="1"/>
      <c r="I1244" s="1"/>
      <c r="J1244" s="1">
        <f>IF($F1244="","",IF($H1244="","Not rated",IF(OR($H1244=Lists!$B$3,$H1244=Lists!$B$5),IF(AND(LEFT(SUBSTITUTE($I1244," ",""),LEN($F1244)+1)=$F1244&amp;"-",LEN(SUBSTITUTE($I1244," ",""))&gt;LEN($F1244)+1),"OK","Comment required"),"OK")))</f>
      </c>
    </row>
    <row r="1245" spans="1:10" x14ac:dyDescent="0.25">
      <c r="A1245" s="1"/>
      <c r="B1245" s="20"/>
      <c r="C1245" s="1"/>
      <c r="D1245" s="1"/>
      <c r="E1245" s="1"/>
      <c r="F1245" s="1"/>
      <c r="G1245" s="1"/>
      <c r="H1245" s="1"/>
      <c r="I1245" s="1"/>
      <c r="J1245" s="1">
        <f>IF($F1245="","",IF($H1245="","Not rated",IF(OR($H1245=Lists!$B$3,$H1245=Lists!$B$5),IF(AND(LEFT(SUBSTITUTE($I1245," ",""),LEN($F1245)+1)=$F1245&amp;"-",LEN(SUBSTITUTE($I1245," ",""))&gt;LEN($F1245)+1),"OK","Comment required"),"OK")))</f>
      </c>
    </row>
    <row r="1246" spans="1:10" x14ac:dyDescent="0.25">
      <c r="A1246" s="1"/>
      <c r="B1246" s="20"/>
      <c r="C1246" s="1"/>
      <c r="D1246" s="1"/>
      <c r="E1246" s="1"/>
      <c r="F1246" s="1"/>
      <c r="G1246" s="1"/>
      <c r="H1246" s="1"/>
      <c r="I1246" s="1"/>
      <c r="J1246" s="1">
        <f>IF($F1246="","",IF($H1246="","Not rated",IF(OR($H1246=Lists!$B$3,$H1246=Lists!$B$5),IF(AND(LEFT(SUBSTITUTE($I1246," ",""),LEN($F1246)+1)=$F1246&amp;"-",LEN(SUBSTITUTE($I1246," ",""))&gt;LEN($F1246)+1),"OK","Comment required"),"OK")))</f>
      </c>
    </row>
    <row r="1247" spans="1:10" x14ac:dyDescent="0.25">
      <c r="A1247" s="1"/>
      <c r="B1247" s="20"/>
      <c r="C1247" s="1"/>
      <c r="D1247" s="1"/>
      <c r="E1247" s="1"/>
      <c r="F1247" s="1"/>
      <c r="G1247" s="1"/>
      <c r="H1247" s="1"/>
      <c r="I1247" s="1"/>
      <c r="J1247" s="1">
        <f>IF($F1247="","",IF($H1247="","Not rated",IF(OR($H1247=Lists!$B$3,$H1247=Lists!$B$5),IF(AND(LEFT(SUBSTITUTE($I1247," ",""),LEN($F1247)+1)=$F1247&amp;"-",LEN(SUBSTITUTE($I1247," ",""))&gt;LEN($F1247)+1),"OK","Comment required"),"OK")))</f>
      </c>
    </row>
    <row r="1248" spans="1:10" x14ac:dyDescent="0.25">
      <c r="A1248" s="1"/>
      <c r="B1248" s="20"/>
      <c r="C1248" s="1"/>
      <c r="D1248" s="1"/>
      <c r="E1248" s="1"/>
      <c r="F1248" s="1"/>
      <c r="G1248" s="1"/>
      <c r="H1248" s="1"/>
      <c r="I1248" s="1"/>
      <c r="J1248" s="1">
        <f>IF($F1248="","",IF($H1248="","Not rated",IF(OR($H1248=Lists!$B$3,$H1248=Lists!$B$5),IF(AND(LEFT(SUBSTITUTE($I1248," ",""),LEN($F1248)+1)=$F1248&amp;"-",LEN(SUBSTITUTE($I1248," ",""))&gt;LEN($F1248)+1),"OK","Comment required"),"OK")))</f>
      </c>
    </row>
    <row r="1249" spans="1:10" x14ac:dyDescent="0.25">
      <c r="A1249" s="1"/>
      <c r="B1249" s="20"/>
      <c r="C1249" s="1"/>
      <c r="D1249" s="1"/>
      <c r="E1249" s="1"/>
      <c r="F1249" s="1"/>
      <c r="G1249" s="1"/>
      <c r="H1249" s="1"/>
      <c r="I1249" s="1"/>
      <c r="J1249" s="1">
        <f>IF($F1249="","",IF($H1249="","Not rated",IF(OR($H1249=Lists!$B$3,$H1249=Lists!$B$5),IF(AND(LEFT(SUBSTITUTE($I1249," ",""),LEN($F1249)+1)=$F1249&amp;"-",LEN(SUBSTITUTE($I1249," ",""))&gt;LEN($F1249)+1),"OK","Comment required"),"OK")))</f>
      </c>
    </row>
    <row r="1250" spans="1:10" x14ac:dyDescent="0.25">
      <c r="A1250" s="1"/>
      <c r="B1250" s="20"/>
      <c r="C1250" s="1"/>
      <c r="D1250" s="1"/>
      <c r="E1250" s="1"/>
      <c r="F1250" s="1"/>
      <c r="G1250" s="1"/>
      <c r="H1250" s="1"/>
      <c r="I1250" s="1"/>
      <c r="J1250" s="1">
        <f>IF($F1250="","",IF($H1250="","Not rated",IF(OR($H1250=Lists!$B$3,$H1250=Lists!$B$5),IF(AND(LEFT(SUBSTITUTE($I1250," ",""),LEN($F1250)+1)=$F1250&amp;"-",LEN(SUBSTITUTE($I1250," ",""))&gt;LEN($F1250)+1),"OK","Comment required"),"OK")))</f>
      </c>
    </row>
    <row r="1251" spans="1:10" x14ac:dyDescent="0.25">
      <c r="A1251" s="1"/>
      <c r="B1251" s="20"/>
      <c r="C1251" s="1"/>
      <c r="D1251" s="1"/>
      <c r="E1251" s="1"/>
      <c r="F1251" s="1"/>
      <c r="G1251" s="1"/>
      <c r="H1251" s="1"/>
      <c r="I1251" s="1"/>
      <c r="J1251" s="1">
        <f>IF($F1251="","",IF($H1251="","Not rated",IF(OR($H1251=Lists!$B$3,$H1251=Lists!$B$5),IF(AND(LEFT(SUBSTITUTE($I1251," ",""),LEN($F1251)+1)=$F1251&amp;"-",LEN(SUBSTITUTE($I1251," ",""))&gt;LEN($F1251)+1),"OK","Comment required"),"OK")))</f>
      </c>
    </row>
    <row r="1252" spans="1:10" x14ac:dyDescent="0.25">
      <c r="A1252" s="1"/>
      <c r="B1252" s="20"/>
      <c r="C1252" s="1"/>
      <c r="D1252" s="1"/>
      <c r="E1252" s="1"/>
      <c r="F1252" s="1"/>
      <c r="G1252" s="1"/>
      <c r="H1252" s="1"/>
      <c r="I1252" s="1"/>
      <c r="J1252" s="1">
        <f>IF($F1252="","",IF($H1252="","Not rated",IF(OR($H1252=Lists!$B$3,$H1252=Lists!$B$5),IF(AND(LEFT(SUBSTITUTE($I1252," ",""),LEN($F1252)+1)=$F1252&amp;"-",LEN(SUBSTITUTE($I1252," ",""))&gt;LEN($F1252)+1),"OK","Comment required"),"OK")))</f>
      </c>
    </row>
    <row r="1253" spans="1:10" x14ac:dyDescent="0.25">
      <c r="A1253" s="1"/>
      <c r="B1253" s="20"/>
      <c r="C1253" s="1"/>
      <c r="D1253" s="1"/>
      <c r="E1253" s="1"/>
      <c r="F1253" s="1"/>
      <c r="G1253" s="1"/>
      <c r="H1253" s="1"/>
      <c r="I1253" s="1"/>
      <c r="J1253" s="1">
        <f>IF($F1253="","",IF($H1253="","Not rated",IF(OR($H1253=Lists!$B$3,$H1253=Lists!$B$5),IF(AND(LEFT(SUBSTITUTE($I1253," ",""),LEN($F1253)+1)=$F1253&amp;"-",LEN(SUBSTITUTE($I1253," ",""))&gt;LEN($F1253)+1),"OK","Comment required"),"OK")))</f>
      </c>
    </row>
    <row r="1254" spans="1:10" x14ac:dyDescent="0.25">
      <c r="A1254" s="1"/>
      <c r="B1254" s="20"/>
      <c r="C1254" s="1"/>
      <c r="D1254" s="1"/>
      <c r="E1254" s="1"/>
      <c r="F1254" s="1"/>
      <c r="G1254" s="1"/>
      <c r="H1254" s="1"/>
      <c r="I1254" s="1"/>
      <c r="J1254" s="1">
        <f>IF($F1254="","",IF($H1254="","Not rated",IF(OR($H1254=Lists!$B$3,$H1254=Lists!$B$5),IF(AND(LEFT(SUBSTITUTE($I1254," ",""),LEN($F1254)+1)=$F1254&amp;"-",LEN(SUBSTITUTE($I1254," ",""))&gt;LEN($F1254)+1),"OK","Comment required"),"OK")))</f>
      </c>
    </row>
    <row r="1255" spans="1:10" x14ac:dyDescent="0.25">
      <c r="A1255" s="1"/>
      <c r="B1255" s="20"/>
      <c r="C1255" s="1"/>
      <c r="D1255" s="1"/>
      <c r="E1255" s="1"/>
      <c r="F1255" s="1"/>
      <c r="G1255" s="1"/>
      <c r="H1255" s="1"/>
      <c r="I1255" s="1"/>
      <c r="J1255" s="1">
        <f>IF($F1255="","",IF($H1255="","Not rated",IF(OR($H1255=Lists!$B$3,$H1255=Lists!$B$5),IF(AND(LEFT(SUBSTITUTE($I1255," ",""),LEN($F1255)+1)=$F1255&amp;"-",LEN(SUBSTITUTE($I1255," ",""))&gt;LEN($F1255)+1),"OK","Comment required"),"OK")))</f>
      </c>
    </row>
    <row r="1256" spans="1:10" x14ac:dyDescent="0.25">
      <c r="A1256" s="1"/>
      <c r="B1256" s="20"/>
      <c r="C1256" s="1"/>
      <c r="D1256" s="1"/>
      <c r="E1256" s="1"/>
      <c r="F1256" s="1"/>
      <c r="G1256" s="1"/>
      <c r="H1256" s="1"/>
      <c r="I1256" s="1"/>
      <c r="J1256" s="1">
        <f>IF($F1256="","",IF($H1256="","Not rated",IF(OR($H1256=Lists!$B$3,$H1256=Lists!$B$5),IF(AND(LEFT(SUBSTITUTE($I1256," ",""),LEN($F1256)+1)=$F1256&amp;"-",LEN(SUBSTITUTE($I1256," ",""))&gt;LEN($F1256)+1),"OK","Comment required"),"OK")))</f>
      </c>
    </row>
    <row r="1257" spans="1:10" x14ac:dyDescent="0.25">
      <c r="A1257" s="1"/>
      <c r="B1257" s="20"/>
      <c r="C1257" s="1"/>
      <c r="D1257" s="1"/>
      <c r="E1257" s="1"/>
      <c r="F1257" s="1"/>
      <c r="G1257" s="1"/>
      <c r="H1257" s="1"/>
      <c r="I1257" s="1"/>
      <c r="J1257" s="1">
        <f>IF($F1257="","",IF($H1257="","Not rated",IF(OR($H1257=Lists!$B$3,$H1257=Lists!$B$5),IF(AND(LEFT(SUBSTITUTE($I1257," ",""),LEN($F1257)+1)=$F1257&amp;"-",LEN(SUBSTITUTE($I1257," ",""))&gt;LEN($F1257)+1),"OK","Comment required"),"OK")))</f>
      </c>
    </row>
    <row r="1258" spans="1:10" x14ac:dyDescent="0.25">
      <c r="A1258" s="1"/>
      <c r="B1258" s="20"/>
      <c r="C1258" s="1"/>
      <c r="D1258" s="1"/>
      <c r="E1258" s="1"/>
      <c r="F1258" s="1"/>
      <c r="G1258" s="1"/>
      <c r="H1258" s="1"/>
      <c r="I1258" s="1"/>
      <c r="J1258" s="1">
        <f>IF($F1258="","",IF($H1258="","Not rated",IF(OR($H1258=Lists!$B$3,$H1258=Lists!$B$5),IF(AND(LEFT(SUBSTITUTE($I1258," ",""),LEN($F1258)+1)=$F1258&amp;"-",LEN(SUBSTITUTE($I1258," ",""))&gt;LEN($F1258)+1),"OK","Comment required"),"OK")))</f>
      </c>
    </row>
    <row r="1259" spans="1:10" x14ac:dyDescent="0.25">
      <c r="A1259" s="1"/>
      <c r="B1259" s="20"/>
      <c r="C1259" s="1"/>
      <c r="D1259" s="1"/>
      <c r="E1259" s="1"/>
      <c r="F1259" s="1"/>
      <c r="G1259" s="1"/>
      <c r="H1259" s="1"/>
      <c r="I1259" s="1"/>
      <c r="J1259" s="1">
        <f>IF($F1259="","",IF($H1259="","Not rated",IF(OR($H1259=Lists!$B$3,$H1259=Lists!$B$5),IF(AND(LEFT(SUBSTITUTE($I1259," ",""),LEN($F1259)+1)=$F1259&amp;"-",LEN(SUBSTITUTE($I1259," ",""))&gt;LEN($F1259)+1),"OK","Comment required"),"OK")))</f>
      </c>
    </row>
    <row r="1260" spans="1:10" x14ac:dyDescent="0.25">
      <c r="A1260" s="1"/>
      <c r="B1260" s="20"/>
      <c r="C1260" s="1"/>
      <c r="D1260" s="1"/>
      <c r="E1260" s="1"/>
      <c r="F1260" s="1"/>
      <c r="G1260" s="1"/>
      <c r="H1260" s="1"/>
      <c r="I1260" s="1"/>
      <c r="J1260" s="1">
        <f>IF($F1260="","",IF($H1260="","Not rated",IF(OR($H1260=Lists!$B$3,$H1260=Lists!$B$5),IF(AND(LEFT(SUBSTITUTE($I1260," ",""),LEN($F1260)+1)=$F1260&amp;"-",LEN(SUBSTITUTE($I1260," ",""))&gt;LEN($F1260)+1),"OK","Comment required"),"OK")))</f>
      </c>
    </row>
    <row r="1261" spans="1:10" x14ac:dyDescent="0.25">
      <c r="A1261" s="1"/>
      <c r="B1261" s="20"/>
      <c r="C1261" s="1"/>
      <c r="D1261" s="1"/>
      <c r="E1261" s="1"/>
      <c r="F1261" s="1"/>
      <c r="G1261" s="1"/>
      <c r="H1261" s="1"/>
      <c r="I1261" s="1"/>
      <c r="J1261" s="1">
        <f>IF($F1261="","",IF($H1261="","Not rated",IF(OR($H1261=Lists!$B$3,$H1261=Lists!$B$5),IF(AND(LEFT(SUBSTITUTE($I1261," ",""),LEN($F1261)+1)=$F1261&amp;"-",LEN(SUBSTITUTE($I1261," ",""))&gt;LEN($F1261)+1),"OK","Comment required"),"OK")))</f>
      </c>
    </row>
    <row r="1262" spans="1:10" x14ac:dyDescent="0.25">
      <c r="A1262" s="1"/>
      <c r="B1262" s="20"/>
      <c r="C1262" s="1"/>
      <c r="D1262" s="1"/>
      <c r="E1262" s="1"/>
      <c r="F1262" s="1"/>
      <c r="G1262" s="1"/>
      <c r="H1262" s="1"/>
      <c r="I1262" s="1"/>
      <c r="J1262" s="1">
        <f>IF($F1262="","",IF($H1262="","Not rated",IF(OR($H1262=Lists!$B$3,$H1262=Lists!$B$5),IF(AND(LEFT(SUBSTITUTE($I1262," ",""),LEN($F1262)+1)=$F1262&amp;"-",LEN(SUBSTITUTE($I1262," ",""))&gt;LEN($F1262)+1),"OK","Comment required"),"OK")))</f>
      </c>
    </row>
    <row r="1263" spans="1:10" x14ac:dyDescent="0.25">
      <c r="A1263" s="1"/>
      <c r="B1263" s="20"/>
      <c r="C1263" s="1"/>
      <c r="D1263" s="1"/>
      <c r="E1263" s="1"/>
      <c r="F1263" s="1"/>
      <c r="G1263" s="1"/>
      <c r="H1263" s="1"/>
      <c r="I1263" s="1"/>
      <c r="J1263" s="1">
        <f>IF($F1263="","",IF($H1263="","Not rated",IF(OR($H1263=Lists!$B$3,$H1263=Lists!$B$5),IF(AND(LEFT(SUBSTITUTE($I1263," ",""),LEN($F1263)+1)=$F1263&amp;"-",LEN(SUBSTITUTE($I1263," ",""))&gt;LEN($F1263)+1),"OK","Comment required"),"OK")))</f>
      </c>
    </row>
    <row r="1264" spans="1:10" x14ac:dyDescent="0.25">
      <c r="A1264" s="1"/>
      <c r="B1264" s="20"/>
      <c r="C1264" s="1"/>
      <c r="D1264" s="1"/>
      <c r="E1264" s="1"/>
      <c r="F1264" s="1"/>
      <c r="G1264" s="1"/>
      <c r="H1264" s="1"/>
      <c r="I1264" s="1"/>
      <c r="J1264" s="1">
        <f>IF($F1264="","",IF($H1264="","Not rated",IF(OR($H1264=Lists!$B$3,$H1264=Lists!$B$5),IF(AND(LEFT(SUBSTITUTE($I1264," ",""),LEN($F1264)+1)=$F1264&amp;"-",LEN(SUBSTITUTE($I1264," ",""))&gt;LEN($F1264)+1),"OK","Comment required"),"OK")))</f>
      </c>
    </row>
    <row r="1265" spans="1:10" x14ac:dyDescent="0.25">
      <c r="A1265" s="1"/>
      <c r="B1265" s="20"/>
      <c r="C1265" s="1"/>
      <c r="D1265" s="1"/>
      <c r="E1265" s="1"/>
      <c r="F1265" s="1"/>
      <c r="G1265" s="1"/>
      <c r="H1265" s="1"/>
      <c r="I1265" s="1"/>
      <c r="J1265" s="1">
        <f>IF($F1265="","",IF($H1265="","Not rated",IF(OR($H1265=Lists!$B$3,$H1265=Lists!$B$5),IF(AND(LEFT(SUBSTITUTE($I1265," ",""),LEN($F1265)+1)=$F1265&amp;"-",LEN(SUBSTITUTE($I1265," ",""))&gt;LEN($F1265)+1),"OK","Comment required"),"OK")))</f>
      </c>
    </row>
    <row r="1266" spans="1:10" x14ac:dyDescent="0.25">
      <c r="A1266" s="1"/>
      <c r="B1266" s="20"/>
      <c r="C1266" s="1"/>
      <c r="D1266" s="1"/>
      <c r="E1266" s="1"/>
      <c r="F1266" s="1"/>
      <c r="G1266" s="1"/>
      <c r="H1266" s="1"/>
      <c r="I1266" s="1"/>
      <c r="J1266" s="1">
        <f>IF($F1266="","",IF($H1266="","Not rated",IF(OR($H1266=Lists!$B$3,$H1266=Lists!$B$5),IF(AND(LEFT(SUBSTITUTE($I1266," ",""),LEN($F1266)+1)=$F1266&amp;"-",LEN(SUBSTITUTE($I1266," ",""))&gt;LEN($F1266)+1),"OK","Comment required"),"OK")))</f>
      </c>
    </row>
    <row r="1267" spans="1:10" x14ac:dyDescent="0.25">
      <c r="A1267" s="1"/>
      <c r="B1267" s="20"/>
      <c r="C1267" s="1"/>
      <c r="D1267" s="1"/>
      <c r="E1267" s="1"/>
      <c r="F1267" s="1"/>
      <c r="G1267" s="1"/>
      <c r="H1267" s="1"/>
      <c r="I1267" s="1"/>
      <c r="J1267" s="1">
        <f>IF($F1267="","",IF($H1267="","Not rated",IF(OR($H1267=Lists!$B$3,$H1267=Lists!$B$5),IF(AND(LEFT(SUBSTITUTE($I1267," ",""),LEN($F1267)+1)=$F1267&amp;"-",LEN(SUBSTITUTE($I1267," ",""))&gt;LEN($F1267)+1),"OK","Comment required"),"OK")))</f>
      </c>
    </row>
    <row r="1268" spans="1:10" x14ac:dyDescent="0.25">
      <c r="A1268" s="1"/>
      <c r="B1268" s="20"/>
      <c r="C1268" s="1"/>
      <c r="D1268" s="1"/>
      <c r="E1268" s="1"/>
      <c r="F1268" s="1"/>
      <c r="G1268" s="1"/>
      <c r="H1268" s="1"/>
      <c r="I1268" s="1"/>
      <c r="J1268" s="1">
        <f>IF($F1268="","",IF($H1268="","Not rated",IF(OR($H1268=Lists!$B$3,$H1268=Lists!$B$5),IF(AND(LEFT(SUBSTITUTE($I1268," ",""),LEN($F1268)+1)=$F1268&amp;"-",LEN(SUBSTITUTE($I1268," ",""))&gt;LEN($F1268)+1),"OK","Comment required"),"OK")))</f>
      </c>
    </row>
    <row r="1269" spans="1:10" x14ac:dyDescent="0.25">
      <c r="A1269" s="1"/>
      <c r="B1269" s="20"/>
      <c r="C1269" s="1"/>
      <c r="D1269" s="1"/>
      <c r="E1269" s="1"/>
      <c r="F1269" s="1"/>
      <c r="G1269" s="1"/>
      <c r="H1269" s="1"/>
      <c r="I1269" s="1"/>
      <c r="J1269" s="1">
        <f>IF($F1269="","",IF($H1269="","Not rated",IF(OR($H1269=Lists!$B$3,$H1269=Lists!$B$5),IF(AND(LEFT(SUBSTITUTE($I1269," ",""),LEN($F1269)+1)=$F1269&amp;"-",LEN(SUBSTITUTE($I1269," ",""))&gt;LEN($F1269)+1),"OK","Comment required"),"OK")))</f>
      </c>
    </row>
    <row r="1270" spans="1:10" x14ac:dyDescent="0.25">
      <c r="A1270" s="1"/>
      <c r="B1270" s="20"/>
      <c r="C1270" s="1"/>
      <c r="D1270" s="1"/>
      <c r="E1270" s="1"/>
      <c r="F1270" s="1"/>
      <c r="G1270" s="1"/>
      <c r="H1270" s="1"/>
      <c r="I1270" s="1"/>
      <c r="J1270" s="1">
        <f>IF($F1270="","",IF($H1270="","Not rated",IF(OR($H1270=Lists!$B$3,$H1270=Lists!$B$5),IF(AND(LEFT(SUBSTITUTE($I1270," ",""),LEN($F1270)+1)=$F1270&amp;"-",LEN(SUBSTITUTE($I1270," ",""))&gt;LEN($F1270)+1),"OK","Comment required"),"OK")))</f>
      </c>
    </row>
    <row r="1271" spans="1:10" x14ac:dyDescent="0.25">
      <c r="A1271" s="1"/>
      <c r="B1271" s="20"/>
      <c r="C1271" s="1"/>
      <c r="D1271" s="1"/>
      <c r="E1271" s="1"/>
      <c r="F1271" s="1"/>
      <c r="G1271" s="1"/>
      <c r="H1271" s="1"/>
      <c r="I1271" s="1"/>
      <c r="J1271" s="1">
        <f>IF($F1271="","",IF($H1271="","Not rated",IF(OR($H1271=Lists!$B$3,$H1271=Lists!$B$5),IF(AND(LEFT(SUBSTITUTE($I1271," ",""),LEN($F1271)+1)=$F1271&amp;"-",LEN(SUBSTITUTE($I1271," ",""))&gt;LEN($F1271)+1),"OK","Comment required"),"OK")))</f>
      </c>
    </row>
    <row r="1272" spans="1:10" x14ac:dyDescent="0.25">
      <c r="A1272" s="1"/>
      <c r="B1272" s="20"/>
      <c r="C1272" s="1"/>
      <c r="D1272" s="1"/>
      <c r="E1272" s="1"/>
      <c r="F1272" s="1"/>
      <c r="G1272" s="1"/>
      <c r="H1272" s="1"/>
      <c r="I1272" s="1"/>
      <c r="J1272" s="1">
        <f>IF($F1272="","",IF($H1272="","Not rated",IF(OR($H1272=Lists!$B$3,$H1272=Lists!$B$5),IF(AND(LEFT(SUBSTITUTE($I1272," ",""),LEN($F1272)+1)=$F1272&amp;"-",LEN(SUBSTITUTE($I1272," ",""))&gt;LEN($F1272)+1),"OK","Comment required"),"OK")))</f>
      </c>
    </row>
    <row r="1273" spans="1:10" x14ac:dyDescent="0.25">
      <c r="A1273" s="1"/>
      <c r="B1273" s="20"/>
      <c r="C1273" s="1"/>
      <c r="D1273" s="1"/>
      <c r="E1273" s="1"/>
      <c r="F1273" s="1"/>
      <c r="G1273" s="1"/>
      <c r="H1273" s="1"/>
      <c r="I1273" s="1"/>
      <c r="J1273" s="1">
        <f>IF($F1273="","",IF($H1273="","Not rated",IF(OR($H1273=Lists!$B$3,$H1273=Lists!$B$5),IF(AND(LEFT(SUBSTITUTE($I1273," ",""),LEN($F1273)+1)=$F1273&amp;"-",LEN(SUBSTITUTE($I1273," ",""))&gt;LEN($F1273)+1),"OK","Comment required"),"OK")))</f>
      </c>
    </row>
    <row r="1274" spans="1:10" x14ac:dyDescent="0.25">
      <c r="A1274" s="1"/>
      <c r="B1274" s="20"/>
      <c r="C1274" s="1"/>
      <c r="D1274" s="1"/>
      <c r="E1274" s="1"/>
      <c r="F1274" s="1"/>
      <c r="G1274" s="1"/>
      <c r="H1274" s="1"/>
      <c r="I1274" s="1"/>
      <c r="J1274" s="1">
        <f>IF($F1274="","",IF($H1274="","Not rated",IF(OR($H1274=Lists!$B$3,$H1274=Lists!$B$5),IF(AND(LEFT(SUBSTITUTE($I1274," ",""),LEN($F1274)+1)=$F1274&amp;"-",LEN(SUBSTITUTE($I1274," ",""))&gt;LEN($F1274)+1),"OK","Comment required"),"OK")))</f>
      </c>
    </row>
    <row r="1275" spans="1:10" x14ac:dyDescent="0.25">
      <c r="A1275" s="1"/>
      <c r="B1275" s="20"/>
      <c r="C1275" s="1"/>
      <c r="D1275" s="1"/>
      <c r="E1275" s="1"/>
      <c r="F1275" s="1"/>
      <c r="G1275" s="1"/>
      <c r="H1275" s="1"/>
      <c r="I1275" s="1"/>
      <c r="J1275" s="1">
        <f>IF($F1275="","",IF($H1275="","Not rated",IF(OR($H1275=Lists!$B$3,$H1275=Lists!$B$5),IF(AND(LEFT(SUBSTITUTE($I1275," ",""),LEN($F1275)+1)=$F1275&amp;"-",LEN(SUBSTITUTE($I1275," ",""))&gt;LEN($F1275)+1),"OK","Comment required"),"OK")))</f>
      </c>
    </row>
    <row r="1276" spans="1:10" x14ac:dyDescent="0.25">
      <c r="A1276" s="1"/>
      <c r="B1276" s="20"/>
      <c r="C1276" s="1"/>
      <c r="D1276" s="1"/>
      <c r="E1276" s="1"/>
      <c r="F1276" s="1"/>
      <c r="G1276" s="1"/>
      <c r="H1276" s="1"/>
      <c r="I1276" s="1"/>
      <c r="J1276" s="1">
        <f>IF($F1276="","",IF($H1276="","Not rated",IF(OR($H1276=Lists!$B$3,$H1276=Lists!$B$5),IF(AND(LEFT(SUBSTITUTE($I1276," ",""),LEN($F1276)+1)=$F1276&amp;"-",LEN(SUBSTITUTE($I1276," ",""))&gt;LEN($F1276)+1),"OK","Comment required"),"OK")))</f>
      </c>
    </row>
    <row r="1277" spans="1:10" x14ac:dyDescent="0.25">
      <c r="A1277" s="1"/>
      <c r="B1277" s="20"/>
      <c r="C1277" s="1"/>
      <c r="D1277" s="1"/>
      <c r="E1277" s="1"/>
      <c r="F1277" s="1"/>
      <c r="G1277" s="1"/>
      <c r="H1277" s="1"/>
      <c r="I1277" s="1"/>
      <c r="J1277" s="1">
        <f>IF($F1277="","",IF($H1277="","Not rated",IF(OR($H1277=Lists!$B$3,$H1277=Lists!$B$5),IF(AND(LEFT(SUBSTITUTE($I1277," ",""),LEN($F1277)+1)=$F1277&amp;"-",LEN(SUBSTITUTE($I1277," ",""))&gt;LEN($F1277)+1),"OK","Comment required"),"OK")))</f>
      </c>
    </row>
    <row r="1278" spans="1:10" x14ac:dyDescent="0.25">
      <c r="A1278" s="1"/>
      <c r="B1278" s="20"/>
      <c r="C1278" s="1"/>
      <c r="D1278" s="1"/>
      <c r="E1278" s="1"/>
      <c r="F1278" s="1"/>
      <c r="G1278" s="1"/>
      <c r="H1278" s="1"/>
      <c r="I1278" s="1"/>
      <c r="J1278" s="1">
        <f>IF($F1278="","",IF($H1278="","Not rated",IF(OR($H1278=Lists!$B$3,$H1278=Lists!$B$5),IF(AND(LEFT(SUBSTITUTE($I1278," ",""),LEN($F1278)+1)=$F1278&amp;"-",LEN(SUBSTITUTE($I1278," ",""))&gt;LEN($F1278)+1),"OK","Comment required"),"OK")))</f>
      </c>
    </row>
    <row r="1279" spans="1:10" x14ac:dyDescent="0.25">
      <c r="A1279" s="1"/>
      <c r="B1279" s="20"/>
      <c r="C1279" s="1"/>
      <c r="D1279" s="1"/>
      <c r="E1279" s="1"/>
      <c r="F1279" s="1"/>
      <c r="G1279" s="1"/>
      <c r="H1279" s="1"/>
      <c r="I1279" s="1"/>
      <c r="J1279" s="1">
        <f>IF($F1279="","",IF($H1279="","Not rated",IF(OR($H1279=Lists!$B$3,$H1279=Lists!$B$5),IF(AND(LEFT(SUBSTITUTE($I1279," ",""),LEN($F1279)+1)=$F1279&amp;"-",LEN(SUBSTITUTE($I1279," ",""))&gt;LEN($F1279)+1),"OK","Comment required"),"OK")))</f>
      </c>
    </row>
    <row r="1280" spans="1:10" x14ac:dyDescent="0.25">
      <c r="A1280" s="1"/>
      <c r="B1280" s="20"/>
      <c r="C1280" s="1"/>
      <c r="D1280" s="1"/>
      <c r="E1280" s="1"/>
      <c r="F1280" s="1"/>
      <c r="G1280" s="1"/>
      <c r="H1280" s="1"/>
      <c r="I1280" s="1"/>
      <c r="J1280" s="1">
        <f>IF($F1280="","",IF($H1280="","Not rated",IF(OR($H1280=Lists!$B$3,$H1280=Lists!$B$5),IF(AND(LEFT(SUBSTITUTE($I1280," ",""),LEN($F1280)+1)=$F1280&amp;"-",LEN(SUBSTITUTE($I1280," ",""))&gt;LEN($F1280)+1),"OK","Comment required"),"OK")))</f>
      </c>
    </row>
    <row r="1281" spans="1:10" x14ac:dyDescent="0.25">
      <c r="A1281" s="1"/>
      <c r="B1281" s="20"/>
      <c r="C1281" s="1"/>
      <c r="D1281" s="1"/>
      <c r="E1281" s="1"/>
      <c r="F1281" s="1"/>
      <c r="G1281" s="1"/>
      <c r="H1281" s="1"/>
      <c r="I1281" s="1"/>
      <c r="J1281" s="1">
        <f>IF($F1281="","",IF($H1281="","Not rated",IF(OR($H1281=Lists!$B$3,$H1281=Lists!$B$5),IF(AND(LEFT(SUBSTITUTE($I1281," ",""),LEN($F1281)+1)=$F1281&amp;"-",LEN(SUBSTITUTE($I1281," ",""))&gt;LEN($F1281)+1),"OK","Comment required"),"OK")))</f>
      </c>
    </row>
    <row r="1282" spans="1:10" x14ac:dyDescent="0.25">
      <c r="A1282" s="1"/>
      <c r="B1282" s="20"/>
      <c r="C1282" s="1"/>
      <c r="D1282" s="1"/>
      <c r="E1282" s="1"/>
      <c r="F1282" s="1"/>
      <c r="G1282" s="1"/>
      <c r="H1282" s="1"/>
      <c r="I1282" s="1"/>
      <c r="J1282" s="1">
        <f>IF($F1282="","",IF($H1282="","Not rated",IF(OR($H1282=Lists!$B$3,$H1282=Lists!$B$5),IF(AND(LEFT(SUBSTITUTE($I1282," ",""),LEN($F1282)+1)=$F1282&amp;"-",LEN(SUBSTITUTE($I1282," ",""))&gt;LEN($F1282)+1),"OK","Comment required"),"OK")))</f>
      </c>
    </row>
    <row r="1283" spans="1:10" x14ac:dyDescent="0.25">
      <c r="A1283" s="1"/>
      <c r="B1283" s="20"/>
      <c r="C1283" s="1"/>
      <c r="D1283" s="1"/>
      <c r="E1283" s="1"/>
      <c r="F1283" s="1"/>
      <c r="G1283" s="1"/>
      <c r="H1283" s="1"/>
      <c r="I1283" s="1"/>
      <c r="J1283" s="1">
        <f>IF($F1283="","",IF($H1283="","Not rated",IF(OR($H1283=Lists!$B$3,$H1283=Lists!$B$5),IF(AND(LEFT(SUBSTITUTE($I1283," ",""),LEN($F1283)+1)=$F1283&amp;"-",LEN(SUBSTITUTE($I1283," ",""))&gt;LEN($F1283)+1),"OK","Comment required"),"OK")))</f>
      </c>
    </row>
    <row r="1284" spans="1:10" x14ac:dyDescent="0.25">
      <c r="A1284" s="1"/>
      <c r="B1284" s="20"/>
      <c r="C1284" s="1"/>
      <c r="D1284" s="1"/>
      <c r="E1284" s="1"/>
      <c r="F1284" s="1"/>
      <c r="G1284" s="1"/>
      <c r="H1284" s="1"/>
      <c r="I1284" s="1"/>
      <c r="J1284" s="1">
        <f>IF($F1284="","",IF($H1284="","Not rated",IF(OR($H1284=Lists!$B$3,$H1284=Lists!$B$5),IF(AND(LEFT(SUBSTITUTE($I1284," ",""),LEN($F1284)+1)=$F1284&amp;"-",LEN(SUBSTITUTE($I1284," ",""))&gt;LEN($F1284)+1),"OK","Comment required"),"OK")))</f>
      </c>
    </row>
    <row r="1285" spans="1:10" x14ac:dyDescent="0.25">
      <c r="A1285" s="1"/>
      <c r="B1285" s="20"/>
      <c r="C1285" s="1"/>
      <c r="D1285" s="1"/>
      <c r="E1285" s="1"/>
      <c r="F1285" s="1"/>
      <c r="G1285" s="1"/>
      <c r="H1285" s="1"/>
      <c r="I1285" s="1"/>
      <c r="J1285" s="1">
        <f>IF($F1285="","",IF($H1285="","Not rated",IF(OR($H1285=Lists!$B$3,$H1285=Lists!$B$5),IF(AND(LEFT(SUBSTITUTE($I1285," ",""),LEN($F1285)+1)=$F1285&amp;"-",LEN(SUBSTITUTE($I1285," ",""))&gt;LEN($F1285)+1),"OK","Comment required"),"OK")))</f>
      </c>
    </row>
    <row r="1286" spans="1:10" x14ac:dyDescent="0.25">
      <c r="A1286" s="1"/>
      <c r="B1286" s="20"/>
      <c r="C1286" s="1"/>
      <c r="D1286" s="1"/>
      <c r="E1286" s="1"/>
      <c r="F1286" s="1"/>
      <c r="G1286" s="1"/>
      <c r="H1286" s="1"/>
      <c r="I1286" s="1"/>
      <c r="J1286" s="1">
        <f>IF($F1286="","",IF($H1286="","Not rated",IF(OR($H1286=Lists!$B$3,$H1286=Lists!$B$5),IF(AND(LEFT(SUBSTITUTE($I1286," ",""),LEN($F1286)+1)=$F1286&amp;"-",LEN(SUBSTITUTE($I1286," ",""))&gt;LEN($F1286)+1),"OK","Comment required"),"OK")))</f>
      </c>
    </row>
    <row r="1287" spans="1:10" x14ac:dyDescent="0.25">
      <c r="A1287" s="1"/>
      <c r="B1287" s="20"/>
      <c r="C1287" s="1"/>
      <c r="D1287" s="1"/>
      <c r="E1287" s="1"/>
      <c r="F1287" s="1"/>
      <c r="G1287" s="1"/>
      <c r="H1287" s="1"/>
      <c r="I1287" s="1"/>
      <c r="J1287" s="1">
        <f>IF($F1287="","",IF($H1287="","Not rated",IF(OR($H1287=Lists!$B$3,$H1287=Lists!$B$5),IF(AND(LEFT(SUBSTITUTE($I1287," ",""),LEN($F1287)+1)=$F1287&amp;"-",LEN(SUBSTITUTE($I1287," ",""))&gt;LEN($F1287)+1),"OK","Comment required"),"OK")))</f>
      </c>
    </row>
    <row r="1288" spans="1:10" x14ac:dyDescent="0.25">
      <c r="A1288" s="1"/>
      <c r="B1288" s="20"/>
      <c r="C1288" s="1"/>
      <c r="D1288" s="1"/>
      <c r="E1288" s="1"/>
      <c r="F1288" s="1"/>
      <c r="G1288" s="1"/>
      <c r="H1288" s="1"/>
      <c r="I1288" s="1"/>
      <c r="J1288" s="1">
        <f>IF($F1288="","",IF($H1288="","Not rated",IF(OR($H1288=Lists!$B$3,$H1288=Lists!$B$5),IF(AND(LEFT(SUBSTITUTE($I1288," ",""),LEN($F1288)+1)=$F1288&amp;"-",LEN(SUBSTITUTE($I1288," ",""))&gt;LEN($F1288)+1),"OK","Comment required"),"OK")))</f>
      </c>
    </row>
    <row r="1289" spans="1:10" x14ac:dyDescent="0.25">
      <c r="A1289" s="1"/>
      <c r="B1289" s="20"/>
      <c r="C1289" s="1"/>
      <c r="D1289" s="1"/>
      <c r="E1289" s="1"/>
      <c r="F1289" s="1"/>
      <c r="G1289" s="1"/>
      <c r="H1289" s="1"/>
      <c r="I1289" s="1"/>
      <c r="J1289" s="1">
        <f>IF($F1289="","",IF($H1289="","Not rated",IF(OR($H1289=Lists!$B$3,$H1289=Lists!$B$5),IF(AND(LEFT(SUBSTITUTE($I1289," ",""),LEN($F1289)+1)=$F1289&amp;"-",LEN(SUBSTITUTE($I1289," ",""))&gt;LEN($F1289)+1),"OK","Comment required"),"OK")))</f>
      </c>
    </row>
    <row r="1290" spans="1:10" x14ac:dyDescent="0.25">
      <c r="A1290" s="1"/>
      <c r="B1290" s="20"/>
      <c r="C1290" s="1"/>
      <c r="D1290" s="1"/>
      <c r="E1290" s="1"/>
      <c r="F1290" s="1"/>
      <c r="G1290" s="1"/>
      <c r="H1290" s="1"/>
      <c r="I1290" s="1"/>
      <c r="J1290" s="1">
        <f>IF($F1290="","",IF($H1290="","Not rated",IF(OR($H1290=Lists!$B$3,$H1290=Lists!$B$5),IF(AND(LEFT(SUBSTITUTE($I1290," ",""),LEN($F1290)+1)=$F1290&amp;"-",LEN(SUBSTITUTE($I1290," ",""))&gt;LEN($F1290)+1),"OK","Comment required"),"OK")))</f>
      </c>
    </row>
    <row r="1291" spans="1:10" x14ac:dyDescent="0.25">
      <c r="A1291" s="1"/>
      <c r="B1291" s="20"/>
      <c r="C1291" s="1"/>
      <c r="D1291" s="1"/>
      <c r="E1291" s="1"/>
      <c r="F1291" s="1"/>
      <c r="G1291" s="1"/>
      <c r="H1291" s="1"/>
      <c r="I1291" s="1"/>
      <c r="J1291" s="1">
        <f>IF($F1291="","",IF($H1291="","Not rated",IF(OR($H1291=Lists!$B$3,$H1291=Lists!$B$5),IF(AND(LEFT(SUBSTITUTE($I1291," ",""),LEN($F1291)+1)=$F1291&amp;"-",LEN(SUBSTITUTE($I1291," ",""))&gt;LEN($F1291)+1),"OK","Comment required"),"OK")))</f>
      </c>
    </row>
    <row r="1292" spans="1:10" x14ac:dyDescent="0.25">
      <c r="A1292" s="1"/>
      <c r="B1292" s="20"/>
      <c r="C1292" s="1"/>
      <c r="D1292" s="1"/>
      <c r="E1292" s="1"/>
      <c r="F1292" s="1"/>
      <c r="G1292" s="1"/>
      <c r="H1292" s="1"/>
      <c r="I1292" s="1"/>
      <c r="J1292" s="1">
        <f>IF($F1292="","",IF($H1292="","Not rated",IF(OR($H1292=Lists!$B$3,$H1292=Lists!$B$5),IF(AND(LEFT(SUBSTITUTE($I1292," ",""),LEN($F1292)+1)=$F1292&amp;"-",LEN(SUBSTITUTE($I1292," ",""))&gt;LEN($F1292)+1),"OK","Comment required"),"OK")))</f>
      </c>
    </row>
    <row r="1293" spans="1:10" x14ac:dyDescent="0.25">
      <c r="A1293" s="1"/>
      <c r="B1293" s="20"/>
      <c r="C1293" s="1"/>
      <c r="D1293" s="1"/>
      <c r="E1293" s="1"/>
      <c r="F1293" s="1"/>
      <c r="G1293" s="1"/>
      <c r="H1293" s="1"/>
      <c r="I1293" s="1"/>
      <c r="J1293" s="1">
        <f>IF($F1293="","",IF($H1293="","Not rated",IF(OR($H1293=Lists!$B$3,$H1293=Lists!$B$5),IF(AND(LEFT(SUBSTITUTE($I1293," ",""),LEN($F1293)+1)=$F1293&amp;"-",LEN(SUBSTITUTE($I1293," ",""))&gt;LEN($F1293)+1),"OK","Comment required"),"OK")))</f>
      </c>
    </row>
    <row r="1294" spans="1:10" x14ac:dyDescent="0.25">
      <c r="A1294" s="1"/>
      <c r="B1294" s="20"/>
      <c r="C1294" s="1"/>
      <c r="D1294" s="1"/>
      <c r="E1294" s="1"/>
      <c r="F1294" s="1"/>
      <c r="G1294" s="1"/>
      <c r="H1294" s="1"/>
      <c r="I1294" s="1"/>
      <c r="J1294" s="1">
        <f>IF($F1294="","",IF($H1294="","Not rated",IF(OR($H1294=Lists!$B$3,$H1294=Lists!$B$5),IF(AND(LEFT(SUBSTITUTE($I1294," ",""),LEN($F1294)+1)=$F1294&amp;"-",LEN(SUBSTITUTE($I1294," ",""))&gt;LEN($F1294)+1),"OK","Comment required"),"OK")))</f>
      </c>
    </row>
    <row r="1295" spans="1:10" x14ac:dyDescent="0.25">
      <c r="A1295" s="1"/>
      <c r="B1295" s="20"/>
      <c r="C1295" s="1"/>
      <c r="D1295" s="1"/>
      <c r="E1295" s="1"/>
      <c r="F1295" s="1"/>
      <c r="G1295" s="1"/>
      <c r="H1295" s="1"/>
      <c r="I1295" s="1"/>
      <c r="J1295" s="1">
        <f>IF($F1295="","",IF($H1295="","Not rated",IF(OR($H1295=Lists!$B$3,$H1295=Lists!$B$5),IF(AND(LEFT(SUBSTITUTE($I1295," ",""),LEN($F1295)+1)=$F1295&amp;"-",LEN(SUBSTITUTE($I1295," ",""))&gt;LEN($F1295)+1),"OK","Comment required"),"OK")))</f>
      </c>
    </row>
    <row r="1296" spans="1:10" x14ac:dyDescent="0.25">
      <c r="A1296" s="1"/>
      <c r="B1296" s="20"/>
      <c r="C1296" s="1"/>
      <c r="D1296" s="1"/>
      <c r="E1296" s="1"/>
      <c r="F1296" s="1"/>
      <c r="G1296" s="1"/>
      <c r="H1296" s="1"/>
      <c r="I1296" s="1"/>
      <c r="J1296" s="1">
        <f>IF($F1296="","",IF($H1296="","Not rated",IF(OR($H1296=Lists!$B$3,$H1296=Lists!$B$5),IF(AND(LEFT(SUBSTITUTE($I1296," ",""),LEN($F1296)+1)=$F1296&amp;"-",LEN(SUBSTITUTE($I1296," ",""))&gt;LEN($F1296)+1),"OK","Comment required"),"OK")))</f>
      </c>
    </row>
    <row r="1297" spans="1:10" x14ac:dyDescent="0.25">
      <c r="A1297" s="1"/>
      <c r="B1297" s="20"/>
      <c r="C1297" s="1"/>
      <c r="D1297" s="1"/>
      <c r="E1297" s="1"/>
      <c r="F1297" s="1"/>
      <c r="G1297" s="1"/>
      <c r="H1297" s="1"/>
      <c r="I1297" s="1"/>
      <c r="J1297" s="1">
        <f>IF($F1297="","",IF($H1297="","Not rated",IF(OR($H1297=Lists!$B$3,$H1297=Lists!$B$5),IF(AND(LEFT(SUBSTITUTE($I1297," ",""),LEN($F1297)+1)=$F1297&amp;"-",LEN(SUBSTITUTE($I1297," ",""))&gt;LEN($F1297)+1),"OK","Comment required"),"OK")))</f>
      </c>
    </row>
    <row r="1298" spans="1:10" x14ac:dyDescent="0.25">
      <c r="A1298" s="1"/>
      <c r="B1298" s="20"/>
      <c r="C1298" s="1"/>
      <c r="D1298" s="1"/>
      <c r="E1298" s="1"/>
      <c r="F1298" s="1"/>
      <c r="G1298" s="1"/>
      <c r="H1298" s="1"/>
      <c r="I1298" s="1"/>
      <c r="J1298" s="1">
        <f>IF($F1298="","",IF($H1298="","Not rated",IF(OR($H1298=Lists!$B$3,$H1298=Lists!$B$5),IF(AND(LEFT(SUBSTITUTE($I1298," ",""),LEN($F1298)+1)=$F1298&amp;"-",LEN(SUBSTITUTE($I1298," ",""))&gt;LEN($F1298)+1),"OK","Comment required"),"OK")))</f>
      </c>
    </row>
    <row r="1299" spans="1:10" x14ac:dyDescent="0.25">
      <c r="A1299" s="1"/>
      <c r="B1299" s="20"/>
      <c r="C1299" s="1"/>
      <c r="D1299" s="1"/>
      <c r="E1299" s="1"/>
      <c r="F1299" s="1"/>
      <c r="G1299" s="1"/>
      <c r="H1299" s="1"/>
      <c r="I1299" s="1"/>
      <c r="J1299" s="1">
        <f>IF($F1299="","",IF($H1299="","Not rated",IF(OR($H1299=Lists!$B$3,$H1299=Lists!$B$5),IF(AND(LEFT(SUBSTITUTE($I1299," ",""),LEN($F1299)+1)=$F1299&amp;"-",LEN(SUBSTITUTE($I1299," ",""))&gt;LEN($F1299)+1),"OK","Comment required"),"OK")))</f>
      </c>
    </row>
    <row r="1300" spans="1:10" x14ac:dyDescent="0.25">
      <c r="A1300" s="1"/>
      <c r="B1300" s="20"/>
      <c r="C1300" s="1"/>
      <c r="D1300" s="1"/>
      <c r="E1300" s="1"/>
      <c r="F1300" s="1"/>
      <c r="G1300" s="1"/>
      <c r="H1300" s="1"/>
      <c r="I1300" s="1"/>
      <c r="J1300" s="1">
        <f>IF($F1300="","",IF($H1300="","Not rated",IF(OR($H1300=Lists!$B$3,$H1300=Lists!$B$5),IF(AND(LEFT(SUBSTITUTE($I1300," ",""),LEN($F1300)+1)=$F1300&amp;"-",LEN(SUBSTITUTE($I1300," ",""))&gt;LEN($F1300)+1),"OK","Comment required"),"OK")))</f>
      </c>
    </row>
    <row r="1301" spans="1:10" x14ac:dyDescent="0.25">
      <c r="A1301" s="1"/>
      <c r="B1301" s="20"/>
      <c r="C1301" s="1"/>
      <c r="D1301" s="1"/>
      <c r="E1301" s="1"/>
      <c r="F1301" s="1"/>
      <c r="G1301" s="1"/>
      <c r="H1301" s="1"/>
      <c r="I1301" s="1"/>
      <c r="J1301" s="1">
        <f>IF($F1301="","",IF($H1301="","Not rated",IF(OR($H1301=Lists!$B$3,$H1301=Lists!$B$5),IF(AND(LEFT(SUBSTITUTE($I1301," ",""),LEN($F1301)+1)=$F1301&amp;"-",LEN(SUBSTITUTE($I1301," ",""))&gt;LEN($F1301)+1),"OK","Comment required"),"OK")))</f>
      </c>
    </row>
    <row r="1302" spans="1:10" x14ac:dyDescent="0.25">
      <c r="A1302" s="1"/>
      <c r="B1302" s="20"/>
      <c r="C1302" s="1"/>
      <c r="D1302" s="1"/>
      <c r="E1302" s="1"/>
      <c r="F1302" s="1"/>
      <c r="G1302" s="1"/>
      <c r="H1302" s="1"/>
      <c r="I1302" s="1"/>
      <c r="J1302" s="1">
        <f>IF($F1302="","",IF($H1302="","Not rated",IF(OR($H1302=Lists!$B$3,$H1302=Lists!$B$5),IF(AND(LEFT(SUBSTITUTE($I1302," ",""),LEN($F1302)+1)=$F1302&amp;"-",LEN(SUBSTITUTE($I1302," ",""))&gt;LEN($F1302)+1),"OK","Comment required"),"OK")))</f>
      </c>
    </row>
    <row r="1303" spans="1:10" x14ac:dyDescent="0.25">
      <c r="A1303" s="1"/>
      <c r="B1303" s="20"/>
      <c r="C1303" s="1"/>
      <c r="D1303" s="1"/>
      <c r="E1303" s="1"/>
      <c r="F1303" s="1"/>
      <c r="G1303" s="1"/>
      <c r="H1303" s="1"/>
      <c r="I1303" s="1"/>
      <c r="J1303" s="1">
        <f>IF($F1303="","",IF($H1303="","Not rated",IF(OR($H1303=Lists!$B$3,$H1303=Lists!$B$5),IF(AND(LEFT(SUBSTITUTE($I1303," ",""),LEN($F1303)+1)=$F1303&amp;"-",LEN(SUBSTITUTE($I1303," ",""))&gt;LEN($F1303)+1),"OK","Comment required"),"OK")))</f>
      </c>
    </row>
    <row r="1304" spans="1:10" x14ac:dyDescent="0.25">
      <c r="A1304" s="1"/>
      <c r="B1304" s="20"/>
      <c r="C1304" s="1"/>
      <c r="D1304" s="1"/>
      <c r="E1304" s="1"/>
      <c r="F1304" s="1"/>
      <c r="G1304" s="1"/>
      <c r="H1304" s="1"/>
      <c r="I1304" s="1"/>
      <c r="J1304" s="1">
        <f>IF($F1304="","",IF($H1304="","Not rated",IF(OR($H1304=Lists!$B$3,$H1304=Lists!$B$5),IF(AND(LEFT(SUBSTITUTE($I1304," ",""),LEN($F1304)+1)=$F1304&amp;"-",LEN(SUBSTITUTE($I1304," ",""))&gt;LEN($F1304)+1),"OK","Comment required"),"OK")))</f>
      </c>
    </row>
    <row r="1305" spans="1:10" x14ac:dyDescent="0.25">
      <c r="A1305" s="1"/>
      <c r="B1305" s="20"/>
      <c r="C1305" s="1"/>
      <c r="D1305" s="1"/>
      <c r="E1305" s="1"/>
      <c r="F1305" s="1"/>
      <c r="G1305" s="1"/>
      <c r="H1305" s="1"/>
      <c r="I1305" s="1"/>
      <c r="J1305" s="1">
        <f>IF($F1305="","",IF($H1305="","Not rated",IF(OR($H1305=Lists!$B$3,$H1305=Lists!$B$5),IF(AND(LEFT(SUBSTITUTE($I1305," ",""),LEN($F1305)+1)=$F1305&amp;"-",LEN(SUBSTITUTE($I1305," ",""))&gt;LEN($F1305)+1),"OK","Comment required"),"OK")))</f>
      </c>
    </row>
    <row r="1306" spans="1:10" x14ac:dyDescent="0.25">
      <c r="A1306" s="1"/>
      <c r="B1306" s="20"/>
      <c r="C1306" s="1"/>
      <c r="D1306" s="1"/>
      <c r="E1306" s="1"/>
      <c r="F1306" s="1"/>
      <c r="G1306" s="1"/>
      <c r="H1306" s="1"/>
      <c r="I1306" s="1"/>
      <c r="J1306" s="1">
        <f>IF($F1306="","",IF($H1306="","Not rated",IF(OR($H1306=Lists!$B$3,$H1306=Lists!$B$5),IF(AND(LEFT(SUBSTITUTE($I1306," ",""),LEN($F1306)+1)=$F1306&amp;"-",LEN(SUBSTITUTE($I1306," ",""))&gt;LEN($F1306)+1),"OK","Comment required"),"OK")))</f>
      </c>
    </row>
    <row r="1307" spans="1:10" x14ac:dyDescent="0.25">
      <c r="A1307" s="1"/>
      <c r="B1307" s="20"/>
      <c r="C1307" s="1"/>
      <c r="D1307" s="1"/>
      <c r="E1307" s="1"/>
      <c r="F1307" s="1"/>
      <c r="G1307" s="1"/>
      <c r="H1307" s="1"/>
      <c r="I1307" s="1"/>
      <c r="J1307" s="1">
        <f>IF($F1307="","",IF($H1307="","Not rated",IF(OR($H1307=Lists!$B$3,$H1307=Lists!$B$5),IF(AND(LEFT(SUBSTITUTE($I1307," ",""),LEN($F1307)+1)=$F1307&amp;"-",LEN(SUBSTITUTE($I1307," ",""))&gt;LEN($F1307)+1),"OK","Comment required"),"OK")))</f>
      </c>
    </row>
    <row r="1308" spans="1:10" x14ac:dyDescent="0.25">
      <c r="A1308" s="1"/>
      <c r="B1308" s="20"/>
      <c r="C1308" s="1"/>
      <c r="D1308" s="1"/>
      <c r="E1308" s="1"/>
      <c r="F1308" s="1"/>
      <c r="G1308" s="1"/>
      <c r="H1308" s="1"/>
      <c r="I1308" s="1"/>
      <c r="J1308" s="1">
        <f>IF($F1308="","",IF($H1308="","Not rated",IF(OR($H1308=Lists!$B$3,$H1308=Lists!$B$5),IF(AND(LEFT(SUBSTITUTE($I1308," ",""),LEN($F1308)+1)=$F1308&amp;"-",LEN(SUBSTITUTE($I1308," ",""))&gt;LEN($F1308)+1),"OK","Comment required"),"OK")))</f>
      </c>
    </row>
    <row r="1309" spans="1:10" x14ac:dyDescent="0.25">
      <c r="A1309" s="1"/>
      <c r="B1309" s="20"/>
      <c r="C1309" s="1"/>
      <c r="D1309" s="1"/>
      <c r="E1309" s="1"/>
      <c r="F1309" s="1"/>
      <c r="G1309" s="1"/>
      <c r="H1309" s="1"/>
      <c r="I1309" s="1"/>
      <c r="J1309" s="1">
        <f>IF($F1309="","",IF($H1309="","Not rated",IF(OR($H1309=Lists!$B$3,$H1309=Lists!$B$5),IF(AND(LEFT(SUBSTITUTE($I1309," ",""),LEN($F1309)+1)=$F1309&amp;"-",LEN(SUBSTITUTE($I1309," ",""))&gt;LEN($F1309)+1),"OK","Comment required"),"OK")))</f>
      </c>
    </row>
    <row r="1310" spans="1:10" x14ac:dyDescent="0.25">
      <c r="A1310" s="1"/>
      <c r="B1310" s="20"/>
      <c r="C1310" s="1"/>
      <c r="D1310" s="1"/>
      <c r="E1310" s="1"/>
      <c r="F1310" s="1"/>
      <c r="G1310" s="1"/>
      <c r="H1310" s="1"/>
      <c r="I1310" s="1"/>
      <c r="J1310" s="1">
        <f>IF($F1310="","",IF($H1310="","Not rated",IF(OR($H1310=Lists!$B$3,$H1310=Lists!$B$5),IF(AND(LEFT(SUBSTITUTE($I1310," ",""),LEN($F1310)+1)=$F1310&amp;"-",LEN(SUBSTITUTE($I1310," ",""))&gt;LEN($F1310)+1),"OK","Comment required"),"OK")))</f>
      </c>
    </row>
    <row r="1311" spans="1:10" x14ac:dyDescent="0.25">
      <c r="A1311" s="1"/>
      <c r="B1311" s="20"/>
      <c r="C1311" s="1"/>
      <c r="D1311" s="1"/>
      <c r="E1311" s="1"/>
      <c r="F1311" s="1"/>
      <c r="G1311" s="1"/>
      <c r="H1311" s="1"/>
      <c r="I1311" s="1"/>
      <c r="J1311" s="1">
        <f>IF($F1311="","",IF($H1311="","Not rated",IF(OR($H1311=Lists!$B$3,$H1311=Lists!$B$5),IF(AND(LEFT(SUBSTITUTE($I1311," ",""),LEN($F1311)+1)=$F1311&amp;"-",LEN(SUBSTITUTE($I1311," ",""))&gt;LEN($F1311)+1),"OK","Comment required"),"OK")))</f>
      </c>
    </row>
    <row r="1312" spans="1:10" x14ac:dyDescent="0.25">
      <c r="A1312" s="1"/>
      <c r="B1312" s="20"/>
      <c r="C1312" s="1"/>
      <c r="D1312" s="1"/>
      <c r="E1312" s="1"/>
      <c r="F1312" s="1"/>
      <c r="G1312" s="1"/>
      <c r="H1312" s="1"/>
      <c r="I1312" s="1"/>
      <c r="J1312" s="1">
        <f>IF($F1312="","",IF($H1312="","Not rated",IF(OR($H1312=Lists!$B$3,$H1312=Lists!$B$5),IF(AND(LEFT(SUBSTITUTE($I1312," ",""),LEN($F1312)+1)=$F1312&amp;"-",LEN(SUBSTITUTE($I1312," ",""))&gt;LEN($F1312)+1),"OK","Comment required"),"OK")))</f>
      </c>
    </row>
    <row r="1313" spans="1:10" x14ac:dyDescent="0.25">
      <c r="A1313" s="1"/>
      <c r="B1313" s="20"/>
      <c r="C1313" s="1"/>
      <c r="D1313" s="1"/>
      <c r="E1313" s="1"/>
      <c r="F1313" s="1"/>
      <c r="G1313" s="1"/>
      <c r="H1313" s="1"/>
      <c r="I1313" s="1"/>
      <c r="J1313" s="1">
        <f>IF($F1313="","",IF($H1313="","Not rated",IF(OR($H1313=Lists!$B$3,$H1313=Lists!$B$5),IF(AND(LEFT(SUBSTITUTE($I1313," ",""),LEN($F1313)+1)=$F1313&amp;"-",LEN(SUBSTITUTE($I1313," ",""))&gt;LEN($F1313)+1),"OK","Comment required"),"OK")))</f>
      </c>
    </row>
    <row r="1314" spans="1:10" x14ac:dyDescent="0.25">
      <c r="A1314" s="1"/>
      <c r="B1314" s="20"/>
      <c r="C1314" s="1"/>
      <c r="D1314" s="1"/>
      <c r="E1314" s="1"/>
      <c r="F1314" s="1"/>
      <c r="G1314" s="1"/>
      <c r="H1314" s="1"/>
      <c r="I1314" s="1"/>
      <c r="J1314" s="1">
        <f>IF($F1314="","",IF($H1314="","Not rated",IF(OR($H1314=Lists!$B$3,$H1314=Lists!$B$5),IF(AND(LEFT(SUBSTITUTE($I1314," ",""),LEN($F1314)+1)=$F1314&amp;"-",LEN(SUBSTITUTE($I1314," ",""))&gt;LEN($F1314)+1),"OK","Comment required"),"OK")))</f>
      </c>
    </row>
    <row r="1315" spans="1:10" x14ac:dyDescent="0.25">
      <c r="A1315" s="1"/>
      <c r="B1315" s="20"/>
      <c r="C1315" s="1"/>
      <c r="D1315" s="1"/>
      <c r="E1315" s="1"/>
      <c r="F1315" s="1"/>
      <c r="G1315" s="1"/>
      <c r="H1315" s="1"/>
      <c r="I1315" s="1"/>
      <c r="J1315" s="1">
        <f>IF($F1315="","",IF($H1315="","Not rated",IF(OR($H1315=Lists!$B$3,$H1315=Lists!$B$5),IF(AND(LEFT(SUBSTITUTE($I1315," ",""),LEN($F1315)+1)=$F1315&amp;"-",LEN(SUBSTITUTE($I1315," ",""))&gt;LEN($F1315)+1),"OK","Comment required"),"OK")))</f>
      </c>
    </row>
    <row r="1316" spans="1:10" x14ac:dyDescent="0.25">
      <c r="A1316" s="1"/>
      <c r="B1316" s="20"/>
      <c r="C1316" s="1"/>
      <c r="D1316" s="1"/>
      <c r="E1316" s="1"/>
      <c r="F1316" s="1"/>
      <c r="G1316" s="1"/>
      <c r="H1316" s="1"/>
      <c r="I1316" s="1"/>
      <c r="J1316" s="1">
        <f>IF($F1316="","",IF($H1316="","Not rated",IF(OR($H1316=Lists!$B$3,$H1316=Lists!$B$5),IF(AND(LEFT(SUBSTITUTE($I1316," ",""),LEN($F1316)+1)=$F1316&amp;"-",LEN(SUBSTITUTE($I1316," ",""))&gt;LEN($F1316)+1),"OK","Comment required"),"OK")))</f>
      </c>
    </row>
    <row r="1317" spans="1:10" x14ac:dyDescent="0.25">
      <c r="A1317" s="1"/>
      <c r="B1317" s="20"/>
      <c r="C1317" s="1"/>
      <c r="D1317" s="1"/>
      <c r="E1317" s="1"/>
      <c r="F1317" s="1"/>
      <c r="G1317" s="1"/>
      <c r="H1317" s="1"/>
      <c r="I1317" s="1"/>
      <c r="J1317" s="1">
        <f>IF($F1317="","",IF($H1317="","Not rated",IF(OR($H1317=Lists!$B$3,$H1317=Lists!$B$5),IF(AND(LEFT(SUBSTITUTE($I1317," ",""),LEN($F1317)+1)=$F1317&amp;"-",LEN(SUBSTITUTE($I1317," ",""))&gt;LEN($F1317)+1),"OK","Comment required"),"OK")))</f>
      </c>
    </row>
    <row r="1318" spans="1:10" x14ac:dyDescent="0.25">
      <c r="A1318" s="1"/>
      <c r="B1318" s="20"/>
      <c r="C1318" s="1"/>
      <c r="D1318" s="1"/>
      <c r="E1318" s="1"/>
      <c r="F1318" s="1"/>
      <c r="G1318" s="1"/>
      <c r="H1318" s="1"/>
      <c r="I1318" s="1"/>
      <c r="J1318" s="1">
        <f>IF($F1318="","",IF($H1318="","Not rated",IF(OR($H1318=Lists!$B$3,$H1318=Lists!$B$5),IF(AND(LEFT(SUBSTITUTE($I1318," ",""),LEN($F1318)+1)=$F1318&amp;"-",LEN(SUBSTITUTE($I1318," ",""))&gt;LEN($F1318)+1),"OK","Comment required"),"OK")))</f>
      </c>
    </row>
    <row r="1319" spans="1:10" x14ac:dyDescent="0.25">
      <c r="A1319" s="1"/>
      <c r="B1319" s="20"/>
      <c r="C1319" s="1"/>
      <c r="D1319" s="1"/>
      <c r="E1319" s="1"/>
      <c r="F1319" s="1"/>
      <c r="G1319" s="1"/>
      <c r="H1319" s="1"/>
      <c r="I1319" s="1"/>
      <c r="J1319" s="1">
        <f>IF($F1319="","",IF($H1319="","Not rated",IF(OR($H1319=Lists!$B$3,$H1319=Lists!$B$5),IF(AND(LEFT(SUBSTITUTE($I1319," ",""),LEN($F1319)+1)=$F1319&amp;"-",LEN(SUBSTITUTE($I1319," ",""))&gt;LEN($F1319)+1),"OK","Comment required"),"OK")))</f>
      </c>
    </row>
    <row r="1320" spans="1:10" x14ac:dyDescent="0.25">
      <c r="A1320" s="1"/>
      <c r="B1320" s="20"/>
      <c r="C1320" s="1"/>
      <c r="D1320" s="1"/>
      <c r="E1320" s="1"/>
      <c r="F1320" s="1"/>
      <c r="G1320" s="1"/>
      <c r="H1320" s="1"/>
      <c r="I1320" s="1"/>
      <c r="J1320" s="1">
        <f>IF($F1320="","",IF($H1320="","Not rated",IF(OR($H1320=Lists!$B$3,$H1320=Lists!$B$5),IF(AND(LEFT(SUBSTITUTE($I1320," ",""),LEN($F1320)+1)=$F1320&amp;"-",LEN(SUBSTITUTE($I1320," ",""))&gt;LEN($F1320)+1),"OK","Comment required"),"OK")))</f>
      </c>
    </row>
    <row r="1321" spans="1:10" x14ac:dyDescent="0.25">
      <c r="A1321" s="1"/>
      <c r="B1321" s="20"/>
      <c r="C1321" s="1"/>
      <c r="D1321" s="1"/>
      <c r="E1321" s="1"/>
      <c r="F1321" s="1"/>
      <c r="G1321" s="1"/>
      <c r="H1321" s="1"/>
      <c r="I1321" s="1"/>
      <c r="J1321" s="1">
        <f>IF($F1321="","",IF($H1321="","Not rated",IF(OR($H1321=Lists!$B$3,$H1321=Lists!$B$5),IF(AND(LEFT(SUBSTITUTE($I1321," ",""),LEN($F1321)+1)=$F1321&amp;"-",LEN(SUBSTITUTE($I1321," ",""))&gt;LEN($F1321)+1),"OK","Comment required"),"OK")))</f>
      </c>
    </row>
    <row r="1322" spans="1:10" x14ac:dyDescent="0.25">
      <c r="A1322" s="1"/>
      <c r="B1322" s="20"/>
      <c r="C1322" s="1"/>
      <c r="D1322" s="1"/>
      <c r="E1322" s="1"/>
      <c r="F1322" s="1"/>
      <c r="G1322" s="1"/>
      <c r="H1322" s="1"/>
      <c r="I1322" s="1"/>
      <c r="J1322" s="1">
        <f>IF($F1322="","",IF($H1322="","Not rated",IF(OR($H1322=Lists!$B$3,$H1322=Lists!$B$5),IF(AND(LEFT(SUBSTITUTE($I1322," ",""),LEN($F1322)+1)=$F1322&amp;"-",LEN(SUBSTITUTE($I1322," ",""))&gt;LEN($F1322)+1),"OK","Comment required"),"OK")))</f>
      </c>
    </row>
    <row r="1323" spans="1:10" x14ac:dyDescent="0.25">
      <c r="A1323" s="1"/>
      <c r="B1323" s="20"/>
      <c r="C1323" s="1"/>
      <c r="D1323" s="1"/>
      <c r="E1323" s="1"/>
      <c r="F1323" s="1"/>
      <c r="G1323" s="1"/>
      <c r="H1323" s="1"/>
      <c r="I1323" s="1"/>
      <c r="J1323" s="1">
        <f>IF($F1323="","",IF($H1323="","Not rated",IF(OR($H1323=Lists!$B$3,$H1323=Lists!$B$5),IF(AND(LEFT(SUBSTITUTE($I1323," ",""),LEN($F1323)+1)=$F1323&amp;"-",LEN(SUBSTITUTE($I1323," ",""))&gt;LEN($F1323)+1),"OK","Comment required"),"OK")))</f>
      </c>
    </row>
    <row r="1324" spans="1:10" x14ac:dyDescent="0.25">
      <c r="A1324" s="1"/>
      <c r="B1324" s="20"/>
      <c r="C1324" s="1"/>
      <c r="D1324" s="1"/>
      <c r="E1324" s="1"/>
      <c r="F1324" s="1"/>
      <c r="G1324" s="1"/>
      <c r="H1324" s="1"/>
      <c r="I1324" s="1"/>
      <c r="J1324" s="1">
        <f>IF($F1324="","",IF($H1324="","Not rated",IF(OR($H1324=Lists!$B$3,$H1324=Lists!$B$5),IF(AND(LEFT(SUBSTITUTE($I1324," ",""),LEN($F1324)+1)=$F1324&amp;"-",LEN(SUBSTITUTE($I1324," ",""))&gt;LEN($F1324)+1),"OK","Comment required"),"OK")))</f>
      </c>
    </row>
    <row r="1325" spans="1:10" x14ac:dyDescent="0.25">
      <c r="A1325" s="1"/>
      <c r="B1325" s="20"/>
      <c r="C1325" s="1"/>
      <c r="D1325" s="1"/>
      <c r="E1325" s="1"/>
      <c r="F1325" s="1"/>
      <c r="G1325" s="1"/>
      <c r="H1325" s="1"/>
      <c r="I1325" s="1"/>
      <c r="J1325" s="1">
        <f>IF($F1325="","",IF($H1325="","Not rated",IF(OR($H1325=Lists!$B$3,$H1325=Lists!$B$5),IF(AND(LEFT(SUBSTITUTE($I1325," ",""),LEN($F1325)+1)=$F1325&amp;"-",LEN(SUBSTITUTE($I1325," ",""))&gt;LEN($F1325)+1),"OK","Comment required"),"OK")))</f>
      </c>
    </row>
    <row r="1326" spans="1:10" x14ac:dyDescent="0.25">
      <c r="A1326" s="1"/>
      <c r="B1326" s="20"/>
      <c r="C1326" s="1"/>
      <c r="D1326" s="1"/>
      <c r="E1326" s="1"/>
      <c r="F1326" s="1"/>
      <c r="G1326" s="1"/>
      <c r="H1326" s="1"/>
      <c r="I1326" s="1"/>
      <c r="J1326" s="1">
        <f>IF($F1326="","",IF($H1326="","Not rated",IF(OR($H1326=Lists!$B$3,$H1326=Lists!$B$5),IF(AND(LEFT(SUBSTITUTE($I1326," ",""),LEN($F1326)+1)=$F1326&amp;"-",LEN(SUBSTITUTE($I1326," ",""))&gt;LEN($F1326)+1),"OK","Comment required"),"OK")))</f>
      </c>
    </row>
    <row r="1327" spans="1:10" x14ac:dyDescent="0.25">
      <c r="A1327" s="1"/>
      <c r="B1327" s="20"/>
      <c r="C1327" s="1"/>
      <c r="D1327" s="1"/>
      <c r="E1327" s="1"/>
      <c r="F1327" s="1"/>
      <c r="G1327" s="1"/>
      <c r="H1327" s="1"/>
      <c r="I1327" s="1"/>
      <c r="J1327" s="1">
        <f>IF($F1327="","",IF($H1327="","Not rated",IF(OR($H1327=Lists!$B$3,$H1327=Lists!$B$5),IF(AND(LEFT(SUBSTITUTE($I1327," ",""),LEN($F1327)+1)=$F1327&amp;"-",LEN(SUBSTITUTE($I1327," ",""))&gt;LEN($F1327)+1),"OK","Comment required"),"OK")))</f>
      </c>
    </row>
    <row r="1328" spans="1:10" x14ac:dyDescent="0.25">
      <c r="A1328" s="1"/>
      <c r="B1328" s="20"/>
      <c r="C1328" s="1"/>
      <c r="D1328" s="1"/>
      <c r="E1328" s="1"/>
      <c r="F1328" s="1"/>
      <c r="G1328" s="1"/>
      <c r="H1328" s="1"/>
      <c r="I1328" s="1"/>
      <c r="J1328" s="1">
        <f>IF($F1328="","",IF($H1328="","Not rated",IF(OR($H1328=Lists!$B$3,$H1328=Lists!$B$5),IF(AND(LEFT(SUBSTITUTE($I1328," ",""),LEN($F1328)+1)=$F1328&amp;"-",LEN(SUBSTITUTE($I1328," ",""))&gt;LEN($F1328)+1),"OK","Comment required"),"OK")))</f>
      </c>
    </row>
    <row r="1329" spans="1:10" x14ac:dyDescent="0.25">
      <c r="A1329" s="1"/>
      <c r="B1329" s="20"/>
      <c r="C1329" s="1"/>
      <c r="D1329" s="1"/>
      <c r="E1329" s="1"/>
      <c r="F1329" s="1"/>
      <c r="G1329" s="1"/>
      <c r="H1329" s="1"/>
      <c r="I1329" s="1"/>
      <c r="J1329" s="1">
        <f>IF($F1329="","",IF($H1329="","Not rated",IF(OR($H1329=Lists!$B$3,$H1329=Lists!$B$5),IF(AND(LEFT(SUBSTITUTE($I1329," ",""),LEN($F1329)+1)=$F1329&amp;"-",LEN(SUBSTITUTE($I1329," ",""))&gt;LEN($F1329)+1),"OK","Comment required"),"OK")))</f>
      </c>
    </row>
    <row r="1330" spans="1:10" x14ac:dyDescent="0.25">
      <c r="A1330" s="1"/>
      <c r="B1330" s="20"/>
      <c r="C1330" s="1"/>
      <c r="D1330" s="1"/>
      <c r="E1330" s="1"/>
      <c r="F1330" s="1"/>
      <c r="G1330" s="1"/>
      <c r="H1330" s="1"/>
      <c r="I1330" s="1"/>
      <c r="J1330" s="1">
        <f>IF($F1330="","",IF($H1330="","Not rated",IF(OR($H1330=Lists!$B$3,$H1330=Lists!$B$5),IF(AND(LEFT(SUBSTITUTE($I1330," ",""),LEN($F1330)+1)=$F1330&amp;"-",LEN(SUBSTITUTE($I1330," ",""))&gt;LEN($F1330)+1),"OK","Comment required"),"OK")))</f>
      </c>
    </row>
    <row r="1331" spans="1:10" x14ac:dyDescent="0.25">
      <c r="A1331" s="1"/>
      <c r="B1331" s="20"/>
      <c r="C1331" s="1"/>
      <c r="D1331" s="1"/>
      <c r="E1331" s="1"/>
      <c r="F1331" s="1"/>
      <c r="G1331" s="1"/>
      <c r="H1331" s="1"/>
      <c r="I1331" s="1"/>
      <c r="J1331" s="1">
        <f>IF($F1331="","",IF($H1331="","Not rated",IF(OR($H1331=Lists!$B$3,$H1331=Lists!$B$5),IF(AND(LEFT(SUBSTITUTE($I1331," ",""),LEN($F1331)+1)=$F1331&amp;"-",LEN(SUBSTITUTE($I1331," ",""))&gt;LEN($F1331)+1),"OK","Comment required"),"OK")))</f>
      </c>
    </row>
    <row r="1332" spans="1:10" x14ac:dyDescent="0.25">
      <c r="A1332" s="1"/>
      <c r="B1332" s="20"/>
      <c r="C1332" s="1"/>
      <c r="D1332" s="1"/>
      <c r="E1332" s="1"/>
      <c r="F1332" s="1"/>
      <c r="G1332" s="1"/>
      <c r="H1332" s="1"/>
      <c r="I1332" s="1"/>
      <c r="J1332" s="1">
        <f>IF($F1332="","",IF($H1332="","Not rated",IF(OR($H1332=Lists!$B$3,$H1332=Lists!$B$5),IF(AND(LEFT(SUBSTITUTE($I1332," ",""),LEN($F1332)+1)=$F1332&amp;"-",LEN(SUBSTITUTE($I1332," ",""))&gt;LEN($F1332)+1),"OK","Comment required"),"OK")))</f>
      </c>
    </row>
    <row r="1333" spans="1:10" x14ac:dyDescent="0.25">
      <c r="A1333" s="1"/>
      <c r="B1333" s="20"/>
      <c r="C1333" s="1"/>
      <c r="D1333" s="1"/>
      <c r="E1333" s="1"/>
      <c r="F1333" s="1"/>
      <c r="G1333" s="1"/>
      <c r="H1333" s="1"/>
      <c r="I1333" s="1"/>
      <c r="J1333" s="1">
        <f>IF($F1333="","",IF($H1333="","Not rated",IF(OR($H1333=Lists!$B$3,$H1333=Lists!$B$5),IF(AND(LEFT(SUBSTITUTE($I1333," ",""),LEN($F1333)+1)=$F1333&amp;"-",LEN(SUBSTITUTE($I1333," ",""))&gt;LEN($F1333)+1),"OK","Comment required"),"OK")))</f>
      </c>
    </row>
    <row r="1334" spans="1:10" x14ac:dyDescent="0.25">
      <c r="A1334" s="1"/>
      <c r="B1334" s="20"/>
      <c r="C1334" s="1"/>
      <c r="D1334" s="1"/>
      <c r="E1334" s="1"/>
      <c r="F1334" s="1"/>
      <c r="G1334" s="1"/>
      <c r="H1334" s="1"/>
      <c r="I1334" s="1"/>
      <c r="J1334" s="1">
        <f>IF($F1334="","",IF($H1334="","Not rated",IF(OR($H1334=Lists!$B$3,$H1334=Lists!$B$5),IF(AND(LEFT(SUBSTITUTE($I1334," ",""),LEN($F1334)+1)=$F1334&amp;"-",LEN(SUBSTITUTE($I1334," ",""))&gt;LEN($F1334)+1),"OK","Comment required"),"OK")))</f>
      </c>
    </row>
    <row r="1335" spans="1:10" x14ac:dyDescent="0.25">
      <c r="A1335" s="1"/>
      <c r="B1335" s="20"/>
      <c r="C1335" s="1"/>
      <c r="D1335" s="1"/>
      <c r="E1335" s="1"/>
      <c r="F1335" s="1"/>
      <c r="G1335" s="1"/>
      <c r="H1335" s="1"/>
      <c r="I1335" s="1"/>
      <c r="J1335" s="1">
        <f>IF($F1335="","",IF($H1335="","Not rated",IF(OR($H1335=Lists!$B$3,$H1335=Lists!$B$5),IF(AND(LEFT(SUBSTITUTE($I1335," ",""),LEN($F1335)+1)=$F1335&amp;"-",LEN(SUBSTITUTE($I1335," ",""))&gt;LEN($F1335)+1),"OK","Comment required"),"OK")))</f>
      </c>
    </row>
    <row r="1336" spans="1:10" x14ac:dyDescent="0.25">
      <c r="A1336" s="1"/>
      <c r="B1336" s="20"/>
      <c r="C1336" s="1"/>
      <c r="D1336" s="1"/>
      <c r="E1336" s="1"/>
      <c r="F1336" s="1"/>
      <c r="G1336" s="1"/>
      <c r="H1336" s="1"/>
      <c r="I1336" s="1"/>
      <c r="J1336" s="1">
        <f>IF($F1336="","",IF($H1336="","Not rated",IF(OR($H1336=Lists!$B$3,$H1336=Lists!$B$5),IF(AND(LEFT(SUBSTITUTE($I1336," ",""),LEN($F1336)+1)=$F1336&amp;"-",LEN(SUBSTITUTE($I1336," ",""))&gt;LEN($F1336)+1),"OK","Comment required"),"OK")))</f>
      </c>
    </row>
    <row r="1337" spans="1:10" x14ac:dyDescent="0.25">
      <c r="A1337" s="1"/>
      <c r="B1337" s="20"/>
      <c r="C1337" s="1"/>
      <c r="D1337" s="1"/>
      <c r="E1337" s="1"/>
      <c r="F1337" s="1"/>
      <c r="G1337" s="1"/>
      <c r="H1337" s="1"/>
      <c r="I1337" s="1"/>
      <c r="J1337" s="1">
        <f>IF($F1337="","",IF($H1337="","Not rated",IF(OR($H1337=Lists!$B$3,$H1337=Lists!$B$5),IF(AND(LEFT(SUBSTITUTE($I1337," ",""),LEN($F1337)+1)=$F1337&amp;"-",LEN(SUBSTITUTE($I1337," ",""))&gt;LEN($F1337)+1),"OK","Comment required"),"OK")))</f>
      </c>
    </row>
    <row r="1338" spans="1:10" x14ac:dyDescent="0.25">
      <c r="A1338" s="1"/>
      <c r="B1338" s="20"/>
      <c r="C1338" s="1"/>
      <c r="D1338" s="1"/>
      <c r="E1338" s="1"/>
      <c r="F1338" s="1"/>
      <c r="G1338" s="1"/>
      <c r="H1338" s="1"/>
      <c r="I1338" s="1"/>
      <c r="J1338" s="1">
        <f>IF($F1338="","",IF($H1338="","Not rated",IF(OR($H1338=Lists!$B$3,$H1338=Lists!$B$5),IF(AND(LEFT(SUBSTITUTE($I1338," ",""),LEN($F1338)+1)=$F1338&amp;"-",LEN(SUBSTITUTE($I1338," ",""))&gt;LEN($F1338)+1),"OK","Comment required"),"OK")))</f>
      </c>
    </row>
    <row r="1339" spans="1:10" x14ac:dyDescent="0.25">
      <c r="A1339" s="1"/>
      <c r="B1339" s="20"/>
      <c r="C1339" s="1"/>
      <c r="D1339" s="1"/>
      <c r="E1339" s="1"/>
      <c r="F1339" s="1"/>
      <c r="G1339" s="1"/>
      <c r="H1339" s="1"/>
      <c r="I1339" s="1"/>
      <c r="J1339" s="1">
        <f>IF($F1339="","",IF($H1339="","Not rated",IF(OR($H1339=Lists!$B$3,$H1339=Lists!$B$5),IF(AND(LEFT(SUBSTITUTE($I1339," ",""),LEN($F1339)+1)=$F1339&amp;"-",LEN(SUBSTITUTE($I1339," ",""))&gt;LEN($F1339)+1),"OK","Comment required"),"OK")))</f>
      </c>
    </row>
    <row r="1340" spans="1:10" x14ac:dyDescent="0.25">
      <c r="A1340" s="1"/>
      <c r="B1340" s="20"/>
      <c r="C1340" s="1"/>
      <c r="D1340" s="1"/>
      <c r="E1340" s="1"/>
      <c r="F1340" s="1"/>
      <c r="G1340" s="1"/>
      <c r="H1340" s="1"/>
      <c r="I1340" s="1"/>
      <c r="J1340" s="1">
        <f>IF($F1340="","",IF($H1340="","Not rated",IF(OR($H1340=Lists!$B$3,$H1340=Lists!$B$5),IF(AND(LEFT(SUBSTITUTE($I1340," ",""),LEN($F1340)+1)=$F1340&amp;"-",LEN(SUBSTITUTE($I1340," ",""))&gt;LEN($F1340)+1),"OK","Comment required"),"OK")))</f>
      </c>
    </row>
    <row r="1341" spans="1:10" x14ac:dyDescent="0.25">
      <c r="A1341" s="1"/>
      <c r="B1341" s="20"/>
      <c r="C1341" s="1"/>
      <c r="D1341" s="1"/>
      <c r="E1341" s="1"/>
      <c r="F1341" s="1"/>
      <c r="G1341" s="1"/>
      <c r="H1341" s="1"/>
      <c r="I1341" s="1"/>
      <c r="J1341" s="1">
        <f>IF($F1341="","",IF($H1341="","Not rated",IF(OR($H1341=Lists!$B$3,$H1341=Lists!$B$5),IF(AND(LEFT(SUBSTITUTE($I1341," ",""),LEN($F1341)+1)=$F1341&amp;"-",LEN(SUBSTITUTE($I1341," ",""))&gt;LEN($F1341)+1),"OK","Comment required"),"OK")))</f>
      </c>
    </row>
    <row r="1342" spans="1:10" x14ac:dyDescent="0.25">
      <c r="A1342" s="1"/>
      <c r="B1342" s="20"/>
      <c r="C1342" s="1"/>
      <c r="D1342" s="1"/>
      <c r="E1342" s="1"/>
      <c r="F1342" s="1"/>
      <c r="G1342" s="1"/>
      <c r="H1342" s="1"/>
      <c r="I1342" s="1"/>
      <c r="J1342" s="1">
        <f>IF($F1342="","",IF($H1342="","Not rated",IF(OR($H1342=Lists!$B$3,$H1342=Lists!$B$5),IF(AND(LEFT(SUBSTITUTE($I1342," ",""),LEN($F1342)+1)=$F1342&amp;"-",LEN(SUBSTITUTE($I1342," ",""))&gt;LEN($F1342)+1),"OK","Comment required"),"OK")))</f>
      </c>
    </row>
    <row r="1343" spans="1:10" x14ac:dyDescent="0.25">
      <c r="A1343" s="1"/>
      <c r="B1343" s="20"/>
      <c r="C1343" s="1"/>
      <c r="D1343" s="1"/>
      <c r="E1343" s="1"/>
      <c r="F1343" s="1"/>
      <c r="G1343" s="1"/>
      <c r="H1343" s="1"/>
      <c r="I1343" s="1"/>
      <c r="J1343" s="1">
        <f>IF($F1343="","",IF($H1343="","Not rated",IF(OR($H1343=Lists!$B$3,$H1343=Lists!$B$5),IF(AND(LEFT(SUBSTITUTE($I1343," ",""),LEN($F1343)+1)=$F1343&amp;"-",LEN(SUBSTITUTE($I1343," ",""))&gt;LEN($F1343)+1),"OK","Comment required"),"OK")))</f>
      </c>
    </row>
    <row r="1344" spans="1:10" x14ac:dyDescent="0.25">
      <c r="A1344" s="1"/>
      <c r="B1344" s="20"/>
      <c r="C1344" s="1"/>
      <c r="D1344" s="1"/>
      <c r="E1344" s="1"/>
      <c r="F1344" s="1"/>
      <c r="G1344" s="1"/>
      <c r="H1344" s="1"/>
      <c r="I1344" s="1"/>
      <c r="J1344" s="1">
        <f>IF($F1344="","",IF($H1344="","Not rated",IF(OR($H1344=Lists!$B$3,$H1344=Lists!$B$5),IF(AND(LEFT(SUBSTITUTE($I1344," ",""),LEN($F1344)+1)=$F1344&amp;"-",LEN(SUBSTITUTE($I1344," ",""))&gt;LEN($F1344)+1),"OK","Comment required"),"OK")))</f>
      </c>
    </row>
    <row r="1345" spans="1:10" x14ac:dyDescent="0.25">
      <c r="A1345" s="1"/>
      <c r="B1345" s="20"/>
      <c r="C1345" s="1"/>
      <c r="D1345" s="1"/>
      <c r="E1345" s="1"/>
      <c r="F1345" s="1"/>
      <c r="G1345" s="1"/>
      <c r="H1345" s="1"/>
      <c r="I1345" s="1"/>
      <c r="J1345" s="1">
        <f>IF($F1345="","",IF($H1345="","Not rated",IF(OR($H1345=Lists!$B$3,$H1345=Lists!$B$5),IF(AND(LEFT(SUBSTITUTE($I1345," ",""),LEN($F1345)+1)=$F1345&amp;"-",LEN(SUBSTITUTE($I1345," ",""))&gt;LEN($F1345)+1),"OK","Comment required"),"OK")))</f>
      </c>
    </row>
    <row r="1346" spans="1:10" x14ac:dyDescent="0.25">
      <c r="A1346" s="1"/>
      <c r="B1346" s="20"/>
      <c r="C1346" s="1"/>
      <c r="D1346" s="1"/>
      <c r="E1346" s="1"/>
      <c r="F1346" s="1"/>
      <c r="G1346" s="1"/>
      <c r="H1346" s="1"/>
      <c r="I1346" s="1"/>
      <c r="J1346" s="1">
        <f>IF($F1346="","",IF($H1346="","Not rated",IF(OR($H1346=Lists!$B$3,$H1346=Lists!$B$5),IF(AND(LEFT(SUBSTITUTE($I1346," ",""),LEN($F1346)+1)=$F1346&amp;"-",LEN(SUBSTITUTE($I1346," ",""))&gt;LEN($F1346)+1),"OK","Comment required"),"OK")))</f>
      </c>
    </row>
    <row r="1347" spans="1:10" x14ac:dyDescent="0.25">
      <c r="A1347" s="1"/>
      <c r="B1347" s="20"/>
      <c r="C1347" s="1"/>
      <c r="D1347" s="1"/>
      <c r="E1347" s="1"/>
      <c r="F1347" s="1"/>
      <c r="G1347" s="1"/>
      <c r="H1347" s="1"/>
      <c r="I1347" s="1"/>
      <c r="J1347" s="1">
        <f>IF($F1347="","",IF($H1347="","Not rated",IF(OR($H1347=Lists!$B$3,$H1347=Lists!$B$5),IF(AND(LEFT(SUBSTITUTE($I1347," ",""),LEN($F1347)+1)=$F1347&amp;"-",LEN(SUBSTITUTE($I1347," ",""))&gt;LEN($F1347)+1),"OK","Comment required"),"OK")))</f>
      </c>
    </row>
    <row r="1348" spans="1:10" x14ac:dyDescent="0.25">
      <c r="A1348" s="1"/>
      <c r="B1348" s="20"/>
      <c r="C1348" s="1"/>
      <c r="D1348" s="1"/>
      <c r="E1348" s="1"/>
      <c r="F1348" s="1"/>
      <c r="G1348" s="1"/>
      <c r="H1348" s="1"/>
      <c r="I1348" s="1"/>
      <c r="J1348" s="1">
        <f>IF($F1348="","",IF($H1348="","Not rated",IF(OR($H1348=Lists!$B$3,$H1348=Lists!$B$5),IF(AND(LEFT(SUBSTITUTE($I1348," ",""),LEN($F1348)+1)=$F1348&amp;"-",LEN(SUBSTITUTE($I1348," ",""))&gt;LEN($F1348)+1),"OK","Comment required"),"OK")))</f>
      </c>
    </row>
    <row r="1349" spans="1:10" x14ac:dyDescent="0.25">
      <c r="A1349" s="1"/>
      <c r="B1349" s="20"/>
      <c r="C1349" s="1"/>
      <c r="D1349" s="1"/>
      <c r="E1349" s="1"/>
      <c r="F1349" s="1"/>
      <c r="G1349" s="1"/>
      <c r="H1349" s="1"/>
      <c r="I1349" s="1"/>
      <c r="J1349" s="1">
        <f>IF($F1349="","",IF($H1349="","Not rated",IF(OR($H1349=Lists!$B$3,$H1349=Lists!$B$5),IF(AND(LEFT(SUBSTITUTE($I1349," ",""),LEN($F1349)+1)=$F1349&amp;"-",LEN(SUBSTITUTE($I1349," ",""))&gt;LEN($F1349)+1),"OK","Comment required"),"OK")))</f>
      </c>
    </row>
    <row r="1350" spans="1:10" x14ac:dyDescent="0.25">
      <c r="A1350" s="1"/>
      <c r="B1350" s="20"/>
      <c r="C1350" s="1"/>
      <c r="D1350" s="1"/>
      <c r="E1350" s="1"/>
      <c r="F1350" s="1"/>
      <c r="G1350" s="1"/>
      <c r="H1350" s="1"/>
      <c r="I1350" s="1"/>
      <c r="J1350" s="1">
        <f>IF($F1350="","",IF($H1350="","Not rated",IF(OR($H1350=Lists!$B$3,$H1350=Lists!$B$5),IF(AND(LEFT(SUBSTITUTE($I1350," ",""),LEN($F1350)+1)=$F1350&amp;"-",LEN(SUBSTITUTE($I1350," ",""))&gt;LEN($F1350)+1),"OK","Comment required"),"OK")))</f>
      </c>
    </row>
    <row r="1351" spans="1:10" x14ac:dyDescent="0.25">
      <c r="A1351" s="1"/>
      <c r="B1351" s="20"/>
      <c r="C1351" s="1"/>
      <c r="D1351" s="1"/>
      <c r="E1351" s="1"/>
      <c r="F1351" s="1"/>
      <c r="G1351" s="1"/>
      <c r="H1351" s="1"/>
      <c r="I1351" s="1"/>
      <c r="J1351" s="1">
        <f>IF($F1351="","",IF($H1351="","Not rated",IF(OR($H1351=Lists!$B$3,$H1351=Lists!$B$5),IF(AND(LEFT(SUBSTITUTE($I1351," ",""),LEN($F1351)+1)=$F1351&amp;"-",LEN(SUBSTITUTE($I1351," ",""))&gt;LEN($F1351)+1),"OK","Comment required"),"OK")))</f>
      </c>
    </row>
    <row r="1352" spans="1:10" x14ac:dyDescent="0.25">
      <c r="A1352" s="1"/>
      <c r="B1352" s="20"/>
      <c r="C1352" s="1"/>
      <c r="D1352" s="1"/>
      <c r="E1352" s="1"/>
      <c r="F1352" s="1"/>
      <c r="G1352" s="1"/>
      <c r="H1352" s="1"/>
      <c r="I1352" s="1"/>
      <c r="J1352" s="1">
        <f>IF($F1352="","",IF($H1352="","Not rated",IF(OR($H1352=Lists!$B$3,$H1352=Lists!$B$5),IF(AND(LEFT(SUBSTITUTE($I1352," ",""),LEN($F1352)+1)=$F1352&amp;"-",LEN(SUBSTITUTE($I1352," ",""))&gt;LEN($F1352)+1),"OK","Comment required"),"OK")))</f>
      </c>
    </row>
    <row r="1353" spans="1:10" x14ac:dyDescent="0.25">
      <c r="A1353" s="1"/>
      <c r="B1353" s="20"/>
      <c r="C1353" s="1"/>
      <c r="D1353" s="1"/>
      <c r="E1353" s="1"/>
      <c r="F1353" s="1"/>
      <c r="G1353" s="1"/>
      <c r="H1353" s="1"/>
      <c r="I1353" s="1"/>
      <c r="J1353" s="1">
        <f>IF($F1353="","",IF($H1353="","Not rated",IF(OR($H1353=Lists!$B$3,$H1353=Lists!$B$5),IF(AND(LEFT(SUBSTITUTE($I1353," ",""),LEN($F1353)+1)=$F1353&amp;"-",LEN(SUBSTITUTE($I1353," ",""))&gt;LEN($F1353)+1),"OK","Comment required"),"OK")))</f>
      </c>
    </row>
    <row r="1354" spans="1:10" x14ac:dyDescent="0.25">
      <c r="A1354" s="1"/>
      <c r="B1354" s="20"/>
      <c r="C1354" s="1"/>
      <c r="D1354" s="1"/>
      <c r="E1354" s="1"/>
      <c r="F1354" s="1"/>
      <c r="G1354" s="1"/>
      <c r="H1354" s="1"/>
      <c r="I1354" s="1"/>
      <c r="J1354" s="1">
        <f>IF($F1354="","",IF($H1354="","Not rated",IF(OR($H1354=Lists!$B$3,$H1354=Lists!$B$5),IF(AND(LEFT(SUBSTITUTE($I1354," ",""),LEN($F1354)+1)=$F1354&amp;"-",LEN(SUBSTITUTE($I1354," ",""))&gt;LEN($F1354)+1),"OK","Comment required"),"OK")))</f>
      </c>
    </row>
    <row r="1355" spans="1:10" x14ac:dyDescent="0.25">
      <c r="A1355" s="1"/>
      <c r="B1355" s="20"/>
      <c r="C1355" s="1"/>
      <c r="D1355" s="1"/>
      <c r="E1355" s="1"/>
      <c r="F1355" s="1"/>
      <c r="G1355" s="1"/>
      <c r="H1355" s="1"/>
      <c r="I1355" s="1"/>
      <c r="J1355" s="1">
        <f>IF($F1355="","",IF($H1355="","Not rated",IF(OR($H1355=Lists!$B$3,$H1355=Lists!$B$5),IF(AND(LEFT(SUBSTITUTE($I1355," ",""),LEN($F1355)+1)=$F1355&amp;"-",LEN(SUBSTITUTE($I1355," ",""))&gt;LEN($F1355)+1),"OK","Comment required"),"OK")))</f>
      </c>
    </row>
    <row r="1356" spans="1:10" x14ac:dyDescent="0.25">
      <c r="A1356" s="1"/>
      <c r="B1356" s="20"/>
      <c r="C1356" s="1"/>
      <c r="D1356" s="1"/>
      <c r="E1356" s="1"/>
      <c r="F1356" s="1"/>
      <c r="G1356" s="1"/>
      <c r="H1356" s="1"/>
      <c r="I1356" s="1"/>
      <c r="J1356" s="1">
        <f>IF($F1356="","",IF($H1356="","Not rated",IF(OR($H1356=Lists!$B$3,$H1356=Lists!$B$5),IF(AND(LEFT(SUBSTITUTE($I1356," ",""),LEN($F1356)+1)=$F1356&amp;"-",LEN(SUBSTITUTE($I1356," ",""))&gt;LEN($F1356)+1),"OK","Comment required"),"OK")))</f>
      </c>
    </row>
    <row r="1357" spans="1:10" x14ac:dyDescent="0.25">
      <c r="A1357" s="1"/>
      <c r="B1357" s="20"/>
      <c r="C1357" s="1"/>
      <c r="D1357" s="1"/>
      <c r="E1357" s="1"/>
      <c r="F1357" s="1"/>
      <c r="G1357" s="1"/>
      <c r="H1357" s="1"/>
      <c r="I1357" s="1"/>
      <c r="J1357" s="1">
        <f>IF($F1357="","",IF($H1357="","Not rated",IF(OR($H1357=Lists!$B$3,$H1357=Lists!$B$5),IF(AND(LEFT(SUBSTITUTE($I1357," ",""),LEN($F1357)+1)=$F1357&amp;"-",LEN(SUBSTITUTE($I1357," ",""))&gt;LEN($F1357)+1),"OK","Comment required"),"OK")))</f>
      </c>
    </row>
    <row r="1358" spans="1:10" x14ac:dyDescent="0.25">
      <c r="A1358" s="1"/>
      <c r="B1358" s="20"/>
      <c r="C1358" s="1"/>
      <c r="D1358" s="1"/>
      <c r="E1358" s="1"/>
      <c r="F1358" s="1"/>
      <c r="G1358" s="1"/>
      <c r="H1358" s="1"/>
      <c r="I1358" s="1"/>
      <c r="J1358" s="1">
        <f>IF($F1358="","",IF($H1358="","Not rated",IF(OR($H1358=Lists!$B$3,$H1358=Lists!$B$5),IF(AND(LEFT(SUBSTITUTE($I1358," ",""),LEN($F1358)+1)=$F1358&amp;"-",LEN(SUBSTITUTE($I1358," ",""))&gt;LEN($F1358)+1),"OK","Comment required"),"OK")))</f>
      </c>
    </row>
    <row r="1359" spans="1:10" x14ac:dyDescent="0.25">
      <c r="A1359" s="1"/>
      <c r="B1359" s="20"/>
      <c r="C1359" s="1"/>
      <c r="D1359" s="1"/>
      <c r="E1359" s="1"/>
      <c r="F1359" s="1"/>
      <c r="G1359" s="1"/>
      <c r="H1359" s="1"/>
      <c r="I1359" s="1"/>
      <c r="J1359" s="1">
        <f>IF($F1359="","",IF($H1359="","Not rated",IF(OR($H1359=Lists!$B$3,$H1359=Lists!$B$5),IF(AND(LEFT(SUBSTITUTE($I1359," ",""),LEN($F1359)+1)=$F1359&amp;"-",LEN(SUBSTITUTE($I1359," ",""))&gt;LEN($F1359)+1),"OK","Comment required"),"OK")))</f>
      </c>
    </row>
    <row r="1360" spans="1:10" x14ac:dyDescent="0.25">
      <c r="A1360" s="1"/>
      <c r="B1360" s="20"/>
      <c r="C1360" s="1"/>
      <c r="D1360" s="1"/>
      <c r="E1360" s="1"/>
      <c r="F1360" s="1"/>
      <c r="G1360" s="1"/>
      <c r="H1360" s="1"/>
      <c r="I1360" s="1"/>
      <c r="J1360" s="1">
        <f>IF($F1360="","",IF($H1360="","Not rated",IF(OR($H1360=Lists!$B$3,$H1360=Lists!$B$5),IF(AND(LEFT(SUBSTITUTE($I1360," ",""),LEN($F1360)+1)=$F1360&amp;"-",LEN(SUBSTITUTE($I1360," ",""))&gt;LEN($F1360)+1),"OK","Comment required"),"OK")))</f>
      </c>
    </row>
    <row r="1361" spans="1:10" x14ac:dyDescent="0.25">
      <c r="A1361" s="1"/>
      <c r="B1361" s="20"/>
      <c r="C1361" s="1"/>
      <c r="D1361" s="1"/>
      <c r="E1361" s="1"/>
      <c r="F1361" s="1"/>
      <c r="G1361" s="1"/>
      <c r="H1361" s="1"/>
      <c r="I1361" s="1"/>
      <c r="J1361" s="1">
        <f>IF($F1361="","",IF($H1361="","Not rated",IF(OR($H1361=Lists!$B$3,$H1361=Lists!$B$5),IF(AND(LEFT(SUBSTITUTE($I1361," ",""),LEN($F1361)+1)=$F1361&amp;"-",LEN(SUBSTITUTE($I1361," ",""))&gt;LEN($F1361)+1),"OK","Comment required"),"OK")))</f>
      </c>
    </row>
    <row r="1362" spans="1:10" x14ac:dyDescent="0.25">
      <c r="A1362" s="1"/>
      <c r="B1362" s="20"/>
      <c r="C1362" s="1"/>
      <c r="D1362" s="1"/>
      <c r="E1362" s="1"/>
      <c r="F1362" s="1"/>
      <c r="G1362" s="1"/>
      <c r="H1362" s="1"/>
      <c r="I1362" s="1"/>
      <c r="J1362" s="1">
        <f>IF($F1362="","",IF($H1362="","Not rated",IF(OR($H1362=Lists!$B$3,$H1362=Lists!$B$5),IF(AND(LEFT(SUBSTITUTE($I1362," ",""),LEN($F1362)+1)=$F1362&amp;"-",LEN(SUBSTITUTE($I1362," ",""))&gt;LEN($F1362)+1),"OK","Comment required"),"OK")))</f>
      </c>
    </row>
    <row r="1363" spans="1:10" x14ac:dyDescent="0.25">
      <c r="A1363" s="1"/>
      <c r="B1363" s="20"/>
      <c r="C1363" s="1"/>
      <c r="D1363" s="1"/>
      <c r="E1363" s="1"/>
      <c r="F1363" s="1"/>
      <c r="G1363" s="1"/>
      <c r="H1363" s="1"/>
      <c r="I1363" s="1"/>
      <c r="J1363" s="1">
        <f>IF($F1363="","",IF($H1363="","Not rated",IF(OR($H1363=Lists!$B$3,$H1363=Lists!$B$5),IF(AND(LEFT(SUBSTITUTE($I1363," ",""),LEN($F1363)+1)=$F1363&amp;"-",LEN(SUBSTITUTE($I1363," ",""))&gt;LEN($F1363)+1),"OK","Comment required"),"OK")))</f>
      </c>
    </row>
    <row r="1364" spans="1:10" x14ac:dyDescent="0.25">
      <c r="A1364" s="1"/>
      <c r="B1364" s="20"/>
      <c r="C1364" s="1"/>
      <c r="D1364" s="1"/>
      <c r="E1364" s="1"/>
      <c r="F1364" s="1"/>
      <c r="G1364" s="1"/>
      <c r="H1364" s="1"/>
      <c r="I1364" s="1"/>
      <c r="J1364" s="1">
        <f>IF($F1364="","",IF($H1364="","Not rated",IF(OR($H1364=Lists!$B$3,$H1364=Lists!$B$5),IF(AND(LEFT(SUBSTITUTE($I1364," ",""),LEN($F1364)+1)=$F1364&amp;"-",LEN(SUBSTITUTE($I1364," ",""))&gt;LEN($F1364)+1),"OK","Comment required"),"OK")))</f>
      </c>
    </row>
    <row r="1365" spans="1:10" x14ac:dyDescent="0.25">
      <c r="A1365" s="1"/>
      <c r="B1365" s="20"/>
      <c r="C1365" s="1"/>
      <c r="D1365" s="1"/>
      <c r="E1365" s="1"/>
      <c r="F1365" s="1"/>
      <c r="G1365" s="1"/>
      <c r="H1365" s="1"/>
      <c r="I1365" s="1"/>
      <c r="J1365" s="1">
        <f>IF($F1365="","",IF($H1365="","Not rated",IF(OR($H1365=Lists!$B$3,$H1365=Lists!$B$5),IF(AND(LEFT(SUBSTITUTE($I1365," ",""),LEN($F1365)+1)=$F1365&amp;"-",LEN(SUBSTITUTE($I1365," ",""))&gt;LEN($F1365)+1),"OK","Comment required"),"OK")))</f>
      </c>
    </row>
    <row r="1366" spans="1:10" x14ac:dyDescent="0.25">
      <c r="A1366" s="1"/>
      <c r="B1366" s="20"/>
      <c r="C1366" s="1"/>
      <c r="D1366" s="1"/>
      <c r="E1366" s="1"/>
      <c r="F1366" s="1"/>
      <c r="G1366" s="1"/>
      <c r="H1366" s="1"/>
      <c r="I1366" s="1"/>
      <c r="J1366" s="1">
        <f>IF($F1366="","",IF($H1366="","Not rated",IF(OR($H1366=Lists!$B$3,$H1366=Lists!$B$5),IF(AND(LEFT(SUBSTITUTE($I1366," ",""),LEN($F1366)+1)=$F1366&amp;"-",LEN(SUBSTITUTE($I1366," ",""))&gt;LEN($F1366)+1),"OK","Comment required"),"OK")))</f>
      </c>
    </row>
    <row r="1367" spans="1:10" x14ac:dyDescent="0.25">
      <c r="A1367" s="1"/>
      <c r="B1367" s="20"/>
      <c r="C1367" s="1"/>
      <c r="D1367" s="1"/>
      <c r="E1367" s="1"/>
      <c r="F1367" s="1"/>
      <c r="G1367" s="1"/>
      <c r="H1367" s="1"/>
      <c r="I1367" s="1"/>
      <c r="J1367" s="1">
        <f>IF($F1367="","",IF($H1367="","Not rated",IF(OR($H1367=Lists!$B$3,$H1367=Lists!$B$5),IF(AND(LEFT(SUBSTITUTE($I1367," ",""),LEN($F1367)+1)=$F1367&amp;"-",LEN(SUBSTITUTE($I1367," ",""))&gt;LEN($F1367)+1),"OK","Comment required"),"OK")))</f>
      </c>
    </row>
    <row r="1368" spans="1:10" x14ac:dyDescent="0.25">
      <c r="A1368" s="1"/>
      <c r="B1368" s="20"/>
      <c r="C1368" s="1"/>
      <c r="D1368" s="1"/>
      <c r="E1368" s="1"/>
      <c r="F1368" s="1"/>
      <c r="G1368" s="1"/>
      <c r="H1368" s="1"/>
      <c r="I1368" s="1"/>
      <c r="J1368" s="1">
        <f>IF($F1368="","",IF($H1368="","Not rated",IF(OR($H1368=Lists!$B$3,$H1368=Lists!$B$5),IF(AND(LEFT(SUBSTITUTE($I1368," ",""),LEN($F1368)+1)=$F1368&amp;"-",LEN(SUBSTITUTE($I1368," ",""))&gt;LEN($F1368)+1),"OK","Comment required"),"OK")))</f>
      </c>
    </row>
    <row r="1369" spans="1:10" x14ac:dyDescent="0.25">
      <c r="A1369" s="1"/>
      <c r="B1369" s="20"/>
      <c r="C1369" s="1"/>
      <c r="D1369" s="1"/>
      <c r="E1369" s="1"/>
      <c r="F1369" s="1"/>
      <c r="G1369" s="1"/>
      <c r="H1369" s="1"/>
      <c r="I1369" s="1"/>
      <c r="J1369" s="1">
        <f>IF($F1369="","",IF($H1369="","Not rated",IF(OR($H1369=Lists!$B$3,$H1369=Lists!$B$5),IF(AND(LEFT(SUBSTITUTE($I1369," ",""),LEN($F1369)+1)=$F1369&amp;"-",LEN(SUBSTITUTE($I1369," ",""))&gt;LEN($F1369)+1),"OK","Comment required"),"OK")))</f>
      </c>
    </row>
    <row r="1370" spans="1:10" x14ac:dyDescent="0.25">
      <c r="A1370" s="1"/>
      <c r="B1370" s="20"/>
      <c r="C1370" s="1"/>
      <c r="D1370" s="1"/>
      <c r="E1370" s="1"/>
      <c r="F1370" s="1"/>
      <c r="G1370" s="1"/>
      <c r="H1370" s="1"/>
      <c r="I1370" s="1"/>
      <c r="J1370" s="1">
        <f>IF($F1370="","",IF($H1370="","Not rated",IF(OR($H1370=Lists!$B$3,$H1370=Lists!$B$5),IF(AND(LEFT(SUBSTITUTE($I1370," ",""),LEN($F1370)+1)=$F1370&amp;"-",LEN(SUBSTITUTE($I1370," ",""))&gt;LEN($F1370)+1),"OK","Comment required"),"OK")))</f>
      </c>
    </row>
    <row r="1371" spans="1:10" x14ac:dyDescent="0.25">
      <c r="A1371" s="1"/>
      <c r="B1371" s="20"/>
      <c r="C1371" s="1"/>
      <c r="D1371" s="1"/>
      <c r="E1371" s="1"/>
      <c r="F1371" s="1"/>
      <c r="G1371" s="1"/>
      <c r="H1371" s="1"/>
      <c r="I1371" s="1"/>
      <c r="J1371" s="1">
        <f>IF($F1371="","",IF($H1371="","Not rated",IF(OR($H1371=Lists!$B$3,$H1371=Lists!$B$5),IF(AND(LEFT(SUBSTITUTE($I1371," ",""),LEN($F1371)+1)=$F1371&amp;"-",LEN(SUBSTITUTE($I1371," ",""))&gt;LEN($F1371)+1),"OK","Comment required"),"OK")))</f>
      </c>
    </row>
    <row r="1372" spans="1:10" x14ac:dyDescent="0.25">
      <c r="A1372" s="1"/>
      <c r="B1372" s="20"/>
      <c r="C1372" s="1"/>
      <c r="D1372" s="1"/>
      <c r="E1372" s="1"/>
      <c r="F1372" s="1"/>
      <c r="G1372" s="1"/>
      <c r="H1372" s="1"/>
      <c r="I1372" s="1"/>
      <c r="J1372" s="1">
        <f>IF($F1372="","",IF($H1372="","Not rated",IF(OR($H1372=Lists!$B$3,$H1372=Lists!$B$5),IF(AND(LEFT(SUBSTITUTE($I1372," ",""),LEN($F1372)+1)=$F1372&amp;"-",LEN(SUBSTITUTE($I1372," ",""))&gt;LEN($F1372)+1),"OK","Comment required"),"OK")))</f>
      </c>
    </row>
    <row r="1373" spans="1:10" x14ac:dyDescent="0.25">
      <c r="A1373" s="1"/>
      <c r="B1373" s="20"/>
      <c r="C1373" s="1"/>
      <c r="D1373" s="1"/>
      <c r="E1373" s="1"/>
      <c r="F1373" s="1"/>
      <c r="G1373" s="1"/>
      <c r="H1373" s="1"/>
      <c r="I1373" s="1"/>
      <c r="J1373" s="1">
        <f>IF($F1373="","",IF($H1373="","Not rated",IF(OR($H1373=Lists!$B$3,$H1373=Lists!$B$5),IF(AND(LEFT(SUBSTITUTE($I1373," ",""),LEN($F1373)+1)=$F1373&amp;"-",LEN(SUBSTITUTE($I1373," ",""))&gt;LEN($F1373)+1),"OK","Comment required"),"OK")))</f>
      </c>
    </row>
    <row r="1374" spans="1:10" x14ac:dyDescent="0.25">
      <c r="A1374" s="1"/>
      <c r="B1374" s="20"/>
      <c r="C1374" s="1"/>
      <c r="D1374" s="1"/>
      <c r="E1374" s="1"/>
      <c r="F1374" s="1"/>
      <c r="G1374" s="1"/>
      <c r="H1374" s="1"/>
      <c r="I1374" s="1"/>
      <c r="J1374" s="1">
        <f>IF($F1374="","",IF($H1374="","Not rated",IF(OR($H1374=Lists!$B$3,$H1374=Lists!$B$5),IF(AND(LEFT(SUBSTITUTE($I1374," ",""),LEN($F1374)+1)=$F1374&amp;"-",LEN(SUBSTITUTE($I1374," ",""))&gt;LEN($F1374)+1),"OK","Comment required"),"OK")))</f>
      </c>
    </row>
    <row r="1375" spans="1:10" x14ac:dyDescent="0.25">
      <c r="A1375" s="1"/>
      <c r="B1375" s="20"/>
      <c r="C1375" s="1"/>
      <c r="D1375" s="1"/>
      <c r="E1375" s="1"/>
      <c r="F1375" s="1"/>
      <c r="G1375" s="1"/>
      <c r="H1375" s="1"/>
      <c r="I1375" s="1"/>
      <c r="J1375" s="1">
        <f>IF($F1375="","",IF($H1375="","Not rated",IF(OR($H1375=Lists!$B$3,$H1375=Lists!$B$5),IF(AND(LEFT(SUBSTITUTE($I1375," ",""),LEN($F1375)+1)=$F1375&amp;"-",LEN(SUBSTITUTE($I1375," ",""))&gt;LEN($F1375)+1),"OK","Comment required"),"OK")))</f>
      </c>
    </row>
    <row r="1376" spans="1:10" x14ac:dyDescent="0.25">
      <c r="A1376" s="1"/>
      <c r="B1376" s="20"/>
      <c r="C1376" s="1"/>
      <c r="D1376" s="1"/>
      <c r="E1376" s="1"/>
      <c r="F1376" s="1"/>
      <c r="G1376" s="1"/>
      <c r="H1376" s="1"/>
      <c r="I1376" s="1"/>
      <c r="J1376" s="1">
        <f>IF($F1376="","",IF($H1376="","Not rated",IF(OR($H1376=Lists!$B$3,$H1376=Lists!$B$5),IF(AND(LEFT(SUBSTITUTE($I1376," ",""),LEN($F1376)+1)=$F1376&amp;"-",LEN(SUBSTITUTE($I1376," ",""))&gt;LEN($F1376)+1),"OK","Comment required"),"OK")))</f>
      </c>
    </row>
    <row r="1377" spans="1:10" x14ac:dyDescent="0.25">
      <c r="A1377" s="1"/>
      <c r="B1377" s="20"/>
      <c r="C1377" s="1"/>
      <c r="D1377" s="1"/>
      <c r="E1377" s="1"/>
      <c r="F1377" s="1"/>
      <c r="G1377" s="1"/>
      <c r="H1377" s="1"/>
      <c r="I1377" s="1"/>
      <c r="J1377" s="1">
        <f>IF($F1377="","",IF($H1377="","Not rated",IF(OR($H1377=Lists!$B$3,$H1377=Lists!$B$5),IF(AND(LEFT(SUBSTITUTE($I1377," ",""),LEN($F1377)+1)=$F1377&amp;"-",LEN(SUBSTITUTE($I1377," ",""))&gt;LEN($F1377)+1),"OK","Comment required"),"OK")))</f>
      </c>
    </row>
    <row r="1378" spans="1:10" x14ac:dyDescent="0.25">
      <c r="A1378" s="1"/>
      <c r="B1378" s="20"/>
      <c r="C1378" s="1"/>
      <c r="D1378" s="1"/>
      <c r="E1378" s="1"/>
      <c r="F1378" s="1"/>
      <c r="G1378" s="1"/>
      <c r="H1378" s="1"/>
      <c r="I1378" s="1"/>
      <c r="J1378" s="1">
        <f>IF($F1378="","",IF($H1378="","Not rated",IF(OR($H1378=Lists!$B$3,$H1378=Lists!$B$5),IF(AND(LEFT(SUBSTITUTE($I1378," ",""),LEN($F1378)+1)=$F1378&amp;"-",LEN(SUBSTITUTE($I1378," ",""))&gt;LEN($F1378)+1),"OK","Comment required"),"OK")))</f>
      </c>
    </row>
    <row r="1379" spans="1:10" x14ac:dyDescent="0.25">
      <c r="A1379" s="1"/>
      <c r="B1379" s="20"/>
      <c r="C1379" s="1"/>
      <c r="D1379" s="1"/>
      <c r="E1379" s="1"/>
      <c r="F1379" s="1"/>
      <c r="G1379" s="1"/>
      <c r="H1379" s="1"/>
      <c r="I1379" s="1"/>
      <c r="J1379" s="1">
        <f>IF($F1379="","",IF($H1379="","Not rated",IF(OR($H1379=Lists!$B$3,$H1379=Lists!$B$5),IF(AND(LEFT(SUBSTITUTE($I1379," ",""),LEN($F1379)+1)=$F1379&amp;"-",LEN(SUBSTITUTE($I1379," ",""))&gt;LEN($F1379)+1),"OK","Comment required"),"OK")))</f>
      </c>
    </row>
    <row r="1380" spans="1:10" x14ac:dyDescent="0.25">
      <c r="A1380" s="1"/>
      <c r="B1380" s="20"/>
      <c r="C1380" s="1"/>
      <c r="D1380" s="1"/>
      <c r="E1380" s="1"/>
      <c r="F1380" s="1"/>
      <c r="G1380" s="1"/>
      <c r="H1380" s="1"/>
      <c r="I1380" s="1"/>
      <c r="J1380" s="1">
        <f>IF($F1380="","",IF($H1380="","Not rated",IF(OR($H1380=Lists!$B$3,$H1380=Lists!$B$5),IF(AND(LEFT(SUBSTITUTE($I1380," ",""),LEN($F1380)+1)=$F1380&amp;"-",LEN(SUBSTITUTE($I1380," ",""))&gt;LEN($F1380)+1),"OK","Comment required"),"OK")))</f>
      </c>
    </row>
    <row r="1381" spans="1:10" x14ac:dyDescent="0.25">
      <c r="A1381" s="1"/>
      <c r="B1381" s="20"/>
      <c r="C1381" s="1"/>
      <c r="D1381" s="1"/>
      <c r="E1381" s="1"/>
      <c r="F1381" s="1"/>
      <c r="G1381" s="1"/>
      <c r="H1381" s="1"/>
      <c r="I1381" s="1"/>
      <c r="J1381" s="1">
        <f>IF($F1381="","",IF($H1381="","Not rated",IF(OR($H1381=Lists!$B$3,$H1381=Lists!$B$5),IF(AND(LEFT(SUBSTITUTE($I1381," ",""),LEN($F1381)+1)=$F1381&amp;"-",LEN(SUBSTITUTE($I1381," ",""))&gt;LEN($F1381)+1),"OK","Comment required"),"OK")))</f>
      </c>
    </row>
    <row r="1382" spans="1:10" x14ac:dyDescent="0.25">
      <c r="A1382" s="1"/>
      <c r="B1382" s="20"/>
      <c r="C1382" s="1"/>
      <c r="D1382" s="1"/>
      <c r="E1382" s="1"/>
      <c r="F1382" s="1"/>
      <c r="G1382" s="1"/>
      <c r="H1382" s="1"/>
      <c r="I1382" s="1"/>
      <c r="J1382" s="1">
        <f>IF($F1382="","",IF($H1382="","Not rated",IF(OR($H1382=Lists!$B$3,$H1382=Lists!$B$5),IF(AND(LEFT(SUBSTITUTE($I1382," ",""),LEN($F1382)+1)=$F1382&amp;"-",LEN(SUBSTITUTE($I1382," ",""))&gt;LEN($F1382)+1),"OK","Comment required"),"OK")))</f>
      </c>
    </row>
    <row r="1383" spans="1:10" x14ac:dyDescent="0.25">
      <c r="A1383" s="1"/>
      <c r="B1383" s="20"/>
      <c r="C1383" s="1"/>
      <c r="D1383" s="1"/>
      <c r="E1383" s="1"/>
      <c r="F1383" s="1"/>
      <c r="G1383" s="1"/>
      <c r="H1383" s="1"/>
      <c r="I1383" s="1"/>
      <c r="J1383" s="1">
        <f>IF($F1383="","",IF($H1383="","Not rated",IF(OR($H1383=Lists!$B$3,$H1383=Lists!$B$5),IF(AND(LEFT(SUBSTITUTE($I1383," ",""),LEN($F1383)+1)=$F1383&amp;"-",LEN(SUBSTITUTE($I1383," ",""))&gt;LEN($F1383)+1),"OK","Comment required"),"OK")))</f>
      </c>
    </row>
    <row r="1384" spans="1:10" x14ac:dyDescent="0.25">
      <c r="A1384" s="1"/>
      <c r="B1384" s="20"/>
      <c r="C1384" s="1"/>
      <c r="D1384" s="1"/>
      <c r="E1384" s="1"/>
      <c r="F1384" s="1"/>
      <c r="G1384" s="1"/>
      <c r="H1384" s="1"/>
      <c r="I1384" s="1"/>
      <c r="J1384" s="1">
        <f>IF($F1384="","",IF($H1384="","Not rated",IF(OR($H1384=Lists!$B$3,$H1384=Lists!$B$5),IF(AND(LEFT(SUBSTITUTE($I1384," ",""),LEN($F1384)+1)=$F1384&amp;"-",LEN(SUBSTITUTE($I1384," ",""))&gt;LEN($F1384)+1),"OK","Comment required"),"OK")))</f>
      </c>
    </row>
    <row r="1385" spans="1:10" x14ac:dyDescent="0.25">
      <c r="A1385" s="1"/>
      <c r="B1385" s="20"/>
      <c r="C1385" s="1"/>
      <c r="D1385" s="1"/>
      <c r="E1385" s="1"/>
      <c r="F1385" s="1"/>
      <c r="G1385" s="1"/>
      <c r="H1385" s="1"/>
      <c r="I1385" s="1"/>
      <c r="J1385" s="1">
        <f>IF($F1385="","",IF($H1385="","Not rated",IF(OR($H1385=Lists!$B$3,$H1385=Lists!$B$5),IF(AND(LEFT(SUBSTITUTE($I1385," ",""),LEN($F1385)+1)=$F1385&amp;"-",LEN(SUBSTITUTE($I1385," ",""))&gt;LEN($F1385)+1),"OK","Comment required"),"OK")))</f>
      </c>
    </row>
    <row r="1386" spans="1:10" x14ac:dyDescent="0.25">
      <c r="A1386" s="1"/>
      <c r="B1386" s="20"/>
      <c r="C1386" s="1"/>
      <c r="D1386" s="1"/>
      <c r="E1386" s="1"/>
      <c r="F1386" s="1"/>
      <c r="G1386" s="1"/>
      <c r="H1386" s="1"/>
      <c r="I1386" s="1"/>
      <c r="J1386" s="1">
        <f>IF($F1386="","",IF($H1386="","Not rated",IF(OR($H1386=Lists!$B$3,$H1386=Lists!$B$5),IF(AND(LEFT(SUBSTITUTE($I1386," ",""),LEN($F1386)+1)=$F1386&amp;"-",LEN(SUBSTITUTE($I1386," ",""))&gt;LEN($F1386)+1),"OK","Comment required"),"OK")))</f>
      </c>
    </row>
    <row r="1387" spans="1:10" x14ac:dyDescent="0.25">
      <c r="A1387" s="1"/>
      <c r="B1387" s="20"/>
      <c r="C1387" s="1"/>
      <c r="D1387" s="1"/>
      <c r="E1387" s="1"/>
      <c r="F1387" s="1"/>
      <c r="G1387" s="1"/>
      <c r="H1387" s="1"/>
      <c r="I1387" s="1"/>
      <c r="J1387" s="1">
        <f>IF($F1387="","",IF($H1387="","Not rated",IF(OR($H1387=Lists!$B$3,$H1387=Lists!$B$5),IF(AND(LEFT(SUBSTITUTE($I1387," ",""),LEN($F1387)+1)=$F1387&amp;"-",LEN(SUBSTITUTE($I1387," ",""))&gt;LEN($F1387)+1),"OK","Comment required"),"OK")))</f>
      </c>
    </row>
    <row r="1388" spans="1:10" x14ac:dyDescent="0.25">
      <c r="A1388" s="1"/>
      <c r="B1388" s="20"/>
      <c r="C1388" s="1"/>
      <c r="D1388" s="1"/>
      <c r="E1388" s="1"/>
      <c r="F1388" s="1"/>
      <c r="G1388" s="1"/>
      <c r="H1388" s="1"/>
      <c r="I1388" s="1"/>
      <c r="J1388" s="1">
        <f>IF($F1388="","",IF($H1388="","Not rated",IF(OR($H1388=Lists!$B$3,$H1388=Lists!$B$5),IF(AND(LEFT(SUBSTITUTE($I1388," ",""),LEN($F1388)+1)=$F1388&amp;"-",LEN(SUBSTITUTE($I1388," ",""))&gt;LEN($F1388)+1),"OK","Comment required"),"OK")))</f>
      </c>
    </row>
    <row r="1389" spans="1:10" x14ac:dyDescent="0.25">
      <c r="A1389" s="1"/>
      <c r="B1389" s="20"/>
      <c r="C1389" s="1"/>
      <c r="D1389" s="1"/>
      <c r="E1389" s="1"/>
      <c r="F1389" s="1"/>
      <c r="G1389" s="1"/>
      <c r="H1389" s="1"/>
      <c r="I1389" s="1"/>
      <c r="J1389" s="1">
        <f>IF($F1389="","",IF($H1389="","Not rated",IF(OR($H1389=Lists!$B$3,$H1389=Lists!$B$5),IF(AND(LEFT(SUBSTITUTE($I1389," ",""),LEN($F1389)+1)=$F1389&amp;"-",LEN(SUBSTITUTE($I1389," ",""))&gt;LEN($F1389)+1),"OK","Comment required"),"OK")))</f>
      </c>
    </row>
    <row r="1390" spans="1:10" x14ac:dyDescent="0.25">
      <c r="A1390" s="1"/>
      <c r="B1390" s="20"/>
      <c r="C1390" s="1"/>
      <c r="D1390" s="1"/>
      <c r="E1390" s="1"/>
      <c r="F1390" s="1"/>
      <c r="G1390" s="1"/>
      <c r="H1390" s="1"/>
      <c r="I1390" s="1"/>
      <c r="J1390" s="1">
        <f>IF($F1390="","",IF($H1390="","Not rated",IF(OR($H1390=Lists!$B$3,$H1390=Lists!$B$5),IF(AND(LEFT(SUBSTITUTE($I1390," ",""),LEN($F1390)+1)=$F1390&amp;"-",LEN(SUBSTITUTE($I1390," ",""))&gt;LEN($F1390)+1),"OK","Comment required"),"OK")))</f>
      </c>
    </row>
    <row r="1391" spans="1:10" x14ac:dyDescent="0.25">
      <c r="A1391" s="1"/>
      <c r="B1391" s="20"/>
      <c r="C1391" s="1"/>
      <c r="D1391" s="1"/>
      <c r="E1391" s="1"/>
      <c r="F1391" s="1"/>
      <c r="G1391" s="1"/>
      <c r="H1391" s="1"/>
      <c r="I1391" s="1"/>
      <c r="J1391" s="1">
        <f>IF($F1391="","",IF($H1391="","Not rated",IF(OR($H1391=Lists!$B$3,$H1391=Lists!$B$5),IF(AND(LEFT(SUBSTITUTE($I1391," ",""),LEN($F1391)+1)=$F1391&amp;"-",LEN(SUBSTITUTE($I1391," ",""))&gt;LEN($F1391)+1),"OK","Comment required"),"OK")))</f>
      </c>
    </row>
    <row r="1392" spans="1:10" x14ac:dyDescent="0.25">
      <c r="A1392" s="1"/>
      <c r="B1392" s="20"/>
      <c r="C1392" s="1"/>
      <c r="D1392" s="1"/>
      <c r="E1392" s="1"/>
      <c r="F1392" s="1"/>
      <c r="G1392" s="1"/>
      <c r="H1392" s="1"/>
      <c r="I1392" s="1"/>
      <c r="J1392" s="1">
        <f>IF($F1392="","",IF($H1392="","Not rated",IF(OR($H1392=Lists!$B$3,$H1392=Lists!$B$5),IF(AND(LEFT(SUBSTITUTE($I1392," ",""),LEN($F1392)+1)=$F1392&amp;"-",LEN(SUBSTITUTE($I1392," ",""))&gt;LEN($F1392)+1),"OK","Comment required"),"OK")))</f>
      </c>
    </row>
    <row r="1393" spans="1:10" x14ac:dyDescent="0.25">
      <c r="A1393" s="1"/>
      <c r="B1393" s="20"/>
      <c r="C1393" s="1"/>
      <c r="D1393" s="1"/>
      <c r="E1393" s="1"/>
      <c r="F1393" s="1"/>
      <c r="G1393" s="1"/>
      <c r="H1393" s="1"/>
      <c r="I1393" s="1"/>
      <c r="J1393" s="1">
        <f>IF($F1393="","",IF($H1393="","Not rated",IF(OR($H1393=Lists!$B$3,$H1393=Lists!$B$5),IF(AND(LEFT(SUBSTITUTE($I1393," ",""),LEN($F1393)+1)=$F1393&amp;"-",LEN(SUBSTITUTE($I1393," ",""))&gt;LEN($F1393)+1),"OK","Comment required"),"OK")))</f>
      </c>
    </row>
    <row r="1394" spans="1:10" x14ac:dyDescent="0.25">
      <c r="A1394" s="1"/>
      <c r="B1394" s="20"/>
      <c r="C1394" s="1"/>
      <c r="D1394" s="1"/>
      <c r="E1394" s="1"/>
      <c r="F1394" s="1"/>
      <c r="G1394" s="1"/>
      <c r="H1394" s="1"/>
      <c r="I1394" s="1"/>
      <c r="J1394" s="1">
        <f>IF($F1394="","",IF($H1394="","Not rated",IF(OR($H1394=Lists!$B$3,$H1394=Lists!$B$5),IF(AND(LEFT(SUBSTITUTE($I1394," ",""),LEN($F1394)+1)=$F1394&amp;"-",LEN(SUBSTITUTE($I1394," ",""))&gt;LEN($F1394)+1),"OK","Comment required"),"OK")))</f>
      </c>
    </row>
    <row r="1395" spans="1:10" x14ac:dyDescent="0.25">
      <c r="A1395" s="1"/>
      <c r="B1395" s="20"/>
      <c r="C1395" s="1"/>
      <c r="D1395" s="1"/>
      <c r="E1395" s="1"/>
      <c r="F1395" s="1"/>
      <c r="G1395" s="1"/>
      <c r="H1395" s="1"/>
      <c r="I1395" s="1"/>
      <c r="J1395" s="1">
        <f>IF($F1395="","",IF($H1395="","Not rated",IF(OR($H1395=Lists!$B$3,$H1395=Lists!$B$5),IF(AND(LEFT(SUBSTITUTE($I1395," ",""),LEN($F1395)+1)=$F1395&amp;"-",LEN(SUBSTITUTE($I1395," ",""))&gt;LEN($F1395)+1),"OK","Comment required"),"OK")))</f>
      </c>
    </row>
    <row r="1396" spans="1:10" x14ac:dyDescent="0.25">
      <c r="A1396" s="1"/>
      <c r="B1396" s="20"/>
      <c r="C1396" s="1"/>
      <c r="D1396" s="1"/>
      <c r="E1396" s="1"/>
      <c r="F1396" s="1"/>
      <c r="G1396" s="1"/>
      <c r="H1396" s="1"/>
      <c r="I1396" s="1"/>
      <c r="J1396" s="1">
        <f>IF($F1396="","",IF($H1396="","Not rated",IF(OR($H1396=Lists!$B$3,$H1396=Lists!$B$5),IF(AND(LEFT(SUBSTITUTE($I1396," ",""),LEN($F1396)+1)=$F1396&amp;"-",LEN(SUBSTITUTE($I1396," ",""))&gt;LEN($F1396)+1),"OK","Comment required"),"OK")))</f>
      </c>
    </row>
    <row r="1397" spans="1:10" x14ac:dyDescent="0.25">
      <c r="A1397" s="1"/>
      <c r="B1397" s="20"/>
      <c r="C1397" s="1"/>
      <c r="D1397" s="1"/>
      <c r="E1397" s="1"/>
      <c r="F1397" s="1"/>
      <c r="G1397" s="1"/>
      <c r="H1397" s="1"/>
      <c r="I1397" s="1"/>
      <c r="J1397" s="1">
        <f>IF($F1397="","",IF($H1397="","Not rated",IF(OR($H1397=Lists!$B$3,$H1397=Lists!$B$5),IF(AND(LEFT(SUBSTITUTE($I1397," ",""),LEN($F1397)+1)=$F1397&amp;"-",LEN(SUBSTITUTE($I1397," ",""))&gt;LEN($F1397)+1),"OK","Comment required"),"OK")))</f>
      </c>
    </row>
    <row r="1398" spans="1:10" x14ac:dyDescent="0.25">
      <c r="A1398" s="1"/>
      <c r="B1398" s="20"/>
      <c r="C1398" s="1"/>
      <c r="D1398" s="1"/>
      <c r="E1398" s="1"/>
      <c r="F1398" s="1"/>
      <c r="G1398" s="1"/>
      <c r="H1398" s="1"/>
      <c r="I1398" s="1"/>
      <c r="J1398" s="1">
        <f>IF($F1398="","",IF($H1398="","Not rated",IF(OR($H1398=Lists!$B$3,$H1398=Lists!$B$5),IF(AND(LEFT(SUBSTITUTE($I1398," ",""),LEN($F1398)+1)=$F1398&amp;"-",LEN(SUBSTITUTE($I1398," ",""))&gt;LEN($F1398)+1),"OK","Comment required"),"OK")))</f>
      </c>
    </row>
    <row r="1399" spans="1:10" x14ac:dyDescent="0.25">
      <c r="A1399" s="1"/>
      <c r="B1399" s="20"/>
      <c r="C1399" s="1"/>
      <c r="D1399" s="1"/>
      <c r="E1399" s="1"/>
      <c r="F1399" s="1"/>
      <c r="G1399" s="1"/>
      <c r="H1399" s="1"/>
      <c r="I1399" s="1"/>
      <c r="J1399" s="1">
        <f>IF($F1399="","",IF($H1399="","Not rated",IF(OR($H1399=Lists!$B$3,$H1399=Lists!$B$5),IF(AND(LEFT(SUBSTITUTE($I1399," ",""),LEN($F1399)+1)=$F1399&amp;"-",LEN(SUBSTITUTE($I1399," ",""))&gt;LEN($F1399)+1),"OK","Comment required"),"OK")))</f>
      </c>
    </row>
    <row r="1400" spans="1:10" x14ac:dyDescent="0.25">
      <c r="A1400" s="1"/>
      <c r="B1400" s="20"/>
      <c r="C1400" s="1"/>
      <c r="D1400" s="1"/>
      <c r="E1400" s="1"/>
      <c r="F1400" s="1"/>
      <c r="G1400" s="1"/>
      <c r="H1400" s="1"/>
      <c r="I1400" s="1"/>
      <c r="J1400" s="1">
        <f>IF($F1400="","",IF($H1400="","Not rated",IF(OR($H1400=Lists!$B$3,$H1400=Lists!$B$5),IF(AND(LEFT(SUBSTITUTE($I1400," ",""),LEN($F1400)+1)=$F1400&amp;"-",LEN(SUBSTITUTE($I1400," ",""))&gt;LEN($F1400)+1),"OK","Comment required"),"OK")))</f>
      </c>
    </row>
    <row r="1401" spans="1:10" x14ac:dyDescent="0.25">
      <c r="A1401" s="1"/>
      <c r="B1401" s="20"/>
      <c r="C1401" s="1"/>
      <c r="D1401" s="1"/>
      <c r="E1401" s="1"/>
      <c r="F1401" s="1"/>
      <c r="G1401" s="1"/>
      <c r="H1401" s="1"/>
      <c r="I1401" s="1"/>
      <c r="J1401" s="1">
        <f>IF($F1401="","",IF($H1401="","Not rated",IF(OR($H1401=Lists!$B$3,$H1401=Lists!$B$5),IF(AND(LEFT(SUBSTITUTE($I1401," ",""),LEN($F1401)+1)=$F1401&amp;"-",LEN(SUBSTITUTE($I1401," ",""))&gt;LEN($F1401)+1),"OK","Comment required"),"OK")))</f>
      </c>
    </row>
    <row r="1402" spans="1:10" x14ac:dyDescent="0.25">
      <c r="A1402" s="1"/>
      <c r="B1402" s="20"/>
      <c r="C1402" s="1"/>
      <c r="D1402" s="1"/>
      <c r="E1402" s="1"/>
      <c r="F1402" s="1"/>
      <c r="G1402" s="1"/>
      <c r="H1402" s="1"/>
      <c r="I1402" s="1"/>
      <c r="J1402" s="1">
        <f>IF($F1402="","",IF($H1402="","Not rated",IF(OR($H1402=Lists!$B$3,$H1402=Lists!$B$5),IF(AND(LEFT(SUBSTITUTE($I1402," ",""),LEN($F1402)+1)=$F1402&amp;"-",LEN(SUBSTITUTE($I1402," ",""))&gt;LEN($F1402)+1),"OK","Comment required"),"OK")))</f>
      </c>
    </row>
    <row r="1403" spans="1:10" x14ac:dyDescent="0.25">
      <c r="A1403" s="1"/>
      <c r="B1403" s="20"/>
      <c r="C1403" s="1"/>
      <c r="D1403" s="1"/>
      <c r="E1403" s="1"/>
      <c r="F1403" s="1"/>
      <c r="G1403" s="1"/>
      <c r="H1403" s="1"/>
      <c r="I1403" s="1"/>
      <c r="J1403" s="1">
        <f>IF($F1403="","",IF($H1403="","Not rated",IF(OR($H1403=Lists!$B$3,$H1403=Lists!$B$5),IF(AND(LEFT(SUBSTITUTE($I1403," ",""),LEN($F1403)+1)=$F1403&amp;"-",LEN(SUBSTITUTE($I1403," ",""))&gt;LEN($F1403)+1),"OK","Comment required"),"OK")))</f>
      </c>
    </row>
    <row r="1404" spans="1:10" x14ac:dyDescent="0.25">
      <c r="A1404" s="1"/>
      <c r="B1404" s="20"/>
      <c r="C1404" s="1"/>
      <c r="D1404" s="1"/>
      <c r="E1404" s="1"/>
      <c r="F1404" s="1"/>
      <c r="G1404" s="1"/>
      <c r="H1404" s="1"/>
      <c r="I1404" s="1"/>
      <c r="J1404" s="1">
        <f>IF($F1404="","",IF($H1404="","Not rated",IF(OR($H1404=Lists!$B$3,$H1404=Lists!$B$5),IF(AND(LEFT(SUBSTITUTE($I1404," ",""),LEN($F1404)+1)=$F1404&amp;"-",LEN(SUBSTITUTE($I1404," ",""))&gt;LEN($F1404)+1),"OK","Comment required"),"OK")))</f>
      </c>
    </row>
    <row r="1405" spans="1:10" x14ac:dyDescent="0.25">
      <c r="A1405" s="1"/>
      <c r="B1405" s="20"/>
      <c r="C1405" s="1"/>
      <c r="D1405" s="1"/>
      <c r="E1405" s="1"/>
      <c r="F1405" s="1"/>
      <c r="G1405" s="1"/>
      <c r="H1405" s="1"/>
      <c r="I1405" s="1"/>
      <c r="J1405" s="1">
        <f>IF($F1405="","",IF($H1405="","Not rated",IF(OR($H1405=Lists!$B$3,$H1405=Lists!$B$5),IF(AND(LEFT(SUBSTITUTE($I1405," ",""),LEN($F1405)+1)=$F1405&amp;"-",LEN(SUBSTITUTE($I1405," ",""))&gt;LEN($F1405)+1),"OK","Comment required"),"OK")))</f>
      </c>
    </row>
    <row r="1406" spans="1:10" x14ac:dyDescent="0.25">
      <c r="A1406" s="1"/>
      <c r="B1406" s="20"/>
      <c r="C1406" s="1"/>
      <c r="D1406" s="1"/>
      <c r="E1406" s="1"/>
      <c r="F1406" s="1"/>
      <c r="G1406" s="1"/>
      <c r="H1406" s="1"/>
      <c r="I1406" s="1"/>
      <c r="J1406" s="1">
        <f>IF($F1406="","",IF($H1406="","Not rated",IF(OR($H1406=Lists!$B$3,$H1406=Lists!$B$5),IF(AND(LEFT(SUBSTITUTE($I1406," ",""),LEN($F1406)+1)=$F1406&amp;"-",LEN(SUBSTITUTE($I1406," ",""))&gt;LEN($F1406)+1),"OK","Comment required"),"OK")))</f>
      </c>
    </row>
    <row r="1407" spans="1:10" x14ac:dyDescent="0.25">
      <c r="A1407" s="1"/>
      <c r="B1407" s="20"/>
      <c r="C1407" s="1"/>
      <c r="D1407" s="1"/>
      <c r="E1407" s="1"/>
      <c r="F1407" s="1"/>
      <c r="G1407" s="1"/>
      <c r="H1407" s="1"/>
      <c r="I1407" s="1"/>
      <c r="J1407" s="1">
        <f>IF($F1407="","",IF($H1407="","Not rated",IF(OR($H1407=Lists!$B$3,$H1407=Lists!$B$5),IF(AND(LEFT(SUBSTITUTE($I1407," ",""),LEN($F1407)+1)=$F1407&amp;"-",LEN(SUBSTITUTE($I1407," ",""))&gt;LEN($F1407)+1),"OK","Comment required"),"OK")))</f>
      </c>
    </row>
    <row r="1408" spans="1:10" x14ac:dyDescent="0.25">
      <c r="A1408" s="1"/>
      <c r="B1408" s="20"/>
      <c r="C1408" s="1"/>
      <c r="D1408" s="1"/>
      <c r="E1408" s="1"/>
      <c r="F1408" s="1"/>
      <c r="G1408" s="1"/>
      <c r="H1408" s="1"/>
      <c r="I1408" s="1"/>
      <c r="J1408" s="1">
        <f>IF($F1408="","",IF($H1408="","Not rated",IF(OR($H1408=Lists!$B$3,$H1408=Lists!$B$5),IF(AND(LEFT(SUBSTITUTE($I1408," ",""),LEN($F1408)+1)=$F1408&amp;"-",LEN(SUBSTITUTE($I1408," ",""))&gt;LEN($F1408)+1),"OK","Comment required"),"OK")))</f>
      </c>
    </row>
    <row r="1409" spans="1:10" x14ac:dyDescent="0.25">
      <c r="A1409" s="1"/>
      <c r="B1409" s="20"/>
      <c r="C1409" s="1"/>
      <c r="D1409" s="1"/>
      <c r="E1409" s="1"/>
      <c r="F1409" s="1"/>
      <c r="G1409" s="1"/>
      <c r="H1409" s="1"/>
      <c r="I1409" s="1"/>
      <c r="J1409" s="1">
        <f>IF($F1409="","",IF($H1409="","Not rated",IF(OR($H1409=Lists!$B$3,$H1409=Lists!$B$5),IF(AND(LEFT(SUBSTITUTE($I1409," ",""),LEN($F1409)+1)=$F1409&amp;"-",LEN(SUBSTITUTE($I1409," ",""))&gt;LEN($F1409)+1),"OK","Comment required"),"OK")))</f>
      </c>
    </row>
    <row r="1410" spans="1:10" x14ac:dyDescent="0.25">
      <c r="A1410" s="1"/>
      <c r="B1410" s="20"/>
      <c r="C1410" s="1"/>
      <c r="D1410" s="1"/>
      <c r="E1410" s="1"/>
      <c r="F1410" s="1"/>
      <c r="G1410" s="1"/>
      <c r="H1410" s="1"/>
      <c r="I1410" s="1"/>
      <c r="J1410" s="1">
        <f>IF($F1410="","",IF($H1410="","Not rated",IF(OR($H1410=Lists!$B$3,$H1410=Lists!$B$5),IF(AND(LEFT(SUBSTITUTE($I1410," ",""),LEN($F1410)+1)=$F1410&amp;"-",LEN(SUBSTITUTE($I1410," ",""))&gt;LEN($F1410)+1),"OK","Comment required"),"OK")))</f>
      </c>
    </row>
    <row r="1411" spans="1:10" x14ac:dyDescent="0.25">
      <c r="A1411" s="1"/>
      <c r="B1411" s="20"/>
      <c r="C1411" s="1"/>
      <c r="D1411" s="1"/>
      <c r="E1411" s="1"/>
      <c r="F1411" s="1"/>
      <c r="G1411" s="1"/>
      <c r="H1411" s="1"/>
      <c r="I1411" s="1"/>
      <c r="J1411" s="1">
        <f>IF($F1411="","",IF($H1411="","Not rated",IF(OR($H1411=Lists!$B$3,$H1411=Lists!$B$5),IF(AND(LEFT(SUBSTITUTE($I1411," ",""),LEN($F1411)+1)=$F1411&amp;"-",LEN(SUBSTITUTE($I1411," ",""))&gt;LEN($F1411)+1),"OK","Comment required"),"OK")))</f>
      </c>
    </row>
    <row r="1412" spans="1:10" x14ac:dyDescent="0.25">
      <c r="A1412" s="1"/>
      <c r="B1412" s="20"/>
      <c r="C1412" s="1"/>
      <c r="D1412" s="1"/>
      <c r="E1412" s="1"/>
      <c r="F1412" s="1"/>
      <c r="G1412" s="1"/>
      <c r="H1412" s="1"/>
      <c r="I1412" s="1"/>
      <c r="J1412" s="1">
        <f>IF($F1412="","",IF($H1412="","Not rated",IF(OR($H1412=Lists!$B$3,$H1412=Lists!$B$5),IF(AND(LEFT(SUBSTITUTE($I1412," ",""),LEN($F1412)+1)=$F1412&amp;"-",LEN(SUBSTITUTE($I1412," ",""))&gt;LEN($F1412)+1),"OK","Comment required"),"OK")))</f>
      </c>
    </row>
    <row r="1413" spans="1:10" x14ac:dyDescent="0.25">
      <c r="A1413" s="1"/>
      <c r="B1413" s="20"/>
      <c r="C1413" s="1"/>
      <c r="D1413" s="1"/>
      <c r="E1413" s="1"/>
      <c r="F1413" s="1"/>
      <c r="G1413" s="1"/>
      <c r="H1413" s="1"/>
      <c r="I1413" s="1"/>
      <c r="J1413" s="1">
        <f>IF($F1413="","",IF($H1413="","Not rated",IF(OR($H1413=Lists!$B$3,$H1413=Lists!$B$5),IF(AND(LEFT(SUBSTITUTE($I1413," ",""),LEN($F1413)+1)=$F1413&amp;"-",LEN(SUBSTITUTE($I1413," ",""))&gt;LEN($F1413)+1),"OK","Comment required"),"OK")))</f>
      </c>
    </row>
    <row r="1414" spans="1:10" x14ac:dyDescent="0.25">
      <c r="A1414" s="1"/>
      <c r="B1414" s="20"/>
      <c r="C1414" s="1"/>
      <c r="D1414" s="1"/>
      <c r="E1414" s="1"/>
      <c r="F1414" s="1"/>
      <c r="G1414" s="1"/>
      <c r="H1414" s="1"/>
      <c r="I1414" s="1"/>
      <c r="J1414" s="1">
        <f>IF($F1414="","",IF($H1414="","Not rated",IF(OR($H1414=Lists!$B$3,$H1414=Lists!$B$5),IF(AND(LEFT(SUBSTITUTE($I1414," ",""),LEN($F1414)+1)=$F1414&amp;"-",LEN(SUBSTITUTE($I1414," ",""))&gt;LEN($F1414)+1),"OK","Comment required"),"OK")))</f>
      </c>
    </row>
    <row r="1415" spans="1:10" x14ac:dyDescent="0.25">
      <c r="A1415" s="1"/>
      <c r="B1415" s="20"/>
      <c r="C1415" s="1"/>
      <c r="D1415" s="1"/>
      <c r="E1415" s="1"/>
      <c r="F1415" s="1"/>
      <c r="G1415" s="1"/>
      <c r="H1415" s="1"/>
      <c r="I1415" s="1"/>
      <c r="J1415" s="1">
        <f>IF($F1415="","",IF($H1415="","Not rated",IF(OR($H1415=Lists!$B$3,$H1415=Lists!$B$5),IF(AND(LEFT(SUBSTITUTE($I1415," ",""),LEN($F1415)+1)=$F1415&amp;"-",LEN(SUBSTITUTE($I1415," ",""))&gt;LEN($F1415)+1),"OK","Comment required"),"OK")))</f>
      </c>
    </row>
    <row r="1416" spans="1:10" x14ac:dyDescent="0.25">
      <c r="A1416" s="1"/>
      <c r="B1416" s="20"/>
      <c r="C1416" s="1"/>
      <c r="D1416" s="1"/>
      <c r="E1416" s="1"/>
      <c r="F1416" s="1"/>
      <c r="G1416" s="1"/>
      <c r="H1416" s="1"/>
      <c r="I1416" s="1"/>
      <c r="J1416" s="1">
        <f>IF($F1416="","",IF($H1416="","Not rated",IF(OR($H1416=Lists!$B$3,$H1416=Lists!$B$5),IF(AND(LEFT(SUBSTITUTE($I1416," ",""),LEN($F1416)+1)=$F1416&amp;"-",LEN(SUBSTITUTE($I1416," ",""))&gt;LEN($F1416)+1),"OK","Comment required"),"OK")))</f>
      </c>
    </row>
    <row r="1417" spans="1:10" x14ac:dyDescent="0.25">
      <c r="A1417" s="1"/>
      <c r="B1417" s="20"/>
      <c r="C1417" s="1"/>
      <c r="D1417" s="1"/>
      <c r="E1417" s="1"/>
      <c r="F1417" s="1"/>
      <c r="G1417" s="1"/>
      <c r="H1417" s="1"/>
      <c r="I1417" s="1"/>
      <c r="J1417" s="1">
        <f>IF($F1417="","",IF($H1417="","Not rated",IF(OR($H1417=Lists!$B$3,$H1417=Lists!$B$5),IF(AND(LEFT(SUBSTITUTE($I1417," ",""),LEN($F1417)+1)=$F1417&amp;"-",LEN(SUBSTITUTE($I1417," ",""))&gt;LEN($F1417)+1),"OK","Comment required"),"OK")))</f>
      </c>
    </row>
    <row r="1418" spans="1:10" x14ac:dyDescent="0.25">
      <c r="A1418" s="1"/>
      <c r="B1418" s="20"/>
      <c r="C1418" s="1"/>
      <c r="D1418" s="1"/>
      <c r="E1418" s="1"/>
      <c r="F1418" s="1"/>
      <c r="G1418" s="1"/>
      <c r="H1418" s="1"/>
      <c r="I1418" s="1"/>
      <c r="J1418" s="1">
        <f>IF($F1418="","",IF($H1418="","Not rated",IF(OR($H1418=Lists!$B$3,$H1418=Lists!$B$5),IF(AND(LEFT(SUBSTITUTE($I1418," ",""),LEN($F1418)+1)=$F1418&amp;"-",LEN(SUBSTITUTE($I1418," ",""))&gt;LEN($F1418)+1),"OK","Comment required"),"OK")))</f>
      </c>
    </row>
    <row r="1419" spans="1:10" x14ac:dyDescent="0.25">
      <c r="A1419" s="1"/>
      <c r="B1419" s="20"/>
      <c r="C1419" s="1"/>
      <c r="D1419" s="1"/>
      <c r="E1419" s="1"/>
      <c r="F1419" s="1"/>
      <c r="G1419" s="1"/>
      <c r="H1419" s="1"/>
      <c r="I1419" s="1"/>
      <c r="J1419" s="1">
        <f>IF($F1419="","",IF($H1419="","Not rated",IF(OR($H1419=Lists!$B$3,$H1419=Lists!$B$5),IF(AND(LEFT(SUBSTITUTE($I1419," ",""),LEN($F1419)+1)=$F1419&amp;"-",LEN(SUBSTITUTE($I1419," ",""))&gt;LEN($F1419)+1),"OK","Comment required"),"OK")))</f>
      </c>
    </row>
    <row r="1420" spans="1:10" x14ac:dyDescent="0.25">
      <c r="A1420" s="1"/>
      <c r="B1420" s="20"/>
      <c r="C1420" s="1"/>
      <c r="D1420" s="1"/>
      <c r="E1420" s="1"/>
      <c r="F1420" s="1"/>
      <c r="G1420" s="1"/>
      <c r="H1420" s="1"/>
      <c r="I1420" s="1"/>
      <c r="J1420" s="1">
        <f>IF($F1420="","",IF($H1420="","Not rated",IF(OR($H1420=Lists!$B$3,$H1420=Lists!$B$5),IF(AND(LEFT(SUBSTITUTE($I1420," ",""),LEN($F1420)+1)=$F1420&amp;"-",LEN(SUBSTITUTE($I1420," ",""))&gt;LEN($F1420)+1),"OK","Comment required"),"OK")))</f>
      </c>
    </row>
    <row r="1421" spans="1:10" x14ac:dyDescent="0.25">
      <c r="A1421" s="1"/>
      <c r="B1421" s="20"/>
      <c r="C1421" s="1"/>
      <c r="D1421" s="1"/>
      <c r="E1421" s="1"/>
      <c r="F1421" s="1"/>
      <c r="G1421" s="1"/>
      <c r="H1421" s="1"/>
      <c r="I1421" s="1"/>
      <c r="J1421" s="1">
        <f>IF($F1421="","",IF($H1421="","Not rated",IF(OR($H1421=Lists!$B$3,$H1421=Lists!$B$5),IF(AND(LEFT(SUBSTITUTE($I1421," ",""),LEN($F1421)+1)=$F1421&amp;"-",LEN(SUBSTITUTE($I1421," ",""))&gt;LEN($F1421)+1),"OK","Comment required"),"OK")))</f>
      </c>
    </row>
    <row r="1422" spans="1:10" x14ac:dyDescent="0.25">
      <c r="A1422" s="1"/>
      <c r="B1422" s="20"/>
      <c r="C1422" s="1"/>
      <c r="D1422" s="1"/>
      <c r="E1422" s="1"/>
      <c r="F1422" s="1"/>
      <c r="G1422" s="1"/>
      <c r="H1422" s="1"/>
      <c r="I1422" s="1"/>
      <c r="J1422" s="1">
        <f>IF($F1422="","",IF($H1422="","Not rated",IF(OR($H1422=Lists!$B$3,$H1422=Lists!$B$5),IF(AND(LEFT(SUBSTITUTE($I1422," ",""),LEN($F1422)+1)=$F1422&amp;"-",LEN(SUBSTITUTE($I1422," ",""))&gt;LEN($F1422)+1),"OK","Comment required"),"OK")))</f>
      </c>
    </row>
    <row r="1423" spans="1:10" x14ac:dyDescent="0.25">
      <c r="A1423" s="1"/>
      <c r="B1423" s="20"/>
      <c r="C1423" s="1"/>
      <c r="D1423" s="1"/>
      <c r="E1423" s="1"/>
      <c r="F1423" s="1"/>
      <c r="G1423" s="1"/>
      <c r="H1423" s="1"/>
      <c r="I1423" s="1"/>
      <c r="J1423" s="1">
        <f>IF($F1423="","",IF($H1423="","Not rated",IF(OR($H1423=Lists!$B$3,$H1423=Lists!$B$5),IF(AND(LEFT(SUBSTITUTE($I1423," ",""),LEN($F1423)+1)=$F1423&amp;"-",LEN(SUBSTITUTE($I1423," ",""))&gt;LEN($F1423)+1),"OK","Comment required"),"OK")))</f>
      </c>
    </row>
    <row r="1424" spans="1:10" x14ac:dyDescent="0.25">
      <c r="A1424" s="1"/>
      <c r="B1424" s="20"/>
      <c r="C1424" s="1"/>
      <c r="D1424" s="1"/>
      <c r="E1424" s="1"/>
      <c r="F1424" s="1"/>
      <c r="G1424" s="1"/>
      <c r="H1424" s="1"/>
      <c r="I1424" s="1"/>
      <c r="J1424" s="1">
        <f>IF($F1424="","",IF($H1424="","Not rated",IF(OR($H1424=Lists!$B$3,$H1424=Lists!$B$5),IF(AND(LEFT(SUBSTITUTE($I1424," ",""),LEN($F1424)+1)=$F1424&amp;"-",LEN(SUBSTITUTE($I1424," ",""))&gt;LEN($F1424)+1),"OK","Comment required"),"OK")))</f>
      </c>
    </row>
    <row r="1425" spans="1:10" x14ac:dyDescent="0.25">
      <c r="A1425" s="1"/>
      <c r="B1425" s="20"/>
      <c r="C1425" s="1"/>
      <c r="D1425" s="1"/>
      <c r="E1425" s="1"/>
      <c r="F1425" s="1"/>
      <c r="G1425" s="1"/>
      <c r="H1425" s="1"/>
      <c r="I1425" s="1"/>
      <c r="J1425" s="1">
        <f>IF($F1425="","",IF($H1425="","Not rated",IF(OR($H1425=Lists!$B$3,$H1425=Lists!$B$5),IF(AND(LEFT(SUBSTITUTE($I1425," ",""),LEN($F1425)+1)=$F1425&amp;"-",LEN(SUBSTITUTE($I1425," ",""))&gt;LEN($F1425)+1),"OK","Comment required"),"OK")))</f>
      </c>
    </row>
    <row r="1426" spans="1:10" x14ac:dyDescent="0.25">
      <c r="A1426" s="1"/>
      <c r="B1426" s="20"/>
      <c r="C1426" s="1"/>
      <c r="D1426" s="1"/>
      <c r="E1426" s="1"/>
      <c r="F1426" s="1"/>
      <c r="G1426" s="1"/>
      <c r="H1426" s="1"/>
      <c r="I1426" s="1"/>
      <c r="J1426" s="1">
        <f>IF($F1426="","",IF($H1426="","Not rated",IF(OR($H1426=Lists!$B$3,$H1426=Lists!$B$5),IF(AND(LEFT(SUBSTITUTE($I1426," ",""),LEN($F1426)+1)=$F1426&amp;"-",LEN(SUBSTITUTE($I1426," ",""))&gt;LEN($F1426)+1),"OK","Comment required"),"OK")))</f>
      </c>
    </row>
    <row r="1427" spans="1:10" x14ac:dyDescent="0.25">
      <c r="A1427" s="1"/>
      <c r="B1427" s="20"/>
      <c r="C1427" s="1"/>
      <c r="D1427" s="1"/>
      <c r="E1427" s="1"/>
      <c r="F1427" s="1"/>
      <c r="G1427" s="1"/>
      <c r="H1427" s="1"/>
      <c r="I1427" s="1"/>
      <c r="J1427" s="1">
        <f>IF($F1427="","",IF($H1427="","Not rated",IF(OR($H1427=Lists!$B$3,$H1427=Lists!$B$5),IF(AND(LEFT(SUBSTITUTE($I1427," ",""),LEN($F1427)+1)=$F1427&amp;"-",LEN(SUBSTITUTE($I1427," ",""))&gt;LEN($F1427)+1),"OK","Comment required"),"OK")))</f>
      </c>
    </row>
    <row r="1428" spans="1:10" x14ac:dyDescent="0.25">
      <c r="A1428" s="1"/>
      <c r="B1428" s="20"/>
      <c r="C1428" s="1"/>
      <c r="D1428" s="1"/>
      <c r="E1428" s="1"/>
      <c r="F1428" s="1"/>
      <c r="G1428" s="1"/>
      <c r="H1428" s="1"/>
      <c r="I1428" s="1"/>
      <c r="J1428" s="1">
        <f>IF($F1428="","",IF($H1428="","Not rated",IF(OR($H1428=Lists!$B$3,$H1428=Lists!$B$5),IF(AND(LEFT(SUBSTITUTE($I1428," ",""),LEN($F1428)+1)=$F1428&amp;"-",LEN(SUBSTITUTE($I1428," ",""))&gt;LEN($F1428)+1),"OK","Comment required"),"OK")))</f>
      </c>
    </row>
    <row r="1429" spans="1:10" x14ac:dyDescent="0.25">
      <c r="A1429" s="1"/>
      <c r="B1429" s="20"/>
      <c r="C1429" s="1"/>
      <c r="D1429" s="1"/>
      <c r="E1429" s="1"/>
      <c r="F1429" s="1"/>
      <c r="G1429" s="1"/>
      <c r="H1429" s="1"/>
      <c r="I1429" s="1"/>
      <c r="J1429" s="1">
        <f>IF($F1429="","",IF($H1429="","Not rated",IF(OR($H1429=Lists!$B$3,$H1429=Lists!$B$5),IF(AND(LEFT(SUBSTITUTE($I1429," ",""),LEN($F1429)+1)=$F1429&amp;"-",LEN(SUBSTITUTE($I1429," ",""))&gt;LEN($F1429)+1),"OK","Comment required"),"OK")))</f>
      </c>
    </row>
    <row r="1430" spans="1:10" x14ac:dyDescent="0.25">
      <c r="A1430" s="1"/>
      <c r="B1430" s="20"/>
      <c r="C1430" s="1"/>
      <c r="D1430" s="1"/>
      <c r="E1430" s="1"/>
      <c r="F1430" s="1"/>
      <c r="G1430" s="1"/>
      <c r="H1430" s="1"/>
      <c r="I1430" s="1"/>
      <c r="J1430" s="1">
        <f>IF($F1430="","",IF($H1430="","Not rated",IF(OR($H1430=Lists!$B$3,$H1430=Lists!$B$5),IF(AND(LEFT(SUBSTITUTE($I1430," ",""),LEN($F1430)+1)=$F1430&amp;"-",LEN(SUBSTITUTE($I1430," ",""))&gt;LEN($F1430)+1),"OK","Comment required"),"OK")))</f>
      </c>
    </row>
    <row r="1431" spans="1:10" x14ac:dyDescent="0.25">
      <c r="A1431" s="1"/>
      <c r="B1431" s="20"/>
      <c r="C1431" s="1"/>
      <c r="D1431" s="1"/>
      <c r="E1431" s="1"/>
      <c r="F1431" s="1"/>
      <c r="G1431" s="1"/>
      <c r="H1431" s="1"/>
      <c r="I1431" s="1"/>
      <c r="J1431" s="1">
        <f>IF($F1431="","",IF($H1431="","Not rated",IF(OR($H1431=Lists!$B$3,$H1431=Lists!$B$5),IF(AND(LEFT(SUBSTITUTE($I1431," ",""),LEN($F1431)+1)=$F1431&amp;"-",LEN(SUBSTITUTE($I1431," ",""))&gt;LEN($F1431)+1),"OK","Comment required"),"OK")))</f>
      </c>
    </row>
    <row r="1432" spans="1:10" x14ac:dyDescent="0.25">
      <c r="A1432" s="1"/>
      <c r="B1432" s="20"/>
      <c r="C1432" s="1"/>
      <c r="D1432" s="1"/>
      <c r="E1432" s="1"/>
      <c r="F1432" s="1"/>
      <c r="G1432" s="1"/>
      <c r="H1432" s="1"/>
      <c r="I1432" s="1"/>
      <c r="J1432" s="1">
        <f>IF($F1432="","",IF($H1432="","Not rated",IF(OR($H1432=Lists!$B$3,$H1432=Lists!$B$5),IF(AND(LEFT(SUBSTITUTE($I1432," ",""),LEN($F1432)+1)=$F1432&amp;"-",LEN(SUBSTITUTE($I1432," ",""))&gt;LEN($F1432)+1),"OK","Comment required"),"OK")))</f>
      </c>
    </row>
    <row r="1433" spans="1:10" x14ac:dyDescent="0.25">
      <c r="A1433" s="1"/>
      <c r="B1433" s="20"/>
      <c r="C1433" s="1"/>
      <c r="D1433" s="1"/>
      <c r="E1433" s="1"/>
      <c r="F1433" s="1"/>
      <c r="G1433" s="1"/>
      <c r="H1433" s="1"/>
      <c r="I1433" s="1"/>
      <c r="J1433" s="1">
        <f>IF($F1433="","",IF($H1433="","Not rated",IF(OR($H1433=Lists!$B$3,$H1433=Lists!$B$5),IF(AND(LEFT(SUBSTITUTE($I1433," ",""),LEN($F1433)+1)=$F1433&amp;"-",LEN(SUBSTITUTE($I1433," ",""))&gt;LEN($F1433)+1),"OK","Comment required"),"OK")))</f>
      </c>
    </row>
    <row r="1434" spans="1:10" x14ac:dyDescent="0.25">
      <c r="A1434" s="1"/>
      <c r="B1434" s="20"/>
      <c r="C1434" s="1"/>
      <c r="D1434" s="1"/>
      <c r="E1434" s="1"/>
      <c r="F1434" s="1"/>
      <c r="G1434" s="1"/>
      <c r="H1434" s="1"/>
      <c r="I1434" s="1"/>
      <c r="J1434" s="1">
        <f>IF($F1434="","",IF($H1434="","Not rated",IF(OR($H1434=Lists!$B$3,$H1434=Lists!$B$5),IF(AND(LEFT(SUBSTITUTE($I1434," ",""),LEN($F1434)+1)=$F1434&amp;"-",LEN(SUBSTITUTE($I1434," ",""))&gt;LEN($F1434)+1),"OK","Comment required"),"OK")))</f>
      </c>
    </row>
    <row r="1435" spans="1:10" x14ac:dyDescent="0.25">
      <c r="A1435" s="1"/>
      <c r="B1435" s="20"/>
      <c r="C1435" s="1"/>
      <c r="D1435" s="1"/>
      <c r="E1435" s="1"/>
      <c r="F1435" s="1"/>
      <c r="G1435" s="1"/>
      <c r="H1435" s="1"/>
      <c r="I1435" s="1"/>
      <c r="J1435" s="1">
        <f>IF($F1435="","",IF($H1435="","Not rated",IF(OR($H1435=Lists!$B$3,$H1435=Lists!$B$5),IF(AND(LEFT(SUBSTITUTE($I1435," ",""),LEN($F1435)+1)=$F1435&amp;"-",LEN(SUBSTITUTE($I1435," ",""))&gt;LEN($F1435)+1),"OK","Comment required"),"OK")))</f>
      </c>
    </row>
    <row r="1436" spans="1:10" x14ac:dyDescent="0.25">
      <c r="A1436" s="1"/>
      <c r="B1436" s="20"/>
      <c r="C1436" s="1"/>
      <c r="D1436" s="1"/>
      <c r="E1436" s="1"/>
      <c r="F1436" s="1"/>
      <c r="G1436" s="1"/>
      <c r="H1436" s="1"/>
      <c r="I1436" s="1"/>
      <c r="J1436" s="1">
        <f>IF($F1436="","",IF($H1436="","Not rated",IF(OR($H1436=Lists!$B$3,$H1436=Lists!$B$5),IF(AND(LEFT(SUBSTITUTE($I1436," ",""),LEN($F1436)+1)=$F1436&amp;"-",LEN(SUBSTITUTE($I1436," ",""))&gt;LEN($F1436)+1),"OK","Comment required"),"OK")))</f>
      </c>
    </row>
    <row r="1437" spans="1:10" x14ac:dyDescent="0.25">
      <c r="A1437" s="1"/>
      <c r="B1437" s="20"/>
      <c r="C1437" s="1"/>
      <c r="D1437" s="1"/>
      <c r="E1437" s="1"/>
      <c r="F1437" s="1"/>
      <c r="G1437" s="1"/>
      <c r="H1437" s="1"/>
      <c r="I1437" s="1"/>
      <c r="J1437" s="1">
        <f>IF($F1437="","",IF($H1437="","Not rated",IF(OR($H1437=Lists!$B$3,$H1437=Lists!$B$5),IF(AND(LEFT(SUBSTITUTE($I1437," ",""),LEN($F1437)+1)=$F1437&amp;"-",LEN(SUBSTITUTE($I1437," ",""))&gt;LEN($F1437)+1),"OK","Comment required"),"OK")))</f>
      </c>
    </row>
    <row r="1438" spans="1:10" x14ac:dyDescent="0.25">
      <c r="A1438" s="1"/>
      <c r="B1438" s="20"/>
      <c r="C1438" s="1"/>
      <c r="D1438" s="1"/>
      <c r="E1438" s="1"/>
      <c r="F1438" s="1"/>
      <c r="G1438" s="1"/>
      <c r="H1438" s="1"/>
      <c r="I1438" s="1"/>
      <c r="J1438" s="1">
        <f>IF($F1438="","",IF($H1438="","Not rated",IF(OR($H1438=Lists!$B$3,$H1438=Lists!$B$5),IF(AND(LEFT(SUBSTITUTE($I1438," ",""),LEN($F1438)+1)=$F1438&amp;"-",LEN(SUBSTITUTE($I1438," ",""))&gt;LEN($F1438)+1),"OK","Comment required"),"OK")))</f>
      </c>
    </row>
    <row r="1439" spans="1:10" x14ac:dyDescent="0.25">
      <c r="A1439" s="1"/>
      <c r="B1439" s="20"/>
      <c r="C1439" s="1"/>
      <c r="D1439" s="1"/>
      <c r="E1439" s="1"/>
      <c r="F1439" s="1"/>
      <c r="G1439" s="1"/>
      <c r="H1439" s="1"/>
      <c r="I1439" s="1"/>
      <c r="J1439" s="1">
        <f>IF($F1439="","",IF($H1439="","Not rated",IF(OR($H1439=Lists!$B$3,$H1439=Lists!$B$5),IF(AND(LEFT(SUBSTITUTE($I1439," ",""),LEN($F1439)+1)=$F1439&amp;"-",LEN(SUBSTITUTE($I1439," ",""))&gt;LEN($F1439)+1),"OK","Comment required"),"OK")))</f>
      </c>
    </row>
    <row r="1440" spans="1:10" x14ac:dyDescent="0.25">
      <c r="A1440" s="1"/>
      <c r="B1440" s="20"/>
      <c r="C1440" s="1"/>
      <c r="D1440" s="1"/>
      <c r="E1440" s="1"/>
      <c r="F1440" s="1"/>
      <c r="G1440" s="1"/>
      <c r="H1440" s="1"/>
      <c r="I1440" s="1"/>
      <c r="J1440" s="1">
        <f>IF($F1440="","",IF($H1440="","Not rated",IF(OR($H1440=Lists!$B$3,$H1440=Lists!$B$5),IF(AND(LEFT(SUBSTITUTE($I1440," ",""),LEN($F1440)+1)=$F1440&amp;"-",LEN(SUBSTITUTE($I1440," ",""))&gt;LEN($F1440)+1),"OK","Comment required"),"OK")))</f>
      </c>
    </row>
    <row r="1441" spans="1:10" x14ac:dyDescent="0.25">
      <c r="A1441" s="1"/>
      <c r="B1441" s="20"/>
      <c r="C1441" s="1"/>
      <c r="D1441" s="1"/>
      <c r="E1441" s="1"/>
      <c r="F1441" s="1"/>
      <c r="G1441" s="1"/>
      <c r="H1441" s="1"/>
      <c r="I1441" s="1"/>
      <c r="J1441" s="1">
        <f>IF($F1441="","",IF($H1441="","Not rated",IF(OR($H1441=Lists!$B$3,$H1441=Lists!$B$5),IF(AND(LEFT(SUBSTITUTE($I1441," ",""),LEN($F1441)+1)=$F1441&amp;"-",LEN(SUBSTITUTE($I1441," ",""))&gt;LEN($F1441)+1),"OK","Comment required"),"OK")))</f>
      </c>
    </row>
    <row r="1442" spans="1:10" x14ac:dyDescent="0.25">
      <c r="A1442" s="1"/>
      <c r="B1442" s="20"/>
      <c r="C1442" s="1"/>
      <c r="D1442" s="1"/>
      <c r="E1442" s="1"/>
      <c r="F1442" s="1"/>
      <c r="G1442" s="1"/>
      <c r="H1442" s="1"/>
      <c r="I1442" s="1"/>
      <c r="J1442" s="1">
        <f>IF($F1442="","",IF($H1442="","Not rated",IF(OR($H1442=Lists!$B$3,$H1442=Lists!$B$5),IF(AND(LEFT(SUBSTITUTE($I1442," ",""),LEN($F1442)+1)=$F1442&amp;"-",LEN(SUBSTITUTE($I1442," ",""))&gt;LEN($F1442)+1),"OK","Comment required"),"OK")))</f>
      </c>
    </row>
    <row r="1443" spans="1:10" x14ac:dyDescent="0.25">
      <c r="A1443" s="1"/>
      <c r="B1443" s="20"/>
      <c r="C1443" s="1"/>
      <c r="D1443" s="1"/>
      <c r="E1443" s="1"/>
      <c r="F1443" s="1"/>
      <c r="G1443" s="1"/>
      <c r="H1443" s="1"/>
      <c r="I1443" s="1"/>
      <c r="J1443" s="1">
        <f>IF($F1443="","",IF($H1443="","Not rated",IF(OR($H1443=Lists!$B$3,$H1443=Lists!$B$5),IF(AND(LEFT(SUBSTITUTE($I1443," ",""),LEN($F1443)+1)=$F1443&amp;"-",LEN(SUBSTITUTE($I1443," ",""))&gt;LEN($F1443)+1),"OK","Comment required"),"OK")))</f>
      </c>
    </row>
    <row r="1444" spans="1:10" x14ac:dyDescent="0.25">
      <c r="A1444" s="1"/>
      <c r="B1444" s="20"/>
      <c r="C1444" s="1"/>
      <c r="D1444" s="1"/>
      <c r="E1444" s="1"/>
      <c r="F1444" s="1"/>
      <c r="G1444" s="1"/>
      <c r="H1444" s="1"/>
      <c r="I1444" s="1"/>
      <c r="J1444" s="1">
        <f>IF($F1444="","",IF($H1444="","Not rated",IF(OR($H1444=Lists!$B$3,$H1444=Lists!$B$5),IF(AND(LEFT(SUBSTITUTE($I1444," ",""),LEN($F1444)+1)=$F1444&amp;"-",LEN(SUBSTITUTE($I1444," ",""))&gt;LEN($F1444)+1),"OK","Comment required"),"OK")))</f>
      </c>
    </row>
    <row r="1445" spans="1:10" x14ac:dyDescent="0.25">
      <c r="A1445" s="1"/>
      <c r="B1445" s="20"/>
      <c r="C1445" s="1"/>
      <c r="D1445" s="1"/>
      <c r="E1445" s="1"/>
      <c r="F1445" s="1"/>
      <c r="G1445" s="1"/>
      <c r="H1445" s="1"/>
      <c r="I1445" s="1"/>
      <c r="J1445" s="1">
        <f>IF($F1445="","",IF($H1445="","Not rated",IF(OR($H1445=Lists!$B$3,$H1445=Lists!$B$5),IF(AND(LEFT(SUBSTITUTE($I1445," ",""),LEN($F1445)+1)=$F1445&amp;"-",LEN(SUBSTITUTE($I1445," ",""))&gt;LEN($F1445)+1),"OK","Comment required"),"OK")))</f>
      </c>
    </row>
    <row r="1446" spans="1:10" x14ac:dyDescent="0.25">
      <c r="A1446" s="1"/>
      <c r="B1446" s="20"/>
      <c r="C1446" s="1"/>
      <c r="D1446" s="1"/>
      <c r="E1446" s="1"/>
      <c r="F1446" s="1"/>
      <c r="G1446" s="1"/>
      <c r="H1446" s="1"/>
      <c r="I1446" s="1"/>
      <c r="J1446" s="1">
        <f>IF($F1446="","",IF($H1446="","Not rated",IF(OR($H1446=Lists!$B$3,$H1446=Lists!$B$5),IF(AND(LEFT(SUBSTITUTE($I1446," ",""),LEN($F1446)+1)=$F1446&amp;"-",LEN(SUBSTITUTE($I1446," ",""))&gt;LEN($F1446)+1),"OK","Comment required"),"OK")))</f>
      </c>
    </row>
    <row r="1447" spans="1:10" x14ac:dyDescent="0.25">
      <c r="A1447" s="1"/>
      <c r="B1447" s="20"/>
      <c r="C1447" s="1"/>
      <c r="D1447" s="1"/>
      <c r="E1447" s="1"/>
      <c r="F1447" s="1"/>
      <c r="G1447" s="1"/>
      <c r="H1447" s="1"/>
      <c r="I1447" s="1"/>
      <c r="J1447" s="1">
        <f>IF($F1447="","",IF($H1447="","Not rated",IF(OR($H1447=Lists!$B$3,$H1447=Lists!$B$5),IF(AND(LEFT(SUBSTITUTE($I1447," ",""),LEN($F1447)+1)=$F1447&amp;"-",LEN(SUBSTITUTE($I1447," ",""))&gt;LEN($F1447)+1),"OK","Comment required"),"OK")))</f>
      </c>
    </row>
    <row r="1448" spans="1:10" x14ac:dyDescent="0.25">
      <c r="A1448" s="1"/>
      <c r="B1448" s="20"/>
      <c r="C1448" s="1"/>
      <c r="D1448" s="1"/>
      <c r="E1448" s="1"/>
      <c r="F1448" s="1"/>
      <c r="G1448" s="1"/>
      <c r="H1448" s="1"/>
      <c r="I1448" s="1"/>
      <c r="J1448" s="1">
        <f>IF($F1448="","",IF($H1448="","Not rated",IF(OR($H1448=Lists!$B$3,$H1448=Lists!$B$5),IF(AND(LEFT(SUBSTITUTE($I1448," ",""),LEN($F1448)+1)=$F1448&amp;"-",LEN(SUBSTITUTE($I1448," ",""))&gt;LEN($F1448)+1),"OK","Comment required"),"OK")))</f>
      </c>
    </row>
    <row r="1449" spans="1:10" x14ac:dyDescent="0.25">
      <c r="A1449" s="1"/>
      <c r="B1449" s="20"/>
      <c r="C1449" s="1"/>
      <c r="D1449" s="1"/>
      <c r="E1449" s="1"/>
      <c r="F1449" s="1"/>
      <c r="G1449" s="1"/>
      <c r="H1449" s="1"/>
      <c r="I1449" s="1"/>
      <c r="J1449" s="1">
        <f>IF($F1449="","",IF($H1449="","Not rated",IF(OR($H1449=Lists!$B$3,$H1449=Lists!$B$5),IF(AND(LEFT(SUBSTITUTE($I1449," ",""),LEN($F1449)+1)=$F1449&amp;"-",LEN(SUBSTITUTE($I1449," ",""))&gt;LEN($F1449)+1),"OK","Comment required"),"OK")))</f>
      </c>
    </row>
    <row r="1450" spans="1:10" x14ac:dyDescent="0.25">
      <c r="A1450" s="1"/>
      <c r="B1450" s="20"/>
      <c r="C1450" s="1"/>
      <c r="D1450" s="1"/>
      <c r="E1450" s="1"/>
      <c r="F1450" s="1"/>
      <c r="G1450" s="1"/>
      <c r="H1450" s="1"/>
      <c r="I1450" s="1"/>
      <c r="J1450" s="1">
        <f>IF($F1450="","",IF($H1450="","Not rated",IF(OR($H1450=Lists!$B$3,$H1450=Lists!$B$5),IF(AND(LEFT(SUBSTITUTE($I1450," ",""),LEN($F1450)+1)=$F1450&amp;"-",LEN(SUBSTITUTE($I1450," ",""))&gt;LEN($F1450)+1),"OK","Comment required"),"OK")))</f>
      </c>
    </row>
    <row r="1451" spans="1:10" x14ac:dyDescent="0.25">
      <c r="A1451" s="1"/>
      <c r="B1451" s="20"/>
      <c r="C1451" s="1"/>
      <c r="D1451" s="1"/>
      <c r="E1451" s="1"/>
      <c r="F1451" s="1"/>
      <c r="G1451" s="1"/>
      <c r="H1451" s="1"/>
      <c r="I1451" s="1"/>
      <c r="J1451" s="1">
        <f>IF($F1451="","",IF($H1451="","Not rated",IF(OR($H1451=Lists!$B$3,$H1451=Lists!$B$5),IF(AND(LEFT(SUBSTITUTE($I1451," ",""),LEN($F1451)+1)=$F1451&amp;"-",LEN(SUBSTITUTE($I1451," ",""))&gt;LEN($F1451)+1),"OK","Comment required"),"OK")))</f>
      </c>
    </row>
    <row r="1452" spans="1:10" x14ac:dyDescent="0.25">
      <c r="A1452" s="1"/>
      <c r="B1452" s="20"/>
      <c r="C1452" s="1"/>
      <c r="D1452" s="1"/>
      <c r="E1452" s="1"/>
      <c r="F1452" s="1"/>
      <c r="G1452" s="1"/>
      <c r="H1452" s="1"/>
      <c r="I1452" s="1"/>
      <c r="J1452" s="1">
        <f>IF($F1452="","",IF($H1452="","Not rated",IF(OR($H1452=Lists!$B$3,$H1452=Lists!$B$5),IF(AND(LEFT(SUBSTITUTE($I1452," ",""),LEN($F1452)+1)=$F1452&amp;"-",LEN(SUBSTITUTE($I1452," ",""))&gt;LEN($F1452)+1),"OK","Comment required"),"OK")))</f>
      </c>
    </row>
    <row r="1453" spans="1:10" x14ac:dyDescent="0.25">
      <c r="A1453" s="1"/>
      <c r="B1453" s="20"/>
      <c r="C1453" s="1"/>
      <c r="D1453" s="1"/>
      <c r="E1453" s="1"/>
      <c r="F1453" s="1"/>
      <c r="G1453" s="1"/>
      <c r="H1453" s="1"/>
      <c r="I1453" s="1"/>
      <c r="J1453" s="1">
        <f>IF($F1453="","",IF($H1453="","Not rated",IF(OR($H1453=Lists!$B$3,$H1453=Lists!$B$5),IF(AND(LEFT(SUBSTITUTE($I1453," ",""),LEN($F1453)+1)=$F1453&amp;"-",LEN(SUBSTITUTE($I1453," ",""))&gt;LEN($F1453)+1),"OK","Comment required"),"OK")))</f>
      </c>
    </row>
    <row r="1454" spans="1:10" x14ac:dyDescent="0.25">
      <c r="A1454" s="1"/>
      <c r="B1454" s="20"/>
      <c r="C1454" s="1"/>
      <c r="D1454" s="1"/>
      <c r="E1454" s="1"/>
      <c r="F1454" s="1"/>
      <c r="G1454" s="1"/>
      <c r="H1454" s="1"/>
      <c r="I1454" s="1"/>
      <c r="J1454" s="1">
        <f>IF($F1454="","",IF($H1454="","Not rated",IF(OR($H1454=Lists!$B$3,$H1454=Lists!$B$5),IF(AND(LEFT(SUBSTITUTE($I1454," ",""),LEN($F1454)+1)=$F1454&amp;"-",LEN(SUBSTITUTE($I1454," ",""))&gt;LEN($F1454)+1),"OK","Comment required"),"OK")))</f>
      </c>
    </row>
    <row r="1455" spans="1:10" x14ac:dyDescent="0.25">
      <c r="A1455" s="1"/>
      <c r="B1455" s="20"/>
      <c r="C1455" s="1"/>
      <c r="D1455" s="1"/>
      <c r="E1455" s="1"/>
      <c r="F1455" s="1"/>
      <c r="G1455" s="1"/>
      <c r="H1455" s="1"/>
      <c r="I1455" s="1"/>
      <c r="J1455" s="1">
        <f>IF($F1455="","",IF($H1455="","Not rated",IF(OR($H1455=Lists!$B$3,$H1455=Lists!$B$5),IF(AND(LEFT(SUBSTITUTE($I1455," ",""),LEN($F1455)+1)=$F1455&amp;"-",LEN(SUBSTITUTE($I1455," ",""))&gt;LEN($F1455)+1),"OK","Comment required"),"OK")))</f>
      </c>
    </row>
    <row r="1456" spans="1:10" x14ac:dyDescent="0.25">
      <c r="A1456" s="1"/>
      <c r="B1456" s="20"/>
      <c r="C1456" s="1"/>
      <c r="D1456" s="1"/>
      <c r="E1456" s="1"/>
      <c r="F1456" s="1"/>
      <c r="G1456" s="1"/>
      <c r="H1456" s="1"/>
      <c r="I1456" s="1"/>
      <c r="J1456" s="1">
        <f>IF($F1456="","",IF($H1456="","Not rated",IF(OR($H1456=Lists!$B$3,$H1456=Lists!$B$5),IF(AND(LEFT(SUBSTITUTE($I1456," ",""),LEN($F1456)+1)=$F1456&amp;"-",LEN(SUBSTITUTE($I1456," ",""))&gt;LEN($F1456)+1),"OK","Comment required"),"OK")))</f>
      </c>
    </row>
    <row r="1457" spans="1:10" x14ac:dyDescent="0.25">
      <c r="A1457" s="1"/>
      <c r="B1457" s="20"/>
      <c r="C1457" s="1"/>
      <c r="D1457" s="1"/>
      <c r="E1457" s="1"/>
      <c r="F1457" s="1"/>
      <c r="G1457" s="1"/>
      <c r="H1457" s="1"/>
      <c r="I1457" s="1"/>
      <c r="J1457" s="1">
        <f>IF($F1457="","",IF($H1457="","Not rated",IF(OR($H1457=Lists!$B$3,$H1457=Lists!$B$5),IF(AND(LEFT(SUBSTITUTE($I1457," ",""),LEN($F1457)+1)=$F1457&amp;"-",LEN(SUBSTITUTE($I1457," ",""))&gt;LEN($F1457)+1),"OK","Comment required"),"OK")))</f>
      </c>
    </row>
    <row r="1458" spans="1:10" x14ac:dyDescent="0.25">
      <c r="A1458" s="1"/>
      <c r="B1458" s="20"/>
      <c r="C1458" s="1"/>
      <c r="D1458" s="1"/>
      <c r="E1458" s="1"/>
      <c r="F1458" s="1"/>
      <c r="G1458" s="1"/>
      <c r="H1458" s="1"/>
      <c r="I1458" s="1"/>
      <c r="J1458" s="1">
        <f>IF($F1458="","",IF($H1458="","Not rated",IF(OR($H1458=Lists!$B$3,$H1458=Lists!$B$5),IF(AND(LEFT(SUBSTITUTE($I1458," ",""),LEN($F1458)+1)=$F1458&amp;"-",LEN(SUBSTITUTE($I1458," ",""))&gt;LEN($F1458)+1),"OK","Comment required"),"OK")))</f>
      </c>
    </row>
    <row r="1459" spans="1:10" x14ac:dyDescent="0.25">
      <c r="A1459" s="1"/>
      <c r="B1459" s="20"/>
      <c r="C1459" s="1"/>
      <c r="D1459" s="1"/>
      <c r="E1459" s="1"/>
      <c r="F1459" s="1"/>
      <c r="G1459" s="1"/>
      <c r="H1459" s="1"/>
      <c r="I1459" s="1"/>
      <c r="J1459" s="1">
        <f>IF($F1459="","",IF($H1459="","Not rated",IF(OR($H1459=Lists!$B$3,$H1459=Lists!$B$5),IF(AND(LEFT(SUBSTITUTE($I1459," ",""),LEN($F1459)+1)=$F1459&amp;"-",LEN(SUBSTITUTE($I1459," ",""))&gt;LEN($F1459)+1),"OK","Comment required"),"OK")))</f>
      </c>
    </row>
    <row r="1460" spans="1:10" x14ac:dyDescent="0.25">
      <c r="A1460" s="1"/>
      <c r="B1460" s="20"/>
      <c r="C1460" s="1"/>
      <c r="D1460" s="1"/>
      <c r="E1460" s="1"/>
      <c r="F1460" s="1"/>
      <c r="G1460" s="1"/>
      <c r="H1460" s="1"/>
      <c r="I1460" s="1"/>
      <c r="J1460" s="1">
        <f>IF($F1460="","",IF($H1460="","Not rated",IF(OR($H1460=Lists!$B$3,$H1460=Lists!$B$5),IF(AND(LEFT(SUBSTITUTE($I1460," ",""),LEN($F1460)+1)=$F1460&amp;"-",LEN(SUBSTITUTE($I1460," ",""))&gt;LEN($F1460)+1),"OK","Comment required"),"OK")))</f>
      </c>
    </row>
    <row r="1461" spans="1:10" x14ac:dyDescent="0.25">
      <c r="A1461" s="1"/>
      <c r="B1461" s="20"/>
      <c r="C1461" s="1"/>
      <c r="D1461" s="1"/>
      <c r="E1461" s="1"/>
      <c r="F1461" s="1"/>
      <c r="G1461" s="1"/>
      <c r="H1461" s="1"/>
      <c r="I1461" s="1"/>
      <c r="J1461" s="1">
        <f>IF($F1461="","",IF($H1461="","Not rated",IF(OR($H1461=Lists!$B$3,$H1461=Lists!$B$5),IF(AND(LEFT(SUBSTITUTE($I1461," ",""),LEN($F1461)+1)=$F1461&amp;"-",LEN(SUBSTITUTE($I1461," ",""))&gt;LEN($F1461)+1),"OK","Comment required"),"OK")))</f>
      </c>
    </row>
    <row r="1462" spans="1:10" x14ac:dyDescent="0.25">
      <c r="A1462" s="1"/>
      <c r="B1462" s="20"/>
      <c r="C1462" s="1"/>
      <c r="D1462" s="1"/>
      <c r="E1462" s="1"/>
      <c r="F1462" s="1"/>
      <c r="G1462" s="1"/>
      <c r="H1462" s="1"/>
      <c r="I1462" s="1"/>
      <c r="J1462" s="1">
        <f>IF($F1462="","",IF($H1462="","Not rated",IF(OR($H1462=Lists!$B$3,$H1462=Lists!$B$5),IF(AND(LEFT(SUBSTITUTE($I1462," ",""),LEN($F1462)+1)=$F1462&amp;"-",LEN(SUBSTITUTE($I1462," ",""))&gt;LEN($F1462)+1),"OK","Comment required"),"OK")))</f>
      </c>
    </row>
    <row r="1463" spans="1:10" x14ac:dyDescent="0.25">
      <c r="A1463" s="1"/>
      <c r="B1463" s="20"/>
      <c r="C1463" s="1"/>
      <c r="D1463" s="1"/>
      <c r="E1463" s="1"/>
      <c r="F1463" s="1"/>
      <c r="G1463" s="1"/>
      <c r="H1463" s="1"/>
      <c r="I1463" s="1"/>
      <c r="J1463" s="1">
        <f>IF($F1463="","",IF($H1463="","Not rated",IF(OR($H1463=Lists!$B$3,$H1463=Lists!$B$5),IF(AND(LEFT(SUBSTITUTE($I1463," ",""),LEN($F1463)+1)=$F1463&amp;"-",LEN(SUBSTITUTE($I1463," ",""))&gt;LEN($F1463)+1),"OK","Comment required"),"OK")))</f>
      </c>
    </row>
    <row r="1464" spans="1:10" x14ac:dyDescent="0.25">
      <c r="A1464" s="1"/>
      <c r="B1464" s="20"/>
      <c r="C1464" s="1"/>
      <c r="D1464" s="1"/>
      <c r="E1464" s="1"/>
      <c r="F1464" s="1"/>
      <c r="G1464" s="1"/>
      <c r="H1464" s="1"/>
      <c r="I1464" s="1"/>
      <c r="J1464" s="1">
        <f>IF($F1464="","",IF($H1464="","Not rated",IF(OR($H1464=Lists!$B$3,$H1464=Lists!$B$5),IF(AND(LEFT(SUBSTITUTE($I1464," ",""),LEN($F1464)+1)=$F1464&amp;"-",LEN(SUBSTITUTE($I1464," ",""))&gt;LEN($F1464)+1),"OK","Comment required"),"OK")))</f>
      </c>
    </row>
    <row r="1465" spans="1:10" x14ac:dyDescent="0.25">
      <c r="A1465" s="1"/>
      <c r="B1465" s="20"/>
      <c r="C1465" s="1"/>
      <c r="D1465" s="1"/>
      <c r="E1465" s="1"/>
      <c r="F1465" s="1"/>
      <c r="G1465" s="1"/>
      <c r="H1465" s="1"/>
      <c r="I1465" s="1"/>
      <c r="J1465" s="1">
        <f>IF($F1465="","",IF($H1465="","Not rated",IF(OR($H1465=Lists!$B$3,$H1465=Lists!$B$5),IF(AND(LEFT(SUBSTITUTE($I1465," ",""),LEN($F1465)+1)=$F1465&amp;"-",LEN(SUBSTITUTE($I1465," ",""))&gt;LEN($F1465)+1),"OK","Comment required"),"OK")))</f>
      </c>
    </row>
    <row r="1466" spans="1:10" x14ac:dyDescent="0.25">
      <c r="A1466" s="1"/>
      <c r="B1466" s="20"/>
      <c r="C1466" s="1"/>
      <c r="D1466" s="1"/>
      <c r="E1466" s="1"/>
      <c r="F1466" s="1"/>
      <c r="G1466" s="1"/>
      <c r="H1466" s="1"/>
      <c r="I1466" s="1"/>
      <c r="J1466" s="1">
        <f>IF($F1466="","",IF($H1466="","Not rated",IF(OR($H1466=Lists!$B$3,$H1466=Lists!$B$5),IF(AND(LEFT(SUBSTITUTE($I1466," ",""),LEN($F1466)+1)=$F1466&amp;"-",LEN(SUBSTITUTE($I1466," ",""))&gt;LEN($F1466)+1),"OK","Comment required"),"OK")))</f>
      </c>
    </row>
    <row r="1467" spans="1:10" x14ac:dyDescent="0.25">
      <c r="A1467" s="1"/>
      <c r="B1467" s="20"/>
      <c r="C1467" s="1"/>
      <c r="D1467" s="1"/>
      <c r="E1467" s="1"/>
      <c r="F1467" s="1"/>
      <c r="G1467" s="1"/>
      <c r="H1467" s="1"/>
      <c r="I1467" s="1"/>
      <c r="J1467" s="1">
        <f>IF($F1467="","",IF($H1467="","Not rated",IF(OR($H1467=Lists!$B$3,$H1467=Lists!$B$5),IF(AND(LEFT(SUBSTITUTE($I1467," ",""),LEN($F1467)+1)=$F1467&amp;"-",LEN(SUBSTITUTE($I1467," ",""))&gt;LEN($F1467)+1),"OK","Comment required"),"OK")))</f>
      </c>
    </row>
    <row r="1468" spans="1:10" x14ac:dyDescent="0.25">
      <c r="A1468" s="1"/>
      <c r="B1468" s="20"/>
      <c r="C1468" s="1"/>
      <c r="D1468" s="1"/>
      <c r="E1468" s="1"/>
      <c r="F1468" s="1"/>
      <c r="G1468" s="1"/>
      <c r="H1468" s="1"/>
      <c r="I1468" s="1"/>
      <c r="J1468" s="1">
        <f>IF($F1468="","",IF($H1468="","Not rated",IF(OR($H1468=Lists!$B$3,$H1468=Lists!$B$5),IF(AND(LEFT(SUBSTITUTE($I1468," ",""),LEN($F1468)+1)=$F1468&amp;"-",LEN(SUBSTITUTE($I1468," ",""))&gt;LEN($F1468)+1),"OK","Comment required"),"OK")))</f>
      </c>
    </row>
    <row r="1469" spans="1:10" x14ac:dyDescent="0.25">
      <c r="A1469" s="1"/>
      <c r="B1469" s="20"/>
      <c r="C1469" s="1"/>
      <c r="D1469" s="1"/>
      <c r="E1469" s="1"/>
      <c r="F1469" s="1"/>
      <c r="G1469" s="1"/>
      <c r="H1469" s="1"/>
      <c r="I1469" s="1"/>
      <c r="J1469" s="1">
        <f>IF($F1469="","",IF($H1469="","Not rated",IF(OR($H1469=Lists!$B$3,$H1469=Lists!$B$5),IF(AND(LEFT(SUBSTITUTE($I1469," ",""),LEN($F1469)+1)=$F1469&amp;"-",LEN(SUBSTITUTE($I1469," ",""))&gt;LEN($F1469)+1),"OK","Comment required"),"OK")))</f>
      </c>
    </row>
    <row r="1470" spans="1:10" x14ac:dyDescent="0.25">
      <c r="A1470" s="1"/>
      <c r="B1470" s="20"/>
      <c r="C1470" s="1"/>
      <c r="D1470" s="1"/>
      <c r="E1470" s="1"/>
      <c r="F1470" s="1"/>
      <c r="G1470" s="1"/>
      <c r="H1470" s="1"/>
      <c r="I1470" s="1"/>
      <c r="J1470" s="1">
        <f>IF($F1470="","",IF($H1470="","Not rated",IF(OR($H1470=Lists!$B$3,$H1470=Lists!$B$5),IF(AND(LEFT(SUBSTITUTE($I1470," ",""),LEN($F1470)+1)=$F1470&amp;"-",LEN(SUBSTITUTE($I1470," ",""))&gt;LEN($F1470)+1),"OK","Comment required"),"OK")))</f>
      </c>
    </row>
    <row r="1471" spans="1:10" x14ac:dyDescent="0.25">
      <c r="A1471" s="1"/>
      <c r="B1471" s="20"/>
      <c r="C1471" s="1"/>
      <c r="D1471" s="1"/>
      <c r="E1471" s="1"/>
      <c r="F1471" s="1"/>
      <c r="G1471" s="1"/>
      <c r="H1471" s="1"/>
      <c r="I1471" s="1"/>
      <c r="J1471" s="1">
        <f>IF($F1471="","",IF($H1471="","Not rated",IF(OR($H1471=Lists!$B$3,$H1471=Lists!$B$5),IF(AND(LEFT(SUBSTITUTE($I1471," ",""),LEN($F1471)+1)=$F1471&amp;"-",LEN(SUBSTITUTE($I1471," ",""))&gt;LEN($F1471)+1),"OK","Comment required"),"OK")))</f>
      </c>
    </row>
    <row r="1472" spans="1:10" x14ac:dyDescent="0.25">
      <c r="A1472" s="1"/>
      <c r="B1472" s="20"/>
      <c r="C1472" s="1"/>
      <c r="D1472" s="1"/>
      <c r="E1472" s="1"/>
      <c r="F1472" s="1"/>
      <c r="G1472" s="1"/>
      <c r="H1472" s="1"/>
      <c r="I1472" s="1"/>
      <c r="J1472" s="1">
        <f>IF($F1472="","",IF($H1472="","Not rated",IF(OR($H1472=Lists!$B$3,$H1472=Lists!$B$5),IF(AND(LEFT(SUBSTITUTE($I1472," ",""),LEN($F1472)+1)=$F1472&amp;"-",LEN(SUBSTITUTE($I1472," ",""))&gt;LEN($F1472)+1),"OK","Comment required"),"OK")))</f>
      </c>
    </row>
    <row r="1473" spans="1:10" x14ac:dyDescent="0.25">
      <c r="A1473" s="1"/>
      <c r="B1473" s="20"/>
      <c r="C1473" s="1"/>
      <c r="D1473" s="1"/>
      <c r="E1473" s="1"/>
      <c r="F1473" s="1"/>
      <c r="G1473" s="1"/>
      <c r="H1473" s="1"/>
      <c r="I1473" s="1"/>
      <c r="J1473" s="1">
        <f>IF($F1473="","",IF($H1473="","Not rated",IF(OR($H1473=Lists!$B$3,$H1473=Lists!$B$5),IF(AND(LEFT(SUBSTITUTE($I1473," ",""),LEN($F1473)+1)=$F1473&amp;"-",LEN(SUBSTITUTE($I1473," ",""))&gt;LEN($F1473)+1),"OK","Comment required"),"OK")))</f>
      </c>
    </row>
    <row r="1474" spans="1:10" x14ac:dyDescent="0.25">
      <c r="A1474" s="1"/>
      <c r="B1474" s="20"/>
      <c r="C1474" s="1"/>
      <c r="D1474" s="1"/>
      <c r="E1474" s="1"/>
      <c r="F1474" s="1"/>
      <c r="G1474" s="1"/>
      <c r="H1474" s="1"/>
      <c r="I1474" s="1"/>
      <c r="J1474" s="1">
        <f>IF($F1474="","",IF($H1474="","Not rated",IF(OR($H1474=Lists!$B$3,$H1474=Lists!$B$5),IF(AND(LEFT(SUBSTITUTE($I1474," ",""),LEN($F1474)+1)=$F1474&amp;"-",LEN(SUBSTITUTE($I1474," ",""))&gt;LEN($F1474)+1),"OK","Comment required"),"OK")))</f>
      </c>
    </row>
    <row r="1475" spans="1:10" x14ac:dyDescent="0.25">
      <c r="A1475" s="1"/>
      <c r="B1475" s="20"/>
      <c r="C1475" s="1"/>
      <c r="D1475" s="1"/>
      <c r="E1475" s="1"/>
      <c r="F1475" s="1"/>
      <c r="G1475" s="1"/>
      <c r="H1475" s="1"/>
      <c r="I1475" s="1"/>
      <c r="J1475" s="1">
        <f>IF($F1475="","",IF($H1475="","Not rated",IF(OR($H1475=Lists!$B$3,$H1475=Lists!$B$5),IF(AND(LEFT(SUBSTITUTE($I1475," ",""),LEN($F1475)+1)=$F1475&amp;"-",LEN(SUBSTITUTE($I1475," ",""))&gt;LEN($F1475)+1),"OK","Comment required"),"OK")))</f>
      </c>
    </row>
    <row r="1476" spans="1:10" x14ac:dyDescent="0.25">
      <c r="A1476" s="1"/>
      <c r="B1476" s="20"/>
      <c r="C1476" s="1"/>
      <c r="D1476" s="1"/>
      <c r="E1476" s="1"/>
      <c r="F1476" s="1"/>
      <c r="G1476" s="1"/>
      <c r="H1476" s="1"/>
      <c r="I1476" s="1"/>
      <c r="J1476" s="1">
        <f>IF($F1476="","",IF($H1476="","Not rated",IF(OR($H1476=Lists!$B$3,$H1476=Lists!$B$5),IF(AND(LEFT(SUBSTITUTE($I1476," ",""),LEN($F1476)+1)=$F1476&amp;"-",LEN(SUBSTITUTE($I1476," ",""))&gt;LEN($F1476)+1),"OK","Comment required"),"OK")))</f>
      </c>
    </row>
    <row r="1477" spans="1:10" x14ac:dyDescent="0.25">
      <c r="A1477" s="1"/>
      <c r="B1477" s="20"/>
      <c r="C1477" s="1"/>
      <c r="D1477" s="1"/>
      <c r="E1477" s="1"/>
      <c r="F1477" s="1"/>
      <c r="G1477" s="1"/>
      <c r="H1477" s="1"/>
      <c r="I1477" s="1"/>
      <c r="J1477" s="1">
        <f>IF($F1477="","",IF($H1477="","Not rated",IF(OR($H1477=Lists!$B$3,$H1477=Lists!$B$5),IF(AND(LEFT(SUBSTITUTE($I1477," ",""),LEN($F1477)+1)=$F1477&amp;"-",LEN(SUBSTITUTE($I1477," ",""))&gt;LEN($F1477)+1),"OK","Comment required"),"OK")))</f>
      </c>
    </row>
    <row r="1478" spans="1:10" x14ac:dyDescent="0.25">
      <c r="A1478" s="1"/>
      <c r="B1478" s="20"/>
      <c r="C1478" s="1"/>
      <c r="D1478" s="1"/>
      <c r="E1478" s="1"/>
      <c r="F1478" s="1"/>
      <c r="G1478" s="1"/>
      <c r="H1478" s="1"/>
      <c r="I1478" s="1"/>
      <c r="J1478" s="1">
        <f>IF($F1478="","",IF($H1478="","Not rated",IF(OR($H1478=Lists!$B$3,$H1478=Lists!$B$5),IF(AND(LEFT(SUBSTITUTE($I1478," ",""),LEN($F1478)+1)=$F1478&amp;"-",LEN(SUBSTITUTE($I1478," ",""))&gt;LEN($F1478)+1),"OK","Comment required"),"OK")))</f>
      </c>
    </row>
    <row r="1479" spans="1:10" x14ac:dyDescent="0.25">
      <c r="A1479" s="1"/>
      <c r="B1479" s="20"/>
      <c r="C1479" s="1"/>
      <c r="D1479" s="1"/>
      <c r="E1479" s="1"/>
      <c r="F1479" s="1"/>
      <c r="G1479" s="1"/>
      <c r="H1479" s="1"/>
      <c r="I1479" s="1"/>
      <c r="J1479" s="1">
        <f>IF($F1479="","",IF($H1479="","Not rated",IF(OR($H1479=Lists!$B$3,$H1479=Lists!$B$5),IF(AND(LEFT(SUBSTITUTE($I1479," ",""),LEN($F1479)+1)=$F1479&amp;"-",LEN(SUBSTITUTE($I1479," ",""))&gt;LEN($F1479)+1),"OK","Comment required"),"OK")))</f>
      </c>
    </row>
    <row r="1480" spans="1:10" x14ac:dyDescent="0.25">
      <c r="A1480" s="1"/>
      <c r="B1480" s="20"/>
      <c r="C1480" s="1"/>
      <c r="D1480" s="1"/>
      <c r="E1480" s="1"/>
      <c r="F1480" s="1"/>
      <c r="G1480" s="1"/>
      <c r="H1480" s="1"/>
      <c r="I1480" s="1"/>
      <c r="J1480" s="1">
        <f>IF($F1480="","",IF($H1480="","Not rated",IF(OR($H1480=Lists!$B$3,$H1480=Lists!$B$5),IF(AND(LEFT(SUBSTITUTE($I1480," ",""),LEN($F1480)+1)=$F1480&amp;"-",LEN(SUBSTITUTE($I1480," ",""))&gt;LEN($F1480)+1),"OK","Comment required"),"OK")))</f>
      </c>
    </row>
    <row r="1481" spans="1:10" x14ac:dyDescent="0.25">
      <c r="A1481" s="1"/>
      <c r="B1481" s="20"/>
      <c r="C1481" s="1"/>
      <c r="D1481" s="1"/>
      <c r="E1481" s="1"/>
      <c r="F1481" s="1"/>
      <c r="G1481" s="1"/>
      <c r="H1481" s="1"/>
      <c r="I1481" s="1"/>
      <c r="J1481" s="1">
        <f>IF($F1481="","",IF($H1481="","Not rated",IF(OR($H1481=Lists!$B$3,$H1481=Lists!$B$5),IF(AND(LEFT(SUBSTITUTE($I1481," ",""),LEN($F1481)+1)=$F1481&amp;"-",LEN(SUBSTITUTE($I1481," ",""))&gt;LEN($F1481)+1),"OK","Comment required"),"OK")))</f>
      </c>
    </row>
    <row r="1482" spans="1:10" x14ac:dyDescent="0.25">
      <c r="A1482" s="1"/>
      <c r="B1482" s="20"/>
      <c r="C1482" s="1"/>
      <c r="D1482" s="1"/>
      <c r="E1482" s="1"/>
      <c r="F1482" s="1"/>
      <c r="G1482" s="1"/>
      <c r="H1482" s="1"/>
      <c r="I1482" s="1"/>
      <c r="J1482" s="1">
        <f>IF($F1482="","",IF($H1482="","Not rated",IF(OR($H1482=Lists!$B$3,$H1482=Lists!$B$5),IF(AND(LEFT(SUBSTITUTE($I1482," ",""),LEN($F1482)+1)=$F1482&amp;"-",LEN(SUBSTITUTE($I1482," ",""))&gt;LEN($F1482)+1),"OK","Comment required"),"OK")))</f>
      </c>
    </row>
    <row r="1483" spans="1:10" x14ac:dyDescent="0.25">
      <c r="A1483" s="1"/>
      <c r="B1483" s="20"/>
      <c r="C1483" s="1"/>
      <c r="D1483" s="1"/>
      <c r="E1483" s="1"/>
      <c r="F1483" s="1"/>
      <c r="G1483" s="1"/>
      <c r="H1483" s="1"/>
      <c r="I1483" s="1"/>
      <c r="J1483" s="1">
        <f>IF($F1483="","",IF($H1483="","Not rated",IF(OR($H1483=Lists!$B$3,$H1483=Lists!$B$5),IF(AND(LEFT(SUBSTITUTE($I1483," ",""),LEN($F1483)+1)=$F1483&amp;"-",LEN(SUBSTITUTE($I1483," ",""))&gt;LEN($F1483)+1),"OK","Comment required"),"OK")))</f>
      </c>
    </row>
    <row r="1484" spans="1:10" x14ac:dyDescent="0.25">
      <c r="A1484" s="1"/>
      <c r="B1484" s="20"/>
      <c r="C1484" s="1"/>
      <c r="D1484" s="1"/>
      <c r="E1484" s="1"/>
      <c r="F1484" s="1"/>
      <c r="G1484" s="1"/>
      <c r="H1484" s="1"/>
      <c r="I1484" s="1"/>
      <c r="J1484" s="1">
        <f>IF($F1484="","",IF($H1484="","Not rated",IF(OR($H1484=Lists!$B$3,$H1484=Lists!$B$5),IF(AND(LEFT(SUBSTITUTE($I1484," ",""),LEN($F1484)+1)=$F1484&amp;"-",LEN(SUBSTITUTE($I1484," ",""))&gt;LEN($F1484)+1),"OK","Comment required"),"OK")))</f>
      </c>
    </row>
    <row r="1485" spans="1:10" x14ac:dyDescent="0.25">
      <c r="A1485" s="1"/>
      <c r="B1485" s="20"/>
      <c r="C1485" s="1"/>
      <c r="D1485" s="1"/>
      <c r="E1485" s="1"/>
      <c r="F1485" s="1"/>
      <c r="G1485" s="1"/>
      <c r="H1485" s="1"/>
      <c r="I1485" s="1"/>
      <c r="J1485" s="1">
        <f>IF($F1485="","",IF($H1485="","Not rated",IF(OR($H1485=Lists!$B$3,$H1485=Lists!$B$5),IF(AND(LEFT(SUBSTITUTE($I1485," ",""),LEN($F1485)+1)=$F1485&amp;"-",LEN(SUBSTITUTE($I1485," ",""))&gt;LEN($F1485)+1),"OK","Comment required"),"OK")))</f>
      </c>
    </row>
    <row r="1486" spans="1:10" x14ac:dyDescent="0.25">
      <c r="A1486" s="1"/>
      <c r="B1486" s="20"/>
      <c r="C1486" s="1"/>
      <c r="D1486" s="1"/>
      <c r="E1486" s="1"/>
      <c r="F1486" s="1"/>
      <c r="G1486" s="1"/>
      <c r="H1486" s="1"/>
      <c r="I1486" s="1"/>
      <c r="J1486" s="1">
        <f>IF($F1486="","",IF($H1486="","Not rated",IF(OR($H1486=Lists!$B$3,$H1486=Lists!$B$5),IF(AND(LEFT(SUBSTITUTE($I1486," ",""),LEN($F1486)+1)=$F1486&amp;"-",LEN(SUBSTITUTE($I1486," ",""))&gt;LEN($F1486)+1),"OK","Comment required"),"OK")))</f>
      </c>
    </row>
    <row r="1487" spans="1:10" x14ac:dyDescent="0.25">
      <c r="A1487" s="1"/>
      <c r="B1487" s="20"/>
      <c r="C1487" s="1"/>
      <c r="D1487" s="1"/>
      <c r="E1487" s="1"/>
      <c r="F1487" s="1"/>
      <c r="G1487" s="1"/>
      <c r="H1487" s="1"/>
      <c r="I1487" s="1"/>
      <c r="J1487" s="1">
        <f>IF($F1487="","",IF($H1487="","Not rated",IF(OR($H1487=Lists!$B$3,$H1487=Lists!$B$5),IF(AND(LEFT(SUBSTITUTE($I1487," ",""),LEN($F1487)+1)=$F1487&amp;"-",LEN(SUBSTITUTE($I1487," ",""))&gt;LEN($F1487)+1),"OK","Comment required"),"OK")))</f>
      </c>
    </row>
    <row r="1488" spans="1:10" x14ac:dyDescent="0.25">
      <c r="A1488" s="1"/>
      <c r="B1488" s="20"/>
      <c r="C1488" s="1"/>
      <c r="D1488" s="1"/>
      <c r="E1488" s="1"/>
      <c r="F1488" s="1"/>
      <c r="G1488" s="1"/>
      <c r="H1488" s="1"/>
      <c r="I1488" s="1"/>
      <c r="J1488" s="1">
        <f>IF($F1488="","",IF($H1488="","Not rated",IF(OR($H1488=Lists!$B$3,$H1488=Lists!$B$5),IF(AND(LEFT(SUBSTITUTE($I1488," ",""),LEN($F1488)+1)=$F1488&amp;"-",LEN(SUBSTITUTE($I1488," ",""))&gt;LEN($F1488)+1),"OK","Comment required"),"OK")))</f>
      </c>
    </row>
    <row r="1489" spans="1:10" x14ac:dyDescent="0.25">
      <c r="A1489" s="1"/>
      <c r="B1489" s="20"/>
      <c r="C1489" s="1"/>
      <c r="D1489" s="1"/>
      <c r="E1489" s="1"/>
      <c r="F1489" s="1"/>
      <c r="G1489" s="1"/>
      <c r="H1489" s="1"/>
      <c r="I1489" s="1"/>
      <c r="J1489" s="1">
        <f>IF($F1489="","",IF($H1489="","Not rated",IF(OR($H1489=Lists!$B$3,$H1489=Lists!$B$5),IF(AND(LEFT(SUBSTITUTE($I1489," ",""),LEN($F1489)+1)=$F1489&amp;"-",LEN(SUBSTITUTE($I1489," ",""))&gt;LEN($F1489)+1),"OK","Comment required"),"OK")))</f>
      </c>
    </row>
    <row r="1490" spans="1:10" x14ac:dyDescent="0.25">
      <c r="A1490" s="1"/>
      <c r="B1490" s="20"/>
      <c r="C1490" s="1"/>
      <c r="D1490" s="1"/>
      <c r="E1490" s="1"/>
      <c r="F1490" s="1"/>
      <c r="G1490" s="1"/>
      <c r="H1490" s="1"/>
      <c r="I1490" s="1"/>
      <c r="J1490" s="1">
        <f>IF($F1490="","",IF($H1490="","Not rated",IF(OR($H1490=Lists!$B$3,$H1490=Lists!$B$5),IF(AND(LEFT(SUBSTITUTE($I1490," ",""),LEN($F1490)+1)=$F1490&amp;"-",LEN(SUBSTITUTE($I1490," ",""))&gt;LEN($F1490)+1),"OK","Comment required"),"OK")))</f>
      </c>
    </row>
    <row r="1491" spans="1:10" x14ac:dyDescent="0.25">
      <c r="A1491" s="1"/>
      <c r="B1491" s="20"/>
      <c r="C1491" s="1"/>
      <c r="D1491" s="1"/>
      <c r="E1491" s="1"/>
      <c r="F1491" s="1"/>
      <c r="G1491" s="1"/>
      <c r="H1491" s="1"/>
      <c r="I1491" s="1"/>
      <c r="J1491" s="1">
        <f>IF($F1491="","",IF($H1491="","Not rated",IF(OR($H1491=Lists!$B$3,$H1491=Lists!$B$5),IF(AND(LEFT(SUBSTITUTE($I1491," ",""),LEN($F1491)+1)=$F1491&amp;"-",LEN(SUBSTITUTE($I1491," ",""))&gt;LEN($F1491)+1),"OK","Comment required"),"OK")))</f>
      </c>
    </row>
    <row r="1492" spans="1:10" x14ac:dyDescent="0.25">
      <c r="A1492" s="1"/>
      <c r="B1492" s="20"/>
      <c r="C1492" s="1"/>
      <c r="D1492" s="1"/>
      <c r="E1492" s="1"/>
      <c r="F1492" s="1"/>
      <c r="G1492" s="1"/>
      <c r="H1492" s="1"/>
      <c r="I1492" s="1"/>
      <c r="J1492" s="1">
        <f>IF($F1492="","",IF($H1492="","Not rated",IF(OR($H1492=Lists!$B$3,$H1492=Lists!$B$5),IF(AND(LEFT(SUBSTITUTE($I1492," ",""),LEN($F1492)+1)=$F1492&amp;"-",LEN(SUBSTITUTE($I1492," ",""))&gt;LEN($F1492)+1),"OK","Comment required"),"OK")))</f>
      </c>
    </row>
    <row r="1493" spans="1:10" x14ac:dyDescent="0.25">
      <c r="A1493" s="1"/>
      <c r="B1493" s="20"/>
      <c r="C1493" s="1"/>
      <c r="D1493" s="1"/>
      <c r="E1493" s="1"/>
      <c r="F1493" s="1"/>
      <c r="G1493" s="1"/>
      <c r="H1493" s="1"/>
      <c r="I1493" s="1"/>
      <c r="J1493" s="1">
        <f>IF($F1493="","",IF($H1493="","Not rated",IF(OR($H1493=Lists!$B$3,$H1493=Lists!$B$5),IF(AND(LEFT(SUBSTITUTE($I1493," ",""),LEN($F1493)+1)=$F1493&amp;"-",LEN(SUBSTITUTE($I1493," ",""))&gt;LEN($F1493)+1),"OK","Comment required"),"OK")))</f>
      </c>
    </row>
    <row r="1494" spans="1:10" x14ac:dyDescent="0.25">
      <c r="A1494" s="1"/>
      <c r="B1494" s="20"/>
      <c r="C1494" s="1"/>
      <c r="D1494" s="1"/>
      <c r="E1494" s="1"/>
      <c r="F1494" s="1"/>
      <c r="G1494" s="1"/>
      <c r="H1494" s="1"/>
      <c r="I1494" s="1"/>
      <c r="J1494" s="1">
        <f>IF($F1494="","",IF($H1494="","Not rated",IF(OR($H1494=Lists!$B$3,$H1494=Lists!$B$5),IF(AND(LEFT(SUBSTITUTE($I1494," ",""),LEN($F1494)+1)=$F1494&amp;"-",LEN(SUBSTITUTE($I1494," ",""))&gt;LEN($F1494)+1),"OK","Comment required"),"OK")))</f>
      </c>
    </row>
    <row r="1495" spans="1:10" x14ac:dyDescent="0.25">
      <c r="A1495" s="1"/>
      <c r="B1495" s="20"/>
      <c r="C1495" s="1"/>
      <c r="D1495" s="1"/>
      <c r="E1495" s="1"/>
      <c r="F1495" s="1"/>
      <c r="G1495" s="1"/>
      <c r="H1495" s="1"/>
      <c r="I1495" s="1"/>
      <c r="J1495" s="1">
        <f>IF($F1495="","",IF($H1495="","Not rated",IF(OR($H1495=Lists!$B$3,$H1495=Lists!$B$5),IF(AND(LEFT(SUBSTITUTE($I1495," ",""),LEN($F1495)+1)=$F1495&amp;"-",LEN(SUBSTITUTE($I1495," ",""))&gt;LEN($F1495)+1),"OK","Comment required"),"OK")))</f>
      </c>
    </row>
    <row r="1496" spans="1:10" x14ac:dyDescent="0.25">
      <c r="A1496" s="1"/>
      <c r="B1496" s="20"/>
      <c r="C1496" s="1"/>
      <c r="D1496" s="1"/>
      <c r="E1496" s="1"/>
      <c r="F1496" s="1"/>
      <c r="G1496" s="1"/>
      <c r="H1496" s="1"/>
      <c r="I1496" s="1"/>
      <c r="J1496" s="1">
        <f>IF($F1496="","",IF($H1496="","Not rated",IF(OR($H1496=Lists!$B$3,$H1496=Lists!$B$5),IF(AND(LEFT(SUBSTITUTE($I1496," ",""),LEN($F1496)+1)=$F1496&amp;"-",LEN(SUBSTITUTE($I1496," ",""))&gt;LEN($F1496)+1),"OK","Comment required"),"OK")))</f>
      </c>
    </row>
    <row r="1497" spans="1:10" x14ac:dyDescent="0.25">
      <c r="A1497" s="1"/>
      <c r="B1497" s="20"/>
      <c r="C1497" s="1"/>
      <c r="D1497" s="1"/>
      <c r="E1497" s="1"/>
      <c r="F1497" s="1"/>
      <c r="G1497" s="1"/>
      <c r="H1497" s="1"/>
      <c r="I1497" s="1"/>
      <c r="J1497" s="1">
        <f>IF($F1497="","",IF($H1497="","Not rated",IF(OR($H1497=Lists!$B$3,$H1497=Lists!$B$5),IF(AND(LEFT(SUBSTITUTE($I1497," ",""),LEN($F1497)+1)=$F1497&amp;"-",LEN(SUBSTITUTE($I1497," ",""))&gt;LEN($F1497)+1),"OK","Comment required"),"OK")))</f>
      </c>
    </row>
    <row r="1498" spans="1:10" x14ac:dyDescent="0.25">
      <c r="A1498" s="1"/>
      <c r="B1498" s="20"/>
      <c r="C1498" s="1"/>
      <c r="D1498" s="1"/>
      <c r="E1498" s="1"/>
      <c r="F1498" s="1"/>
      <c r="G1498" s="1"/>
      <c r="H1498" s="1"/>
      <c r="I1498" s="1"/>
      <c r="J1498" s="1">
        <f>IF($F1498="","",IF($H1498="","Not rated",IF(OR($H1498=Lists!$B$3,$H1498=Lists!$B$5),IF(AND(LEFT(SUBSTITUTE($I1498," ",""),LEN($F1498)+1)=$F1498&amp;"-",LEN(SUBSTITUTE($I1498," ",""))&gt;LEN($F1498)+1),"OK","Comment required"),"OK")))</f>
      </c>
    </row>
    <row r="1499" spans="1:10" x14ac:dyDescent="0.25">
      <c r="A1499" s="1"/>
      <c r="B1499" s="20"/>
      <c r="C1499" s="1"/>
      <c r="D1499" s="1"/>
      <c r="E1499" s="1"/>
      <c r="F1499" s="1"/>
      <c r="G1499" s="1"/>
      <c r="H1499" s="1"/>
      <c r="I1499" s="1"/>
      <c r="J1499" s="1">
        <f>IF($F1499="","",IF($H1499="","Not rated",IF(OR($H1499=Lists!$B$3,$H1499=Lists!$B$5),IF(AND(LEFT(SUBSTITUTE($I1499," ",""),LEN($F1499)+1)=$F1499&amp;"-",LEN(SUBSTITUTE($I1499," ",""))&gt;LEN($F1499)+1),"OK","Comment required"),"OK")))</f>
      </c>
    </row>
    <row r="1500" spans="1:10" x14ac:dyDescent="0.25">
      <c r="A1500" s="1"/>
      <c r="B1500" s="20"/>
      <c r="C1500" s="1"/>
      <c r="D1500" s="1"/>
      <c r="E1500" s="1"/>
      <c r="F1500" s="1"/>
      <c r="G1500" s="1"/>
      <c r="H1500" s="1"/>
      <c r="I1500" s="1"/>
      <c r="J1500" s="1">
        <f>IF($F1500="","",IF($H1500="","Not rated",IF(OR($H1500=Lists!$B$3,$H1500=Lists!$B$5),IF(AND(LEFT(SUBSTITUTE($I1500," ",""),LEN($F1500)+1)=$F1500&amp;"-",LEN(SUBSTITUTE($I1500," ",""))&gt;LEN($F1500)+1),"OK","Comment required"),"OK")))</f>
      </c>
    </row>
    <row r="1501" spans="1:10" x14ac:dyDescent="0.25">
      <c r="A1501" s="1"/>
      <c r="B1501" s="20"/>
      <c r="C1501" s="1"/>
      <c r="D1501" s="1"/>
      <c r="E1501" s="1"/>
      <c r="F1501" s="1"/>
      <c r="G1501" s="1"/>
      <c r="H1501" s="1"/>
      <c r="I1501" s="1"/>
      <c r="J1501" s="1">
        <f>IF($F1501="","",IF($H1501="","Not rated",IF(OR($H1501=Lists!$B$3,$H1501=Lists!$B$5),IF(AND(LEFT(SUBSTITUTE($I1501," ",""),LEN($F1501)+1)=$F1501&amp;"-",LEN(SUBSTITUTE($I1501," ",""))&gt;LEN($F1501)+1),"OK","Comment required"),"OK")))</f>
      </c>
    </row>
    <row r="1502" spans="1:10" x14ac:dyDescent="0.25">
      <c r="A1502" s="1"/>
      <c r="B1502" s="20"/>
      <c r="C1502" s="1"/>
      <c r="D1502" s="1"/>
      <c r="E1502" s="1"/>
      <c r="F1502" s="1"/>
      <c r="G1502" s="1"/>
      <c r="H1502" s="1"/>
      <c r="I1502" s="1"/>
      <c r="J1502" s="1">
        <f>IF($F1502="","",IF($H1502="","Not rated",IF(OR($H1502=Lists!$B$3,$H1502=Lists!$B$5),IF(AND(LEFT(SUBSTITUTE($I1502," ",""),LEN($F1502)+1)=$F1502&amp;"-",LEN(SUBSTITUTE($I1502," ",""))&gt;LEN($F1502)+1),"OK","Comment required"),"OK")))</f>
      </c>
    </row>
    <row r="1503" spans="1:10" x14ac:dyDescent="0.25">
      <c r="A1503" s="1"/>
      <c r="B1503" s="20"/>
      <c r="C1503" s="1"/>
      <c r="D1503" s="1"/>
      <c r="E1503" s="1"/>
      <c r="F1503" s="1"/>
      <c r="G1503" s="1"/>
      <c r="H1503" s="1"/>
      <c r="I1503" s="1"/>
      <c r="J1503" s="1">
        <f>IF($F1503="","",IF($H1503="","Not rated",IF(OR($H1503=Lists!$B$3,$H1503=Lists!$B$5),IF(AND(LEFT(SUBSTITUTE($I1503," ",""),LEN($F1503)+1)=$F1503&amp;"-",LEN(SUBSTITUTE($I1503," ",""))&gt;LEN($F1503)+1),"OK","Comment required"),"OK")))</f>
      </c>
    </row>
    <row r="1504" spans="1:10" x14ac:dyDescent="0.25">
      <c r="A1504" s="1"/>
      <c r="B1504" s="20"/>
      <c r="C1504" s="1"/>
      <c r="D1504" s="1"/>
      <c r="E1504" s="1"/>
      <c r="F1504" s="1"/>
      <c r="G1504" s="1"/>
      <c r="H1504" s="1"/>
      <c r="I1504" s="1"/>
      <c r="J1504" s="1">
        <f>IF($F1504="","",IF($H1504="","Not rated",IF(OR($H1504=Lists!$B$3,$H1504=Lists!$B$5),IF(AND(LEFT(SUBSTITUTE($I1504," ",""),LEN($F1504)+1)=$F1504&amp;"-",LEN(SUBSTITUTE($I1504," ",""))&gt;LEN($F1504)+1),"OK","Comment required"),"OK")))</f>
      </c>
    </row>
    <row r="1505" spans="1:10" x14ac:dyDescent="0.25">
      <c r="A1505" s="1"/>
      <c r="B1505" s="20"/>
      <c r="C1505" s="1"/>
      <c r="D1505" s="1"/>
      <c r="E1505" s="1"/>
      <c r="F1505" s="1"/>
      <c r="G1505" s="1"/>
      <c r="H1505" s="1"/>
      <c r="I1505" s="1"/>
      <c r="J1505" s="1">
        <f>IF($F1505="","",IF($H1505="","Not rated",IF(OR($H1505=Lists!$B$3,$H1505=Lists!$B$5),IF(AND(LEFT(SUBSTITUTE($I1505," ",""),LEN($F1505)+1)=$F1505&amp;"-",LEN(SUBSTITUTE($I1505," ",""))&gt;LEN($F1505)+1),"OK","Comment required"),"OK")))</f>
      </c>
    </row>
    <row r="1506" spans="1:10" x14ac:dyDescent="0.25">
      <c r="A1506" s="1"/>
      <c r="B1506" s="20"/>
      <c r="C1506" s="1"/>
      <c r="D1506" s="1"/>
      <c r="E1506" s="1"/>
      <c r="F1506" s="1"/>
      <c r="G1506" s="1"/>
      <c r="H1506" s="1"/>
      <c r="I1506" s="1"/>
      <c r="J1506" s="1">
        <f>IF($F1506="","",IF($H1506="","Not rated",IF(OR($H1506=Lists!$B$3,$H1506=Lists!$B$5),IF(AND(LEFT(SUBSTITUTE($I1506," ",""),LEN($F1506)+1)=$F1506&amp;"-",LEN(SUBSTITUTE($I1506," ",""))&gt;LEN($F1506)+1),"OK","Comment required"),"OK")))</f>
      </c>
    </row>
    <row r="1507" spans="1:10" x14ac:dyDescent="0.25">
      <c r="A1507" s="1"/>
      <c r="B1507" s="20"/>
      <c r="C1507" s="1"/>
      <c r="D1507" s="1"/>
      <c r="E1507" s="1"/>
      <c r="F1507" s="1"/>
      <c r="G1507" s="1"/>
      <c r="H1507" s="1"/>
      <c r="I1507" s="1"/>
      <c r="J1507" s="1">
        <f>IF($F1507="","",IF($H1507="","Not rated",IF(OR($H1507=Lists!$B$3,$H1507=Lists!$B$5),IF(AND(LEFT(SUBSTITUTE($I1507," ",""),LEN($F1507)+1)=$F1507&amp;"-",LEN(SUBSTITUTE($I1507," ",""))&gt;LEN($F1507)+1),"OK","Comment required"),"OK")))</f>
      </c>
    </row>
    <row r="1508" spans="1:10" x14ac:dyDescent="0.25">
      <c r="A1508" s="1"/>
      <c r="B1508" s="20"/>
      <c r="C1508" s="1"/>
      <c r="D1508" s="1"/>
      <c r="E1508" s="1"/>
      <c r="F1508" s="1"/>
      <c r="G1508" s="1"/>
      <c r="H1508" s="1"/>
      <c r="I1508" s="1"/>
      <c r="J1508" s="1">
        <f>IF($F1508="","",IF($H1508="","Not rated",IF(OR($H1508=Lists!$B$3,$H1508=Lists!$B$5),IF(AND(LEFT(SUBSTITUTE($I1508," ",""),LEN($F1508)+1)=$F1508&amp;"-",LEN(SUBSTITUTE($I1508," ",""))&gt;LEN($F1508)+1),"OK","Comment required"),"OK")))</f>
      </c>
    </row>
    <row r="1509" spans="1:10" x14ac:dyDescent="0.25">
      <c r="A1509" s="1"/>
      <c r="B1509" s="20"/>
      <c r="C1509" s="1"/>
      <c r="D1509" s="1"/>
      <c r="E1509" s="1"/>
      <c r="F1509" s="1"/>
      <c r="G1509" s="1"/>
      <c r="H1509" s="1"/>
      <c r="I1509" s="1"/>
      <c r="J1509" s="1">
        <f>IF($F1509="","",IF($H1509="","Not rated",IF(OR($H1509=Lists!$B$3,$H1509=Lists!$B$5),IF(AND(LEFT(SUBSTITUTE($I1509," ",""),LEN($F1509)+1)=$F1509&amp;"-",LEN(SUBSTITUTE($I1509," ",""))&gt;LEN($F1509)+1),"OK","Comment required"),"OK")))</f>
      </c>
    </row>
    <row r="1510" spans="1:10" x14ac:dyDescent="0.25">
      <c r="A1510" s="1"/>
      <c r="B1510" s="20"/>
      <c r="C1510" s="1"/>
      <c r="D1510" s="1"/>
      <c r="E1510" s="1"/>
      <c r="F1510" s="1"/>
      <c r="G1510" s="1"/>
      <c r="H1510" s="1"/>
      <c r="I1510" s="1"/>
      <c r="J1510" s="1">
        <f>IF($F1510="","",IF($H1510="","Not rated",IF(OR($H1510=Lists!$B$3,$H1510=Lists!$B$5),IF(AND(LEFT(SUBSTITUTE($I1510," ",""),LEN($F1510)+1)=$F1510&amp;"-",LEN(SUBSTITUTE($I1510," ",""))&gt;LEN($F1510)+1),"OK","Comment required"),"OK")))</f>
      </c>
    </row>
    <row r="1511" spans="1:10" x14ac:dyDescent="0.25">
      <c r="A1511" s="1"/>
      <c r="B1511" s="20"/>
      <c r="C1511" s="1"/>
      <c r="D1511" s="1"/>
      <c r="E1511" s="1"/>
      <c r="F1511" s="1"/>
      <c r="G1511" s="1"/>
      <c r="H1511" s="1"/>
      <c r="I1511" s="1"/>
      <c r="J1511" s="1">
        <f>IF($F1511="","",IF($H1511="","Not rated",IF(OR($H1511=Lists!$B$3,$H1511=Lists!$B$5),IF(AND(LEFT(SUBSTITUTE($I1511," ",""),LEN($F1511)+1)=$F1511&amp;"-",LEN(SUBSTITUTE($I1511," ",""))&gt;LEN($F1511)+1),"OK","Comment required"),"OK")))</f>
      </c>
    </row>
    <row r="1512" spans="1:10" x14ac:dyDescent="0.25">
      <c r="A1512" s="1"/>
      <c r="B1512" s="20"/>
      <c r="C1512" s="1"/>
      <c r="D1512" s="1"/>
      <c r="E1512" s="1"/>
      <c r="F1512" s="1"/>
      <c r="G1512" s="1"/>
      <c r="H1512" s="1"/>
      <c r="I1512" s="1"/>
      <c r="J1512" s="1">
        <f>IF($F1512="","",IF($H1512="","Not rated",IF(OR($H1512=Lists!$B$3,$H1512=Lists!$B$5),IF(AND(LEFT(SUBSTITUTE($I1512," ",""),LEN($F1512)+1)=$F1512&amp;"-",LEN(SUBSTITUTE($I1512," ",""))&gt;LEN($F1512)+1),"OK","Comment required"),"OK")))</f>
      </c>
    </row>
    <row r="1513" spans="1:10" x14ac:dyDescent="0.25">
      <c r="A1513" s="1"/>
      <c r="B1513" s="20"/>
      <c r="C1513" s="1"/>
      <c r="D1513" s="1"/>
      <c r="E1513" s="1"/>
      <c r="F1513" s="1"/>
      <c r="G1513" s="1"/>
      <c r="H1513" s="1"/>
      <c r="I1513" s="1"/>
      <c r="J1513" s="1">
        <f>IF($F1513="","",IF($H1513="","Not rated",IF(OR($H1513=Lists!$B$3,$H1513=Lists!$B$5),IF(AND(LEFT(SUBSTITUTE($I1513," ",""),LEN($F1513)+1)=$F1513&amp;"-",LEN(SUBSTITUTE($I1513," ",""))&gt;LEN($F1513)+1),"OK","Comment required"),"OK")))</f>
      </c>
    </row>
    <row r="1514" spans="1:10" x14ac:dyDescent="0.25">
      <c r="A1514" s="1"/>
      <c r="B1514" s="20"/>
      <c r="C1514" s="1"/>
      <c r="D1514" s="1"/>
      <c r="E1514" s="1"/>
      <c r="F1514" s="1"/>
      <c r="G1514" s="1"/>
      <c r="H1514" s="1"/>
      <c r="I1514" s="1"/>
      <c r="J1514" s="1">
        <f>IF($F1514="","",IF($H1514="","Not rated",IF(OR($H1514=Lists!$B$3,$H1514=Lists!$B$5),IF(AND(LEFT(SUBSTITUTE($I1514," ",""),LEN($F1514)+1)=$F1514&amp;"-",LEN(SUBSTITUTE($I1514," ",""))&gt;LEN($F1514)+1),"OK","Comment required"),"OK")))</f>
      </c>
    </row>
    <row r="1515" spans="1:10" x14ac:dyDescent="0.25">
      <c r="A1515" s="1"/>
      <c r="B1515" s="20"/>
      <c r="C1515" s="1"/>
      <c r="D1515" s="1"/>
      <c r="E1515" s="1"/>
      <c r="F1515" s="1"/>
      <c r="G1515" s="1"/>
      <c r="H1515" s="1"/>
      <c r="I1515" s="1"/>
      <c r="J1515" s="1">
        <f>IF($F1515="","",IF($H1515="","Not rated",IF(OR($H1515=Lists!$B$3,$H1515=Lists!$B$5),IF(AND(LEFT(SUBSTITUTE($I1515," ",""),LEN($F1515)+1)=$F1515&amp;"-",LEN(SUBSTITUTE($I1515," ",""))&gt;LEN($F1515)+1),"OK","Comment required"),"OK")))</f>
      </c>
    </row>
    <row r="1516" spans="1:10" x14ac:dyDescent="0.25">
      <c r="A1516" s="1"/>
      <c r="B1516" s="20"/>
      <c r="C1516" s="1"/>
      <c r="D1516" s="1"/>
      <c r="E1516" s="1"/>
      <c r="F1516" s="1"/>
      <c r="G1516" s="1"/>
      <c r="H1516" s="1"/>
      <c r="I1516" s="1"/>
      <c r="J1516" s="1">
        <f>IF($F1516="","",IF($H1516="","Not rated",IF(OR($H1516=Lists!$B$3,$H1516=Lists!$B$5),IF(AND(LEFT(SUBSTITUTE($I1516," ",""),LEN($F1516)+1)=$F1516&amp;"-",LEN(SUBSTITUTE($I1516," ",""))&gt;LEN($F1516)+1),"OK","Comment required"),"OK")))</f>
      </c>
    </row>
    <row r="1517" spans="1:10" x14ac:dyDescent="0.25">
      <c r="A1517" s="1"/>
      <c r="B1517" s="20"/>
      <c r="C1517" s="1"/>
      <c r="D1517" s="1"/>
      <c r="E1517" s="1"/>
      <c r="F1517" s="1"/>
      <c r="G1517" s="1"/>
      <c r="H1517" s="1"/>
      <c r="I1517" s="1"/>
      <c r="J1517" s="1">
        <f>IF($F1517="","",IF($H1517="","Not rated",IF(OR($H1517=Lists!$B$3,$H1517=Lists!$B$5),IF(AND(LEFT(SUBSTITUTE($I1517," ",""),LEN($F1517)+1)=$F1517&amp;"-",LEN(SUBSTITUTE($I1517," ",""))&gt;LEN($F1517)+1),"OK","Comment required"),"OK")))</f>
      </c>
    </row>
    <row r="1518" spans="1:10" x14ac:dyDescent="0.25">
      <c r="A1518" s="1"/>
      <c r="B1518" s="20"/>
      <c r="C1518" s="1"/>
      <c r="D1518" s="1"/>
      <c r="E1518" s="1"/>
      <c r="F1518" s="1"/>
      <c r="G1518" s="1"/>
      <c r="H1518" s="1"/>
      <c r="I1518" s="1"/>
      <c r="J1518" s="1">
        <f>IF($F1518="","",IF($H1518="","Not rated",IF(OR($H1518=Lists!$B$3,$H1518=Lists!$B$5),IF(AND(LEFT(SUBSTITUTE($I1518," ",""),LEN($F1518)+1)=$F1518&amp;"-",LEN(SUBSTITUTE($I1518," ",""))&gt;LEN($F1518)+1),"OK","Comment required"),"OK")))</f>
      </c>
    </row>
    <row r="1519" spans="1:10" x14ac:dyDescent="0.25">
      <c r="A1519" s="1"/>
      <c r="B1519" s="20"/>
      <c r="C1519" s="1"/>
      <c r="D1519" s="1"/>
      <c r="E1519" s="1"/>
      <c r="F1519" s="1"/>
      <c r="G1519" s="1"/>
      <c r="H1519" s="1"/>
      <c r="I1519" s="1"/>
      <c r="J1519" s="1">
        <f>IF($F1519="","",IF($H1519="","Not rated",IF(OR($H1519=Lists!$B$3,$H1519=Lists!$B$5),IF(AND(LEFT(SUBSTITUTE($I1519," ",""),LEN($F1519)+1)=$F1519&amp;"-",LEN(SUBSTITUTE($I1519," ",""))&gt;LEN($F1519)+1),"OK","Comment required"),"OK")))</f>
      </c>
    </row>
    <row r="1520" spans="1:10" x14ac:dyDescent="0.25">
      <c r="A1520" s="1"/>
      <c r="B1520" s="20"/>
      <c r="C1520" s="1"/>
      <c r="D1520" s="1"/>
      <c r="E1520" s="1"/>
      <c r="F1520" s="1"/>
      <c r="G1520" s="1"/>
      <c r="H1520" s="1"/>
      <c r="I1520" s="1"/>
      <c r="J1520" s="1">
        <f>IF($F1520="","",IF($H1520="","Not rated",IF(OR($H1520=Lists!$B$3,$H1520=Lists!$B$5),IF(AND(LEFT(SUBSTITUTE($I1520," ",""),LEN($F1520)+1)=$F1520&amp;"-",LEN(SUBSTITUTE($I1520," ",""))&gt;LEN($F1520)+1),"OK","Comment required"),"OK")))</f>
      </c>
    </row>
    <row r="1521" spans="1:10" x14ac:dyDescent="0.25">
      <c r="A1521" s="1"/>
      <c r="B1521" s="20"/>
      <c r="C1521" s="1"/>
      <c r="D1521" s="1"/>
      <c r="E1521" s="1"/>
      <c r="F1521" s="1"/>
      <c r="G1521" s="1"/>
      <c r="H1521" s="1"/>
      <c r="I1521" s="1"/>
      <c r="J1521" s="1">
        <f>IF($F1521="","",IF($H1521="","Not rated",IF(OR($H1521=Lists!$B$3,$H1521=Lists!$B$5),IF(AND(LEFT(SUBSTITUTE($I1521," ",""),LEN($F1521)+1)=$F1521&amp;"-",LEN(SUBSTITUTE($I1521," ",""))&gt;LEN($F1521)+1),"OK","Comment required"),"OK")))</f>
      </c>
    </row>
    <row r="1522" spans="1:10" x14ac:dyDescent="0.25">
      <c r="A1522" s="1"/>
      <c r="B1522" s="20"/>
      <c r="C1522" s="1"/>
      <c r="D1522" s="1"/>
      <c r="E1522" s="1"/>
      <c r="F1522" s="1"/>
      <c r="G1522" s="1"/>
      <c r="H1522" s="1"/>
      <c r="I1522" s="1"/>
      <c r="J1522" s="1">
        <f>IF($F1522="","",IF($H1522="","Not rated",IF(OR($H1522=Lists!$B$3,$H1522=Lists!$B$5),IF(AND(LEFT(SUBSTITUTE($I1522," ",""),LEN($F1522)+1)=$F1522&amp;"-",LEN(SUBSTITUTE($I1522," ",""))&gt;LEN($F1522)+1),"OK","Comment required"),"OK")))</f>
      </c>
    </row>
    <row r="1523" spans="1:10" x14ac:dyDescent="0.25">
      <c r="A1523" s="1"/>
      <c r="B1523" s="20"/>
      <c r="C1523" s="1"/>
      <c r="D1523" s="1"/>
      <c r="E1523" s="1"/>
      <c r="F1523" s="1"/>
      <c r="G1523" s="1"/>
      <c r="H1523" s="1"/>
      <c r="I1523" s="1"/>
      <c r="J1523" s="1">
        <f>IF($F1523="","",IF($H1523="","Not rated",IF(OR($H1523=Lists!$B$3,$H1523=Lists!$B$5),IF(AND(LEFT(SUBSTITUTE($I1523," ",""),LEN($F1523)+1)=$F1523&amp;"-",LEN(SUBSTITUTE($I1523," ",""))&gt;LEN($F1523)+1),"OK","Comment required"),"OK")))</f>
      </c>
    </row>
    <row r="1524" spans="1:10" x14ac:dyDescent="0.25">
      <c r="A1524" s="1"/>
      <c r="B1524" s="20"/>
      <c r="C1524" s="1"/>
      <c r="D1524" s="1"/>
      <c r="E1524" s="1"/>
      <c r="F1524" s="1"/>
      <c r="G1524" s="1"/>
      <c r="H1524" s="1"/>
      <c r="I1524" s="1"/>
      <c r="J1524" s="1">
        <f>IF($F1524="","",IF($H1524="","Not rated",IF(OR($H1524=Lists!$B$3,$H1524=Lists!$B$5),IF(AND(LEFT(SUBSTITUTE($I1524," ",""),LEN($F1524)+1)=$F1524&amp;"-",LEN(SUBSTITUTE($I1524," ",""))&gt;LEN($F1524)+1),"OK","Comment required"),"OK")))</f>
      </c>
    </row>
    <row r="1525" spans="1:10" x14ac:dyDescent="0.25">
      <c r="A1525" s="1"/>
      <c r="B1525" s="20"/>
      <c r="C1525" s="1"/>
      <c r="D1525" s="1"/>
      <c r="E1525" s="1"/>
      <c r="F1525" s="1"/>
      <c r="G1525" s="1"/>
      <c r="H1525" s="1"/>
      <c r="I1525" s="1"/>
      <c r="J1525" s="1">
        <f>IF($F1525="","",IF($H1525="","Not rated",IF(OR($H1525=Lists!$B$3,$H1525=Lists!$B$5),IF(AND(LEFT(SUBSTITUTE($I1525," ",""),LEN($F1525)+1)=$F1525&amp;"-",LEN(SUBSTITUTE($I1525," ",""))&gt;LEN($F1525)+1),"OK","Comment required"),"OK")))</f>
      </c>
    </row>
    <row r="1526" spans="1:10" x14ac:dyDescent="0.25">
      <c r="A1526" s="1"/>
      <c r="B1526" s="20"/>
      <c r="C1526" s="1"/>
      <c r="D1526" s="1"/>
      <c r="E1526" s="1"/>
      <c r="F1526" s="1"/>
      <c r="G1526" s="1"/>
      <c r="H1526" s="1"/>
      <c r="I1526" s="1"/>
      <c r="J1526" s="1">
        <f>IF($F1526="","",IF($H1526="","Not rated",IF(OR($H1526=Lists!$B$3,$H1526=Lists!$B$5),IF(AND(LEFT(SUBSTITUTE($I1526," ",""),LEN($F1526)+1)=$F1526&amp;"-",LEN(SUBSTITUTE($I1526," ",""))&gt;LEN($F1526)+1),"OK","Comment required"),"OK")))</f>
      </c>
    </row>
    <row r="1527" spans="1:10" x14ac:dyDescent="0.25">
      <c r="A1527" s="1"/>
      <c r="B1527" s="20"/>
      <c r="C1527" s="1"/>
      <c r="D1527" s="1"/>
      <c r="E1527" s="1"/>
      <c r="F1527" s="1"/>
      <c r="G1527" s="1"/>
      <c r="H1527" s="1"/>
      <c r="I1527" s="1"/>
      <c r="J1527" s="1">
        <f>IF($F1527="","",IF($H1527="","Not rated",IF(OR($H1527=Lists!$B$3,$H1527=Lists!$B$5),IF(AND(LEFT(SUBSTITUTE($I1527," ",""),LEN($F1527)+1)=$F1527&amp;"-",LEN(SUBSTITUTE($I1527," ",""))&gt;LEN($F1527)+1),"OK","Comment required"),"OK")))</f>
      </c>
    </row>
    <row r="1528" spans="1:10" x14ac:dyDescent="0.25">
      <c r="A1528" s="1"/>
      <c r="B1528" s="20"/>
      <c r="C1528" s="1"/>
      <c r="D1528" s="1"/>
      <c r="E1528" s="1"/>
      <c r="F1528" s="1"/>
      <c r="G1528" s="1"/>
      <c r="H1528" s="1"/>
      <c r="I1528" s="1"/>
      <c r="J1528" s="1">
        <f>IF($F1528="","",IF($H1528="","Not rated",IF(OR($H1528=Lists!$B$3,$H1528=Lists!$B$5),IF(AND(LEFT(SUBSTITUTE($I1528," ",""),LEN($F1528)+1)=$F1528&amp;"-",LEN(SUBSTITUTE($I1528," ",""))&gt;LEN($F1528)+1),"OK","Comment required"),"OK")))</f>
      </c>
    </row>
    <row r="1529" spans="1:10" x14ac:dyDescent="0.25">
      <c r="A1529" s="1"/>
      <c r="B1529" s="20"/>
      <c r="C1529" s="1"/>
      <c r="D1529" s="1"/>
      <c r="E1529" s="1"/>
      <c r="F1529" s="1"/>
      <c r="G1529" s="1"/>
      <c r="H1529" s="1"/>
      <c r="I1529" s="1"/>
      <c r="J1529" s="1">
        <f>IF($F1529="","",IF($H1529="","Not rated",IF(OR($H1529=Lists!$B$3,$H1529=Lists!$B$5),IF(AND(LEFT(SUBSTITUTE($I1529," ",""),LEN($F1529)+1)=$F1529&amp;"-",LEN(SUBSTITUTE($I1529," ",""))&gt;LEN($F1529)+1),"OK","Comment required"),"OK")))</f>
      </c>
    </row>
    <row r="1530" spans="1:10" x14ac:dyDescent="0.25">
      <c r="A1530" s="1"/>
      <c r="B1530" s="20"/>
      <c r="C1530" s="1"/>
      <c r="D1530" s="1"/>
      <c r="E1530" s="1"/>
      <c r="F1530" s="1"/>
      <c r="G1530" s="1"/>
      <c r="H1530" s="1"/>
      <c r="I1530" s="1"/>
      <c r="J1530" s="1">
        <f>IF($F1530="","",IF($H1530="","Not rated",IF(OR($H1530=Lists!$B$3,$H1530=Lists!$B$5),IF(AND(LEFT(SUBSTITUTE($I1530," ",""),LEN($F1530)+1)=$F1530&amp;"-",LEN(SUBSTITUTE($I1530," ",""))&gt;LEN($F1530)+1),"OK","Comment required"),"OK")))</f>
      </c>
    </row>
    <row r="1531" spans="1:10" x14ac:dyDescent="0.25">
      <c r="A1531" s="1"/>
      <c r="B1531" s="20"/>
      <c r="C1531" s="1"/>
      <c r="D1531" s="1"/>
      <c r="E1531" s="1"/>
      <c r="F1531" s="1"/>
      <c r="G1531" s="1"/>
      <c r="H1531" s="1"/>
      <c r="I1531" s="1"/>
      <c r="J1531" s="1">
        <f>IF($F1531="","",IF($H1531="","Not rated",IF(OR($H1531=Lists!$B$3,$H1531=Lists!$B$5),IF(AND(LEFT(SUBSTITUTE($I1531," ",""),LEN($F1531)+1)=$F1531&amp;"-",LEN(SUBSTITUTE($I1531," ",""))&gt;LEN($F1531)+1),"OK","Comment required"),"OK")))</f>
      </c>
    </row>
    <row r="1532" spans="1:10" x14ac:dyDescent="0.25">
      <c r="A1532" s="1"/>
      <c r="B1532" s="20"/>
      <c r="C1532" s="1"/>
      <c r="D1532" s="1"/>
      <c r="E1532" s="1"/>
      <c r="F1532" s="1"/>
      <c r="G1532" s="1"/>
      <c r="H1532" s="1"/>
      <c r="I1532" s="1"/>
      <c r="J1532" s="1">
        <f>IF($F1532="","",IF($H1532="","Not rated",IF(OR($H1532=Lists!$B$3,$H1532=Lists!$B$5),IF(AND(LEFT(SUBSTITUTE($I1532," ",""),LEN($F1532)+1)=$F1532&amp;"-",LEN(SUBSTITUTE($I1532," ",""))&gt;LEN($F1532)+1),"OK","Comment required"),"OK")))</f>
      </c>
    </row>
    <row r="1533" spans="1:10" x14ac:dyDescent="0.25">
      <c r="A1533" s="1"/>
      <c r="B1533" s="20"/>
      <c r="C1533" s="1"/>
      <c r="D1533" s="1"/>
      <c r="E1533" s="1"/>
      <c r="F1533" s="1"/>
      <c r="G1533" s="1"/>
      <c r="H1533" s="1"/>
      <c r="I1533" s="1"/>
      <c r="J1533" s="1">
        <f>IF($F1533="","",IF($H1533="","Not rated",IF(OR($H1533=Lists!$B$3,$H1533=Lists!$B$5),IF(AND(LEFT(SUBSTITUTE($I1533," ",""),LEN($F1533)+1)=$F1533&amp;"-",LEN(SUBSTITUTE($I1533," ",""))&gt;LEN($F1533)+1),"OK","Comment required"),"OK")))</f>
      </c>
    </row>
    <row r="1534" spans="1:10" x14ac:dyDescent="0.25">
      <c r="A1534" s="1"/>
      <c r="B1534" s="20"/>
      <c r="C1534" s="1"/>
      <c r="D1534" s="1"/>
      <c r="E1534" s="1"/>
      <c r="F1534" s="1"/>
      <c r="G1534" s="1"/>
      <c r="H1534" s="1"/>
      <c r="I1534" s="1"/>
      <c r="J1534" s="1">
        <f>IF($F1534="","",IF($H1534="","Not rated",IF(OR($H1534=Lists!$B$3,$H1534=Lists!$B$5),IF(AND(LEFT(SUBSTITUTE($I1534," ",""),LEN($F1534)+1)=$F1534&amp;"-",LEN(SUBSTITUTE($I1534," ",""))&gt;LEN($F1534)+1),"OK","Comment required"),"OK")))</f>
      </c>
    </row>
    <row r="1535" spans="1:10" x14ac:dyDescent="0.25">
      <c r="A1535" s="1"/>
      <c r="B1535" s="20"/>
      <c r="C1535" s="1"/>
      <c r="D1535" s="1"/>
      <c r="E1535" s="1"/>
      <c r="F1535" s="1"/>
      <c r="G1535" s="1"/>
      <c r="H1535" s="1"/>
      <c r="I1535" s="1"/>
      <c r="J1535" s="1">
        <f>IF($F1535="","",IF($H1535="","Not rated",IF(OR($H1535=Lists!$B$3,$H1535=Lists!$B$5),IF(AND(LEFT(SUBSTITUTE($I1535," ",""),LEN($F1535)+1)=$F1535&amp;"-",LEN(SUBSTITUTE($I1535," ",""))&gt;LEN($F1535)+1),"OK","Comment required"),"OK")))</f>
      </c>
    </row>
    <row r="1536" spans="1:10" x14ac:dyDescent="0.25">
      <c r="A1536" s="1"/>
      <c r="B1536" s="20"/>
      <c r="C1536" s="1"/>
      <c r="D1536" s="1"/>
      <c r="E1536" s="1"/>
      <c r="F1536" s="1"/>
      <c r="G1536" s="1"/>
      <c r="H1536" s="1"/>
      <c r="I1536" s="1"/>
      <c r="J1536" s="1">
        <f>IF($F1536="","",IF($H1536="","Not rated",IF(OR($H1536=Lists!$B$3,$H1536=Lists!$B$5),IF(AND(LEFT(SUBSTITUTE($I1536," ",""),LEN($F1536)+1)=$F1536&amp;"-",LEN(SUBSTITUTE($I1536," ",""))&gt;LEN($F1536)+1),"OK","Comment required"),"OK")))</f>
      </c>
    </row>
    <row r="1537" spans="1:10" x14ac:dyDescent="0.25">
      <c r="A1537" s="1"/>
      <c r="B1537" s="20"/>
      <c r="C1537" s="1"/>
      <c r="D1537" s="1"/>
      <c r="E1537" s="1"/>
      <c r="F1537" s="1"/>
      <c r="G1537" s="1"/>
      <c r="H1537" s="1"/>
      <c r="I1537" s="1"/>
      <c r="J1537" s="1">
        <f>IF($F1537="","",IF($H1537="","Not rated",IF(OR($H1537=Lists!$B$3,$H1537=Lists!$B$5),IF(AND(LEFT(SUBSTITUTE($I1537," ",""),LEN($F1537)+1)=$F1537&amp;"-",LEN(SUBSTITUTE($I1537," ",""))&gt;LEN($F1537)+1),"OK","Comment required"),"OK")))</f>
      </c>
    </row>
    <row r="1538" spans="1:10" x14ac:dyDescent="0.25">
      <c r="A1538" s="1"/>
      <c r="B1538" s="20"/>
      <c r="C1538" s="1"/>
      <c r="D1538" s="1"/>
      <c r="E1538" s="1"/>
      <c r="F1538" s="1"/>
      <c r="G1538" s="1"/>
      <c r="H1538" s="1"/>
      <c r="I1538" s="1"/>
      <c r="J1538" s="1">
        <f>IF($F1538="","",IF($H1538="","Not rated",IF(OR($H1538=Lists!$B$3,$H1538=Lists!$B$5),IF(AND(LEFT(SUBSTITUTE($I1538," ",""),LEN($F1538)+1)=$F1538&amp;"-",LEN(SUBSTITUTE($I1538," ",""))&gt;LEN($F1538)+1),"OK","Comment required"),"OK")))</f>
      </c>
    </row>
    <row r="1539" spans="1:10" x14ac:dyDescent="0.25">
      <c r="A1539" s="1"/>
      <c r="B1539" s="20"/>
      <c r="C1539" s="1"/>
      <c r="D1539" s="1"/>
      <c r="E1539" s="1"/>
      <c r="F1539" s="1"/>
      <c r="G1539" s="1"/>
      <c r="H1539" s="1"/>
      <c r="I1539" s="1"/>
      <c r="J1539" s="1">
        <f>IF($F1539="","",IF($H1539="","Not rated",IF(OR($H1539=Lists!$B$3,$H1539=Lists!$B$5),IF(AND(LEFT(SUBSTITUTE($I1539," ",""),LEN($F1539)+1)=$F1539&amp;"-",LEN(SUBSTITUTE($I1539," ",""))&gt;LEN($F1539)+1),"OK","Comment required"),"OK")))</f>
      </c>
    </row>
    <row r="1540" spans="1:10" x14ac:dyDescent="0.25">
      <c r="A1540" s="1"/>
      <c r="B1540" s="20"/>
      <c r="C1540" s="1"/>
      <c r="D1540" s="1"/>
      <c r="E1540" s="1"/>
      <c r="F1540" s="1"/>
      <c r="G1540" s="1"/>
      <c r="H1540" s="1"/>
      <c r="I1540" s="1"/>
      <c r="J1540" s="1">
        <f>IF($F1540="","",IF($H1540="","Not rated",IF(OR($H1540=Lists!$B$3,$H1540=Lists!$B$5),IF(AND(LEFT(SUBSTITUTE($I1540," ",""),LEN($F1540)+1)=$F1540&amp;"-",LEN(SUBSTITUTE($I1540," ",""))&gt;LEN($F1540)+1),"OK","Comment required"),"OK")))</f>
      </c>
    </row>
    <row r="1541" spans="1:10" x14ac:dyDescent="0.25">
      <c r="A1541" s="1"/>
      <c r="B1541" s="20"/>
      <c r="C1541" s="1"/>
      <c r="D1541" s="1"/>
      <c r="E1541" s="1"/>
      <c r="F1541" s="1"/>
      <c r="G1541" s="1"/>
      <c r="H1541" s="1"/>
      <c r="I1541" s="1"/>
      <c r="J1541" s="1">
        <f>IF($F1541="","",IF($H1541="","Not rated",IF(OR($H1541=Lists!$B$3,$H1541=Lists!$B$5),IF(AND(LEFT(SUBSTITUTE($I1541," ",""),LEN($F1541)+1)=$F1541&amp;"-",LEN(SUBSTITUTE($I1541," ",""))&gt;LEN($F1541)+1),"OK","Comment required"),"OK")))</f>
      </c>
    </row>
    <row r="1542" spans="1:10" x14ac:dyDescent="0.25">
      <c r="A1542" s="1"/>
      <c r="B1542" s="20"/>
      <c r="C1542" s="1"/>
      <c r="D1542" s="1"/>
      <c r="E1542" s="1"/>
      <c r="F1542" s="1"/>
      <c r="G1542" s="1"/>
      <c r="H1542" s="1"/>
      <c r="I1542" s="1"/>
      <c r="J1542" s="1">
        <f>IF($F1542="","",IF($H1542="","Not rated",IF(OR($H1542=Lists!$B$3,$H1542=Lists!$B$5),IF(AND(LEFT(SUBSTITUTE($I1542," ",""),LEN($F1542)+1)=$F1542&amp;"-",LEN(SUBSTITUTE($I1542," ",""))&gt;LEN($F1542)+1),"OK","Comment required"),"OK")))</f>
      </c>
    </row>
    <row r="1543" spans="1:10" x14ac:dyDescent="0.25">
      <c r="A1543" s="1"/>
      <c r="B1543" s="20"/>
      <c r="C1543" s="1"/>
      <c r="D1543" s="1"/>
      <c r="E1543" s="1"/>
      <c r="F1543" s="1"/>
      <c r="G1543" s="1"/>
      <c r="H1543" s="1"/>
      <c r="I1543" s="1"/>
      <c r="J1543" s="1">
        <f>IF($F1543="","",IF($H1543="","Not rated",IF(OR($H1543=Lists!$B$3,$H1543=Lists!$B$5),IF(AND(LEFT(SUBSTITUTE($I1543," ",""),LEN($F1543)+1)=$F1543&amp;"-",LEN(SUBSTITUTE($I1543," ",""))&gt;LEN($F1543)+1),"OK","Comment required"),"OK")))</f>
      </c>
    </row>
    <row r="1544" spans="1:10" x14ac:dyDescent="0.25">
      <c r="A1544" s="1"/>
      <c r="B1544" s="20"/>
      <c r="C1544" s="1"/>
      <c r="D1544" s="1"/>
      <c r="E1544" s="1"/>
      <c r="F1544" s="1"/>
      <c r="G1544" s="1"/>
      <c r="H1544" s="1"/>
      <c r="I1544" s="1"/>
      <c r="J1544" s="1">
        <f>IF($F1544="","",IF($H1544="","Not rated",IF(OR($H1544=Lists!$B$3,$H1544=Lists!$B$5),IF(AND(LEFT(SUBSTITUTE($I1544," ",""),LEN($F1544)+1)=$F1544&amp;"-",LEN(SUBSTITUTE($I1544," ",""))&gt;LEN($F1544)+1),"OK","Comment required"),"OK")))</f>
      </c>
    </row>
    <row r="1545" spans="1:10" x14ac:dyDescent="0.25">
      <c r="A1545" s="1"/>
      <c r="B1545" s="20"/>
      <c r="C1545" s="1"/>
      <c r="D1545" s="1"/>
      <c r="E1545" s="1"/>
      <c r="F1545" s="1"/>
      <c r="G1545" s="1"/>
      <c r="H1545" s="1"/>
      <c r="I1545" s="1"/>
      <c r="J1545" s="1">
        <f>IF($F1545="","",IF($H1545="","Not rated",IF(OR($H1545=Lists!$B$3,$H1545=Lists!$B$5),IF(AND(LEFT(SUBSTITUTE($I1545," ",""),LEN($F1545)+1)=$F1545&amp;"-",LEN(SUBSTITUTE($I1545," ",""))&gt;LEN($F1545)+1),"OK","Comment required"),"OK")))</f>
      </c>
    </row>
    <row r="1546" spans="1:10" x14ac:dyDescent="0.25">
      <c r="A1546" s="1"/>
      <c r="B1546" s="20"/>
      <c r="C1546" s="1"/>
      <c r="D1546" s="1"/>
      <c r="E1546" s="1"/>
      <c r="F1546" s="1"/>
      <c r="G1546" s="1"/>
      <c r="H1546" s="1"/>
      <c r="I1546" s="1"/>
      <c r="J1546" s="1">
        <f>IF($F1546="","",IF($H1546="","Not rated",IF(OR($H1546=Lists!$B$3,$H1546=Lists!$B$5),IF(AND(LEFT(SUBSTITUTE($I1546," ",""),LEN($F1546)+1)=$F1546&amp;"-",LEN(SUBSTITUTE($I1546," ",""))&gt;LEN($F1546)+1),"OK","Comment required"),"OK")))</f>
      </c>
    </row>
    <row r="1547" spans="1:10" x14ac:dyDescent="0.25">
      <c r="A1547" s="1"/>
      <c r="B1547" s="20"/>
      <c r="C1547" s="1"/>
      <c r="D1547" s="1"/>
      <c r="E1547" s="1"/>
      <c r="F1547" s="1"/>
      <c r="G1547" s="1"/>
      <c r="H1547" s="1"/>
      <c r="I1547" s="1"/>
      <c r="J1547" s="1">
        <f>IF($F1547="","",IF($H1547="","Not rated",IF(OR($H1547=Lists!$B$3,$H1547=Lists!$B$5),IF(AND(LEFT(SUBSTITUTE($I1547," ",""),LEN($F1547)+1)=$F1547&amp;"-",LEN(SUBSTITUTE($I1547," ",""))&gt;LEN($F1547)+1),"OK","Comment required"),"OK")))</f>
      </c>
    </row>
    <row r="1548" spans="1:10" x14ac:dyDescent="0.25">
      <c r="A1548" s="1"/>
      <c r="B1548" s="20"/>
      <c r="C1548" s="1"/>
      <c r="D1548" s="1"/>
      <c r="E1548" s="1"/>
      <c r="F1548" s="1"/>
      <c r="G1548" s="1"/>
      <c r="H1548" s="1"/>
      <c r="I1548" s="1"/>
      <c r="J1548" s="1">
        <f>IF($F1548="","",IF($H1548="","Not rated",IF(OR($H1548=Lists!$B$3,$H1548=Lists!$B$5),IF(AND(LEFT(SUBSTITUTE($I1548," ",""),LEN($F1548)+1)=$F1548&amp;"-",LEN(SUBSTITUTE($I1548," ",""))&gt;LEN($F1548)+1),"OK","Comment required"),"OK")))</f>
      </c>
    </row>
    <row r="1549" spans="1:10" x14ac:dyDescent="0.25">
      <c r="A1549" s="1"/>
      <c r="B1549" s="20"/>
      <c r="C1549" s="1"/>
      <c r="D1549" s="1"/>
      <c r="E1549" s="1"/>
      <c r="F1549" s="1"/>
      <c r="G1549" s="1"/>
      <c r="H1549" s="1"/>
      <c r="I1549" s="1"/>
      <c r="J1549" s="1">
        <f>IF($F1549="","",IF($H1549="","Not rated",IF(OR($H1549=Lists!$B$3,$H1549=Lists!$B$5),IF(AND(LEFT(SUBSTITUTE($I1549," ",""),LEN($F1549)+1)=$F1549&amp;"-",LEN(SUBSTITUTE($I1549," ",""))&gt;LEN($F1549)+1),"OK","Comment required"),"OK")))</f>
      </c>
    </row>
    <row r="1550" spans="1:10" x14ac:dyDescent="0.25">
      <c r="A1550" s="1"/>
      <c r="B1550" s="20"/>
      <c r="C1550" s="1"/>
      <c r="D1550" s="1"/>
      <c r="E1550" s="1"/>
      <c r="F1550" s="1"/>
      <c r="G1550" s="1"/>
      <c r="H1550" s="1"/>
      <c r="I1550" s="1"/>
      <c r="J1550" s="1">
        <f>IF($F1550="","",IF($H1550="","Not rated",IF(OR($H1550=Lists!$B$3,$H1550=Lists!$B$5),IF(AND(LEFT(SUBSTITUTE($I1550," ",""),LEN($F1550)+1)=$F1550&amp;"-",LEN(SUBSTITUTE($I1550," ",""))&gt;LEN($F1550)+1),"OK","Comment required"),"OK")))</f>
      </c>
    </row>
    <row r="1551" spans="1:10" x14ac:dyDescent="0.25">
      <c r="A1551" s="1"/>
      <c r="B1551" s="20"/>
      <c r="C1551" s="1"/>
      <c r="D1551" s="1"/>
      <c r="E1551" s="1"/>
      <c r="F1551" s="1"/>
      <c r="G1551" s="1"/>
      <c r="H1551" s="1"/>
      <c r="I1551" s="1"/>
      <c r="J1551" s="1">
        <f>IF($F1551="","",IF($H1551="","Not rated",IF(OR($H1551=Lists!$B$3,$H1551=Lists!$B$5),IF(AND(LEFT(SUBSTITUTE($I1551," ",""),LEN($F1551)+1)=$F1551&amp;"-",LEN(SUBSTITUTE($I1551," ",""))&gt;LEN($F1551)+1),"OK","Comment required"),"OK")))</f>
      </c>
    </row>
    <row r="1552" spans="1:10" x14ac:dyDescent="0.25">
      <c r="A1552" s="1"/>
      <c r="B1552" s="20"/>
      <c r="C1552" s="1"/>
      <c r="D1552" s="1"/>
      <c r="E1552" s="1"/>
      <c r="F1552" s="1"/>
      <c r="G1552" s="1"/>
      <c r="H1552" s="1"/>
      <c r="I1552" s="1"/>
      <c r="J1552" s="1">
        <f>IF($F1552="","",IF($H1552="","Not rated",IF(OR($H1552=Lists!$B$3,$H1552=Lists!$B$5),IF(AND(LEFT(SUBSTITUTE($I1552," ",""),LEN($F1552)+1)=$F1552&amp;"-",LEN(SUBSTITUTE($I1552," ",""))&gt;LEN($F1552)+1),"OK","Comment required"),"OK")))</f>
      </c>
    </row>
    <row r="1553" spans="1:10" x14ac:dyDescent="0.25">
      <c r="A1553" s="1"/>
      <c r="B1553" s="20"/>
      <c r="C1553" s="1"/>
      <c r="D1553" s="1"/>
      <c r="E1553" s="1"/>
      <c r="F1553" s="1"/>
      <c r="G1553" s="1"/>
      <c r="H1553" s="1"/>
      <c r="I1553" s="1"/>
      <c r="J1553" s="1">
        <f>IF($F1553="","",IF($H1553="","Not rated",IF(OR($H1553=Lists!$B$3,$H1553=Lists!$B$5),IF(AND(LEFT(SUBSTITUTE($I1553," ",""),LEN($F1553)+1)=$F1553&amp;"-",LEN(SUBSTITUTE($I1553," ",""))&gt;LEN($F1553)+1),"OK","Comment required"),"OK")))</f>
      </c>
    </row>
    <row r="1554" spans="1:10" x14ac:dyDescent="0.25">
      <c r="A1554" s="1"/>
      <c r="B1554" s="20"/>
      <c r="C1554" s="1"/>
      <c r="D1554" s="1"/>
      <c r="E1554" s="1"/>
      <c r="F1554" s="1"/>
      <c r="G1554" s="1"/>
      <c r="H1554" s="1"/>
      <c r="I1554" s="1"/>
      <c r="J1554" s="1">
        <f>IF($F1554="","",IF($H1554="","Not rated",IF(OR($H1554=Lists!$B$3,$H1554=Lists!$B$5),IF(AND(LEFT(SUBSTITUTE($I1554," ",""),LEN($F1554)+1)=$F1554&amp;"-",LEN(SUBSTITUTE($I1554," ",""))&gt;LEN($F1554)+1),"OK","Comment required"),"OK")))</f>
      </c>
    </row>
    <row r="1555" spans="1:10" x14ac:dyDescent="0.25">
      <c r="A1555" s="1"/>
      <c r="B1555" s="20"/>
      <c r="C1555" s="1"/>
      <c r="D1555" s="1"/>
      <c r="E1555" s="1"/>
      <c r="F1555" s="1"/>
      <c r="G1555" s="1"/>
      <c r="H1555" s="1"/>
      <c r="I1555" s="1"/>
      <c r="J1555" s="1">
        <f>IF($F1555="","",IF($H1555="","Not rated",IF(OR($H1555=Lists!$B$3,$H1555=Lists!$B$5),IF(AND(LEFT(SUBSTITUTE($I1555," ",""),LEN($F1555)+1)=$F1555&amp;"-",LEN(SUBSTITUTE($I1555," ",""))&gt;LEN($F1555)+1),"OK","Comment required"),"OK")))</f>
      </c>
    </row>
    <row r="1556" spans="1:10" x14ac:dyDescent="0.25">
      <c r="A1556" s="1"/>
      <c r="B1556" s="20"/>
      <c r="C1556" s="1"/>
      <c r="D1556" s="1"/>
      <c r="E1556" s="1"/>
      <c r="F1556" s="1"/>
      <c r="G1556" s="1"/>
      <c r="H1556" s="1"/>
      <c r="I1556" s="1"/>
      <c r="J1556" s="1">
        <f>IF($F1556="","",IF($H1556="","Not rated",IF(OR($H1556=Lists!$B$3,$H1556=Lists!$B$5),IF(AND(LEFT(SUBSTITUTE($I1556," ",""),LEN($F1556)+1)=$F1556&amp;"-",LEN(SUBSTITUTE($I1556," ",""))&gt;LEN($F1556)+1),"OK","Comment required"),"OK")))</f>
      </c>
    </row>
    <row r="1557" spans="1:10" x14ac:dyDescent="0.25">
      <c r="A1557" s="1"/>
      <c r="B1557" s="20"/>
      <c r="C1557" s="1"/>
      <c r="D1557" s="1"/>
      <c r="E1557" s="1"/>
      <c r="F1557" s="1"/>
      <c r="G1557" s="1"/>
      <c r="H1557" s="1"/>
      <c r="I1557" s="1"/>
      <c r="J1557" s="1">
        <f>IF($F1557="","",IF($H1557="","Not rated",IF(OR($H1557=Lists!$B$3,$H1557=Lists!$B$5),IF(AND(LEFT(SUBSTITUTE($I1557," ",""),LEN($F1557)+1)=$F1557&amp;"-",LEN(SUBSTITUTE($I1557," ",""))&gt;LEN($F1557)+1),"OK","Comment required"),"OK")))</f>
      </c>
    </row>
    <row r="1558" spans="1:10" x14ac:dyDescent="0.25">
      <c r="A1558" s="1"/>
      <c r="B1558" s="20"/>
      <c r="C1558" s="1"/>
      <c r="D1558" s="1"/>
      <c r="E1558" s="1"/>
      <c r="F1558" s="1"/>
      <c r="G1558" s="1"/>
      <c r="H1558" s="1"/>
      <c r="I1558" s="1"/>
      <c r="J1558" s="1">
        <f>IF($F1558="","",IF($H1558="","Not rated",IF(OR($H1558=Lists!$B$3,$H1558=Lists!$B$5),IF(AND(LEFT(SUBSTITUTE($I1558," ",""),LEN($F1558)+1)=$F1558&amp;"-",LEN(SUBSTITUTE($I1558," ",""))&gt;LEN($F1558)+1),"OK","Comment required"),"OK")))</f>
      </c>
    </row>
    <row r="1559" spans="1:10" x14ac:dyDescent="0.25">
      <c r="A1559" s="1"/>
      <c r="B1559" s="20"/>
      <c r="C1559" s="1"/>
      <c r="D1559" s="1"/>
      <c r="E1559" s="1"/>
      <c r="F1559" s="1"/>
      <c r="G1559" s="1"/>
      <c r="H1559" s="1"/>
      <c r="I1559" s="1"/>
      <c r="J1559" s="1">
        <f>IF($F1559="","",IF($H1559="","Not rated",IF(OR($H1559=Lists!$B$3,$H1559=Lists!$B$5),IF(AND(LEFT(SUBSTITUTE($I1559," ",""),LEN($F1559)+1)=$F1559&amp;"-",LEN(SUBSTITUTE($I1559," ",""))&gt;LEN($F1559)+1),"OK","Comment required"),"OK")))</f>
      </c>
    </row>
    <row r="1560" spans="1:10" x14ac:dyDescent="0.25">
      <c r="A1560" s="1"/>
      <c r="B1560" s="20"/>
      <c r="C1560" s="1"/>
      <c r="D1560" s="1"/>
      <c r="E1560" s="1"/>
      <c r="F1560" s="1"/>
      <c r="G1560" s="1"/>
      <c r="H1560" s="1"/>
      <c r="I1560" s="1"/>
      <c r="J1560" s="1">
        <f>IF($F1560="","",IF($H1560="","Not rated",IF(OR($H1560=Lists!$B$3,$H1560=Lists!$B$5),IF(AND(LEFT(SUBSTITUTE($I1560," ",""),LEN($F1560)+1)=$F1560&amp;"-",LEN(SUBSTITUTE($I1560," ",""))&gt;LEN($F1560)+1),"OK","Comment required"),"OK")))</f>
      </c>
    </row>
    <row r="1561" spans="1:10" x14ac:dyDescent="0.25">
      <c r="A1561" s="1"/>
      <c r="B1561" s="20"/>
      <c r="C1561" s="1"/>
      <c r="D1561" s="1"/>
      <c r="E1561" s="1"/>
      <c r="F1561" s="1"/>
      <c r="G1561" s="1"/>
      <c r="H1561" s="1"/>
      <c r="I1561" s="1"/>
      <c r="J1561" s="1">
        <f>IF($F1561="","",IF($H1561="","Not rated",IF(OR($H1561=Lists!$B$3,$H1561=Lists!$B$5),IF(AND(LEFT(SUBSTITUTE($I1561," ",""),LEN($F1561)+1)=$F1561&amp;"-",LEN(SUBSTITUTE($I1561," ",""))&gt;LEN($F1561)+1),"OK","Comment required"),"OK")))</f>
      </c>
    </row>
    <row r="1562" spans="1:10" x14ac:dyDescent="0.25">
      <c r="A1562" s="1"/>
      <c r="B1562" s="20"/>
      <c r="C1562" s="1"/>
      <c r="D1562" s="1"/>
      <c r="E1562" s="1"/>
      <c r="F1562" s="1"/>
      <c r="G1562" s="1"/>
      <c r="H1562" s="1"/>
      <c r="I1562" s="1"/>
      <c r="J1562" s="1">
        <f>IF($F1562="","",IF($H1562="","Not rated",IF(OR($H1562=Lists!$B$3,$H1562=Lists!$B$5),IF(AND(LEFT(SUBSTITUTE($I1562," ",""),LEN($F1562)+1)=$F1562&amp;"-",LEN(SUBSTITUTE($I1562," ",""))&gt;LEN($F1562)+1),"OK","Comment required"),"OK")))</f>
      </c>
    </row>
    <row r="1563" spans="1:10" x14ac:dyDescent="0.25">
      <c r="A1563" s="1"/>
      <c r="B1563" s="20"/>
      <c r="C1563" s="1"/>
      <c r="D1563" s="1"/>
      <c r="E1563" s="1"/>
      <c r="F1563" s="1"/>
      <c r="G1563" s="1"/>
      <c r="H1563" s="1"/>
      <c r="I1563" s="1"/>
      <c r="J1563" s="1">
        <f>IF($F1563="","",IF($H1563="","Not rated",IF(OR($H1563=Lists!$B$3,$H1563=Lists!$B$5),IF(AND(LEFT(SUBSTITUTE($I1563," ",""),LEN($F1563)+1)=$F1563&amp;"-",LEN(SUBSTITUTE($I1563," ",""))&gt;LEN($F1563)+1),"OK","Comment required"),"OK")))</f>
      </c>
    </row>
    <row r="1564" spans="1:10" x14ac:dyDescent="0.25">
      <c r="A1564" s="1"/>
      <c r="B1564" s="20"/>
      <c r="C1564" s="1"/>
      <c r="D1564" s="1"/>
      <c r="E1564" s="1"/>
      <c r="F1564" s="1"/>
      <c r="G1564" s="1"/>
      <c r="H1564" s="1"/>
      <c r="I1564" s="1"/>
      <c r="J1564" s="1">
        <f>IF($F1564="","",IF($H1564="","Not rated",IF(OR($H1564=Lists!$B$3,$H1564=Lists!$B$5),IF(AND(LEFT(SUBSTITUTE($I1564," ",""),LEN($F1564)+1)=$F1564&amp;"-",LEN(SUBSTITUTE($I1564," ",""))&gt;LEN($F1564)+1),"OK","Comment required"),"OK")))</f>
      </c>
    </row>
    <row r="1565" spans="1:10" x14ac:dyDescent="0.25">
      <c r="A1565" s="1"/>
      <c r="B1565" s="20"/>
      <c r="C1565" s="1"/>
      <c r="D1565" s="1"/>
      <c r="E1565" s="1"/>
      <c r="F1565" s="1"/>
      <c r="G1565" s="1"/>
      <c r="H1565" s="1"/>
      <c r="I1565" s="1"/>
      <c r="J1565" s="1">
        <f>IF($F1565="","",IF($H1565="","Not rated",IF(OR($H1565=Lists!$B$3,$H1565=Lists!$B$5),IF(AND(LEFT(SUBSTITUTE($I1565," ",""),LEN($F1565)+1)=$F1565&amp;"-",LEN(SUBSTITUTE($I1565," ",""))&gt;LEN($F1565)+1),"OK","Comment required"),"OK")))</f>
      </c>
    </row>
    <row r="1566" spans="1:10" x14ac:dyDescent="0.25">
      <c r="A1566" s="1"/>
      <c r="B1566" s="20"/>
      <c r="C1566" s="1"/>
      <c r="D1566" s="1"/>
      <c r="E1566" s="1"/>
      <c r="F1566" s="1"/>
      <c r="G1566" s="1"/>
      <c r="H1566" s="1"/>
      <c r="I1566" s="1"/>
      <c r="J1566" s="1">
        <f>IF($F1566="","",IF($H1566="","Not rated",IF(OR($H1566=Lists!$B$3,$H1566=Lists!$B$5),IF(AND(LEFT(SUBSTITUTE($I1566," ",""),LEN($F1566)+1)=$F1566&amp;"-",LEN(SUBSTITUTE($I1566," ",""))&gt;LEN($F1566)+1),"OK","Comment required"),"OK")))</f>
      </c>
    </row>
    <row r="1567" spans="1:10" x14ac:dyDescent="0.25">
      <c r="A1567" s="1"/>
      <c r="B1567" s="20"/>
      <c r="C1567" s="1"/>
      <c r="D1567" s="1"/>
      <c r="E1567" s="1"/>
      <c r="F1567" s="1"/>
      <c r="G1567" s="1"/>
      <c r="H1567" s="1"/>
      <c r="I1567" s="1"/>
      <c r="J1567" s="1">
        <f>IF($F1567="","",IF($H1567="","Not rated",IF(OR($H1567=Lists!$B$3,$H1567=Lists!$B$5),IF(AND(LEFT(SUBSTITUTE($I1567," ",""),LEN($F1567)+1)=$F1567&amp;"-",LEN(SUBSTITUTE($I1567," ",""))&gt;LEN($F1567)+1),"OK","Comment required"),"OK")))</f>
      </c>
    </row>
    <row r="1568" spans="1:10" x14ac:dyDescent="0.25">
      <c r="A1568" s="1"/>
      <c r="B1568" s="20"/>
      <c r="C1568" s="1"/>
      <c r="D1568" s="1"/>
      <c r="E1568" s="1"/>
      <c r="F1568" s="1"/>
      <c r="G1568" s="1"/>
      <c r="H1568" s="1"/>
      <c r="I1568" s="1"/>
      <c r="J1568" s="1">
        <f>IF($F1568="","",IF($H1568="","Not rated",IF(OR($H1568=Lists!$B$3,$H1568=Lists!$B$5),IF(AND(LEFT(SUBSTITUTE($I1568," ",""),LEN($F1568)+1)=$F1568&amp;"-",LEN(SUBSTITUTE($I1568," ",""))&gt;LEN($F1568)+1),"OK","Comment required"),"OK")))</f>
      </c>
    </row>
    <row r="1569" spans="1:10" x14ac:dyDescent="0.25">
      <c r="A1569" s="1"/>
      <c r="B1569" s="20"/>
      <c r="C1569" s="1"/>
      <c r="D1569" s="1"/>
      <c r="E1569" s="1"/>
      <c r="F1569" s="1"/>
      <c r="G1569" s="1"/>
      <c r="H1569" s="1"/>
      <c r="I1569" s="1"/>
      <c r="J1569" s="1">
        <f>IF($F1569="","",IF($H1569="","Not rated",IF(OR($H1569=Lists!$B$3,$H1569=Lists!$B$5),IF(AND(LEFT(SUBSTITUTE($I1569," ",""),LEN($F1569)+1)=$F1569&amp;"-",LEN(SUBSTITUTE($I1569," ",""))&gt;LEN($F1569)+1),"OK","Comment required"),"OK")))</f>
      </c>
    </row>
    <row r="1570" spans="1:10" x14ac:dyDescent="0.25">
      <c r="A1570" s="1"/>
      <c r="B1570" s="20"/>
      <c r="C1570" s="1"/>
      <c r="D1570" s="1"/>
      <c r="E1570" s="1"/>
      <c r="F1570" s="1"/>
      <c r="G1570" s="1"/>
      <c r="H1570" s="1"/>
      <c r="I1570" s="1"/>
      <c r="J1570" s="1">
        <f>IF($F1570="","",IF($H1570="","Not rated",IF(OR($H1570=Lists!$B$3,$H1570=Lists!$B$5),IF(AND(LEFT(SUBSTITUTE($I1570," ",""),LEN($F1570)+1)=$F1570&amp;"-",LEN(SUBSTITUTE($I1570," ",""))&gt;LEN($F1570)+1),"OK","Comment required"),"OK")))</f>
      </c>
    </row>
    <row r="1571" spans="1:10" x14ac:dyDescent="0.25">
      <c r="A1571" s="1"/>
      <c r="B1571" s="20"/>
      <c r="C1571" s="1"/>
      <c r="D1571" s="1"/>
      <c r="E1571" s="1"/>
      <c r="F1571" s="1"/>
      <c r="G1571" s="1"/>
      <c r="H1571" s="1"/>
      <c r="I1571" s="1"/>
      <c r="J1571" s="1">
        <f>IF($F1571="","",IF($H1571="","Not rated",IF(OR($H1571=Lists!$B$3,$H1571=Lists!$B$5),IF(AND(LEFT(SUBSTITUTE($I1571," ",""),LEN($F1571)+1)=$F1571&amp;"-",LEN(SUBSTITUTE($I1571," ",""))&gt;LEN($F1571)+1),"OK","Comment required"),"OK")))</f>
      </c>
    </row>
    <row r="1572" spans="1:10" x14ac:dyDescent="0.25">
      <c r="A1572" s="1"/>
      <c r="B1572" s="20"/>
      <c r="C1572" s="1"/>
      <c r="D1572" s="1"/>
      <c r="E1572" s="1"/>
      <c r="F1572" s="1"/>
      <c r="G1572" s="1"/>
      <c r="H1572" s="1"/>
      <c r="I1572" s="1"/>
      <c r="J1572" s="1">
        <f>IF($F1572="","",IF($H1572="","Not rated",IF(OR($H1572=Lists!$B$3,$H1572=Lists!$B$5),IF(AND(LEFT(SUBSTITUTE($I1572," ",""),LEN($F1572)+1)=$F1572&amp;"-",LEN(SUBSTITUTE($I1572," ",""))&gt;LEN($F1572)+1),"OK","Comment required"),"OK")))</f>
      </c>
    </row>
    <row r="1573" spans="1:10" x14ac:dyDescent="0.25">
      <c r="A1573" s="1"/>
      <c r="B1573" s="20"/>
      <c r="C1573" s="1"/>
      <c r="D1573" s="1"/>
      <c r="E1573" s="1"/>
      <c r="F1573" s="1"/>
      <c r="G1573" s="1"/>
      <c r="H1573" s="1"/>
      <c r="I1573" s="1"/>
      <c r="J1573" s="1">
        <f>IF($F1573="","",IF($H1573="","Not rated",IF(OR($H1573=Lists!$B$3,$H1573=Lists!$B$5),IF(AND(LEFT(SUBSTITUTE($I1573," ",""),LEN($F1573)+1)=$F1573&amp;"-",LEN(SUBSTITUTE($I1573," ",""))&gt;LEN($F1573)+1),"OK","Comment required"),"OK")))</f>
      </c>
    </row>
    <row r="1574" spans="1:10" x14ac:dyDescent="0.25">
      <c r="A1574" s="1"/>
      <c r="B1574" s="20"/>
      <c r="C1574" s="1"/>
      <c r="D1574" s="1"/>
      <c r="E1574" s="1"/>
      <c r="F1574" s="1"/>
      <c r="G1574" s="1"/>
      <c r="H1574" s="1"/>
      <c r="I1574" s="1"/>
      <c r="J1574" s="1">
        <f>IF($F1574="","",IF($H1574="","Not rated",IF(OR($H1574=Lists!$B$3,$H1574=Lists!$B$5),IF(AND(LEFT(SUBSTITUTE($I1574," ",""),LEN($F1574)+1)=$F1574&amp;"-",LEN(SUBSTITUTE($I1574," ",""))&gt;LEN($F1574)+1),"OK","Comment required"),"OK")))</f>
      </c>
    </row>
    <row r="1575" spans="1:10" x14ac:dyDescent="0.25">
      <c r="A1575" s="1"/>
      <c r="B1575" s="20"/>
      <c r="C1575" s="1"/>
      <c r="D1575" s="1"/>
      <c r="E1575" s="1"/>
      <c r="F1575" s="1"/>
      <c r="G1575" s="1"/>
      <c r="H1575" s="1"/>
      <c r="I1575" s="1"/>
      <c r="J1575" s="1">
        <f>IF($F1575="","",IF($H1575="","Not rated",IF(OR($H1575=Lists!$B$3,$H1575=Lists!$B$5),IF(AND(LEFT(SUBSTITUTE($I1575," ",""),LEN($F1575)+1)=$F1575&amp;"-",LEN(SUBSTITUTE($I1575," ",""))&gt;LEN($F1575)+1),"OK","Comment required"),"OK")))</f>
      </c>
    </row>
    <row r="1576" spans="1:10" x14ac:dyDescent="0.25">
      <c r="A1576" s="1"/>
      <c r="B1576" s="20"/>
      <c r="C1576" s="1"/>
      <c r="D1576" s="1"/>
      <c r="E1576" s="1"/>
      <c r="F1576" s="1"/>
      <c r="G1576" s="1"/>
      <c r="H1576" s="1"/>
      <c r="I1576" s="1"/>
      <c r="J1576" s="1">
        <f>IF($F1576="","",IF($H1576="","Not rated",IF(OR($H1576=Lists!$B$3,$H1576=Lists!$B$5),IF(AND(LEFT(SUBSTITUTE($I1576," ",""),LEN($F1576)+1)=$F1576&amp;"-",LEN(SUBSTITUTE($I1576," ",""))&gt;LEN($F1576)+1),"OK","Comment required"),"OK")))</f>
      </c>
    </row>
    <row r="1577" spans="1:10" x14ac:dyDescent="0.25">
      <c r="A1577" s="1"/>
      <c r="B1577" s="20"/>
      <c r="C1577" s="1"/>
      <c r="D1577" s="1"/>
      <c r="E1577" s="1"/>
      <c r="F1577" s="1"/>
      <c r="G1577" s="1"/>
      <c r="H1577" s="1"/>
      <c r="I1577" s="1"/>
      <c r="J1577" s="1">
        <f>IF($F1577="","",IF($H1577="","Not rated",IF(OR($H1577=Lists!$B$3,$H1577=Lists!$B$5),IF(AND(LEFT(SUBSTITUTE($I1577," ",""),LEN($F1577)+1)=$F1577&amp;"-",LEN(SUBSTITUTE($I1577," ",""))&gt;LEN($F1577)+1),"OK","Comment required"),"OK")))</f>
      </c>
    </row>
    <row r="1578" spans="1:10" x14ac:dyDescent="0.25">
      <c r="A1578" s="1"/>
      <c r="B1578" s="20"/>
      <c r="C1578" s="1"/>
      <c r="D1578" s="1"/>
      <c r="E1578" s="1"/>
      <c r="F1578" s="1"/>
      <c r="G1578" s="1"/>
      <c r="H1578" s="1"/>
      <c r="I1578" s="1"/>
      <c r="J1578" s="1">
        <f>IF($F1578="","",IF($H1578="","Not rated",IF(OR($H1578=Lists!$B$3,$H1578=Lists!$B$5),IF(AND(LEFT(SUBSTITUTE($I1578," ",""),LEN($F1578)+1)=$F1578&amp;"-",LEN(SUBSTITUTE($I1578," ",""))&gt;LEN($F1578)+1),"OK","Comment required"),"OK")))</f>
      </c>
    </row>
    <row r="1579" spans="1:10" x14ac:dyDescent="0.25">
      <c r="A1579" s="1"/>
      <c r="B1579" s="20"/>
      <c r="C1579" s="1"/>
      <c r="D1579" s="1"/>
      <c r="E1579" s="1"/>
      <c r="F1579" s="1"/>
      <c r="G1579" s="1"/>
      <c r="H1579" s="1"/>
      <c r="I1579" s="1"/>
      <c r="J1579" s="1">
        <f>IF($F1579="","",IF($H1579="","Not rated",IF(OR($H1579=Lists!$B$3,$H1579=Lists!$B$5),IF(AND(LEFT(SUBSTITUTE($I1579," ",""),LEN($F1579)+1)=$F1579&amp;"-",LEN(SUBSTITUTE($I1579," ",""))&gt;LEN($F1579)+1),"OK","Comment required"),"OK")))</f>
      </c>
    </row>
    <row r="1580" spans="1:10" x14ac:dyDescent="0.25">
      <c r="A1580" s="1"/>
      <c r="B1580" s="20"/>
      <c r="C1580" s="1"/>
      <c r="D1580" s="1"/>
      <c r="E1580" s="1"/>
      <c r="F1580" s="1"/>
      <c r="G1580" s="1"/>
      <c r="H1580" s="1"/>
      <c r="I1580" s="1"/>
      <c r="J1580" s="1">
        <f>IF($F1580="","",IF($H1580="","Not rated",IF(OR($H1580=Lists!$B$3,$H1580=Lists!$B$5),IF(AND(LEFT(SUBSTITUTE($I1580," ",""),LEN($F1580)+1)=$F1580&amp;"-",LEN(SUBSTITUTE($I1580," ",""))&gt;LEN($F1580)+1),"OK","Comment required"),"OK")))</f>
      </c>
    </row>
    <row r="1581" spans="1:10" x14ac:dyDescent="0.25">
      <c r="A1581" s="1"/>
      <c r="B1581" s="20"/>
      <c r="C1581" s="1"/>
      <c r="D1581" s="1"/>
      <c r="E1581" s="1"/>
      <c r="F1581" s="1"/>
      <c r="G1581" s="1"/>
      <c r="H1581" s="1"/>
      <c r="I1581" s="1"/>
      <c r="J1581" s="1">
        <f>IF($F1581="","",IF($H1581="","Not rated",IF(OR($H1581=Lists!$B$3,$H1581=Lists!$B$5),IF(AND(LEFT(SUBSTITUTE($I1581," ",""),LEN($F1581)+1)=$F1581&amp;"-",LEN(SUBSTITUTE($I1581," ",""))&gt;LEN($F1581)+1),"OK","Comment required"),"OK")))</f>
      </c>
    </row>
    <row r="1582" spans="1:10" x14ac:dyDescent="0.25">
      <c r="A1582" s="1"/>
      <c r="B1582" s="20"/>
      <c r="C1582" s="1"/>
      <c r="D1582" s="1"/>
      <c r="E1582" s="1"/>
      <c r="F1582" s="1"/>
      <c r="G1582" s="1"/>
      <c r="H1582" s="1"/>
      <c r="I1582" s="1"/>
      <c r="J1582" s="1">
        <f>IF($F1582="","",IF($H1582="","Not rated",IF(OR($H1582=Lists!$B$3,$H1582=Lists!$B$5),IF(AND(LEFT(SUBSTITUTE($I1582," ",""),LEN($F1582)+1)=$F1582&amp;"-",LEN(SUBSTITUTE($I1582," ",""))&gt;LEN($F1582)+1),"OK","Comment required"),"OK")))</f>
      </c>
    </row>
    <row r="1583" spans="1:10" x14ac:dyDescent="0.25">
      <c r="A1583" s="1"/>
      <c r="B1583" s="20"/>
      <c r="C1583" s="1"/>
      <c r="D1583" s="1"/>
      <c r="E1583" s="1"/>
      <c r="F1583" s="1"/>
      <c r="G1583" s="1"/>
      <c r="H1583" s="1"/>
      <c r="I1583" s="1"/>
      <c r="J1583" s="1">
        <f>IF($F1583="","",IF($H1583="","Not rated",IF(OR($H1583=Lists!$B$3,$H1583=Lists!$B$5),IF(AND(LEFT(SUBSTITUTE($I1583," ",""),LEN($F1583)+1)=$F1583&amp;"-",LEN(SUBSTITUTE($I1583," ",""))&gt;LEN($F1583)+1),"OK","Comment required"),"OK")))</f>
      </c>
    </row>
    <row r="1584" spans="1:10" x14ac:dyDescent="0.25">
      <c r="A1584" s="1"/>
      <c r="B1584" s="20"/>
      <c r="C1584" s="1"/>
      <c r="D1584" s="1"/>
      <c r="E1584" s="1"/>
      <c r="F1584" s="1"/>
      <c r="G1584" s="1"/>
      <c r="H1584" s="1"/>
      <c r="I1584" s="1"/>
      <c r="J1584" s="1">
        <f>IF($F1584="","",IF($H1584="","Not rated",IF(OR($H1584=Lists!$B$3,$H1584=Lists!$B$5),IF(AND(LEFT(SUBSTITUTE($I1584," ",""),LEN($F1584)+1)=$F1584&amp;"-",LEN(SUBSTITUTE($I1584," ",""))&gt;LEN($F1584)+1),"OK","Comment required"),"OK")))</f>
      </c>
    </row>
    <row r="1585" spans="1:10" x14ac:dyDescent="0.25">
      <c r="A1585" s="1"/>
      <c r="B1585" s="20"/>
      <c r="C1585" s="1"/>
      <c r="D1585" s="1"/>
      <c r="E1585" s="1"/>
      <c r="F1585" s="1"/>
      <c r="G1585" s="1"/>
      <c r="H1585" s="1"/>
      <c r="I1585" s="1"/>
      <c r="J1585" s="1">
        <f>IF($F1585="","",IF($H1585="","Not rated",IF(OR($H1585=Lists!$B$3,$H1585=Lists!$B$5),IF(AND(LEFT(SUBSTITUTE($I1585," ",""),LEN($F1585)+1)=$F1585&amp;"-",LEN(SUBSTITUTE($I1585," ",""))&gt;LEN($F1585)+1),"OK","Comment required"),"OK")))</f>
      </c>
    </row>
    <row r="1586" spans="1:10" x14ac:dyDescent="0.25">
      <c r="A1586" s="1"/>
      <c r="B1586" s="20"/>
      <c r="C1586" s="1"/>
      <c r="D1586" s="1"/>
      <c r="E1586" s="1"/>
      <c r="F1586" s="1"/>
      <c r="G1586" s="1"/>
      <c r="H1586" s="1"/>
      <c r="I1586" s="1"/>
      <c r="J1586" s="1">
        <f>IF($F1586="","",IF($H1586="","Not rated",IF(OR($H1586=Lists!$B$3,$H1586=Lists!$B$5),IF(AND(LEFT(SUBSTITUTE($I1586," ",""),LEN($F1586)+1)=$F1586&amp;"-",LEN(SUBSTITUTE($I1586," ",""))&gt;LEN($F1586)+1),"OK","Comment required"),"OK")))</f>
      </c>
    </row>
    <row r="1587" spans="1:10" x14ac:dyDescent="0.25">
      <c r="A1587" s="1"/>
      <c r="B1587" s="20"/>
      <c r="C1587" s="1"/>
      <c r="D1587" s="1"/>
      <c r="E1587" s="1"/>
      <c r="F1587" s="1"/>
      <c r="G1587" s="1"/>
      <c r="H1587" s="1"/>
      <c r="I1587" s="1"/>
      <c r="J1587" s="1">
        <f>IF($F1587="","",IF($H1587="","Not rated",IF(OR($H1587=Lists!$B$3,$H1587=Lists!$B$5),IF(AND(LEFT(SUBSTITUTE($I1587," ",""),LEN($F1587)+1)=$F1587&amp;"-",LEN(SUBSTITUTE($I1587," ",""))&gt;LEN($F1587)+1),"OK","Comment required"),"OK")))</f>
      </c>
    </row>
    <row r="1588" spans="1:10" x14ac:dyDescent="0.25">
      <c r="A1588" s="1"/>
      <c r="B1588" s="20"/>
      <c r="C1588" s="1"/>
      <c r="D1588" s="1"/>
      <c r="E1588" s="1"/>
      <c r="F1588" s="1"/>
      <c r="G1588" s="1"/>
      <c r="H1588" s="1"/>
      <c r="I1588" s="1"/>
      <c r="J1588" s="1">
        <f>IF($F1588="","",IF($H1588="","Not rated",IF(OR($H1588=Lists!$B$3,$H1588=Lists!$B$5),IF(AND(LEFT(SUBSTITUTE($I1588," ",""),LEN($F1588)+1)=$F1588&amp;"-",LEN(SUBSTITUTE($I1588," ",""))&gt;LEN($F1588)+1),"OK","Comment required"),"OK")))</f>
      </c>
    </row>
    <row r="1589" spans="1:10" x14ac:dyDescent="0.25">
      <c r="A1589" s="1"/>
      <c r="B1589" s="20"/>
      <c r="C1589" s="1"/>
      <c r="D1589" s="1"/>
      <c r="E1589" s="1"/>
      <c r="F1589" s="1"/>
      <c r="G1589" s="1"/>
      <c r="H1589" s="1"/>
      <c r="I1589" s="1"/>
      <c r="J1589" s="1">
        <f>IF($F1589="","",IF($H1589="","Not rated",IF(OR($H1589=Lists!$B$3,$H1589=Lists!$B$5),IF(AND(LEFT(SUBSTITUTE($I1589," ",""),LEN($F1589)+1)=$F1589&amp;"-",LEN(SUBSTITUTE($I1589," ",""))&gt;LEN($F1589)+1),"OK","Comment required"),"OK")))</f>
      </c>
    </row>
    <row r="1590" spans="1:10" x14ac:dyDescent="0.25">
      <c r="A1590" s="1"/>
      <c r="B1590" s="20"/>
      <c r="C1590" s="1"/>
      <c r="D1590" s="1"/>
      <c r="E1590" s="1"/>
      <c r="F1590" s="1"/>
      <c r="G1590" s="1"/>
      <c r="H1590" s="1"/>
      <c r="I1590" s="1"/>
      <c r="J1590" s="1">
        <f>IF($F1590="","",IF($H1590="","Not rated",IF(OR($H1590=Lists!$B$3,$H1590=Lists!$B$5),IF(AND(LEFT(SUBSTITUTE($I1590," ",""),LEN($F1590)+1)=$F1590&amp;"-",LEN(SUBSTITUTE($I1590," ",""))&gt;LEN($F1590)+1),"OK","Comment required"),"OK")))</f>
      </c>
    </row>
    <row r="1591" spans="1:10" x14ac:dyDescent="0.25">
      <c r="A1591" s="1"/>
      <c r="B1591" s="20"/>
      <c r="C1591" s="1"/>
      <c r="D1591" s="1"/>
      <c r="E1591" s="1"/>
      <c r="F1591" s="1"/>
      <c r="G1591" s="1"/>
      <c r="H1591" s="1"/>
      <c r="I1591" s="1"/>
      <c r="J1591" s="1">
        <f>IF($F1591="","",IF($H1591="","Not rated",IF(OR($H1591=Lists!$B$3,$H1591=Lists!$B$5),IF(AND(LEFT(SUBSTITUTE($I1591," ",""),LEN($F1591)+1)=$F1591&amp;"-",LEN(SUBSTITUTE($I1591," ",""))&gt;LEN($F1591)+1),"OK","Comment required"),"OK")))</f>
      </c>
    </row>
    <row r="1592" spans="1:10" x14ac:dyDescent="0.25">
      <c r="A1592" s="1"/>
      <c r="B1592" s="20"/>
      <c r="C1592" s="1"/>
      <c r="D1592" s="1"/>
      <c r="E1592" s="1"/>
      <c r="F1592" s="1"/>
      <c r="G1592" s="1"/>
      <c r="H1592" s="1"/>
      <c r="I1592" s="1"/>
      <c r="J1592" s="1">
        <f>IF($F1592="","",IF($H1592="","Not rated",IF(OR($H1592=Lists!$B$3,$H1592=Lists!$B$5),IF(AND(LEFT(SUBSTITUTE($I1592," ",""),LEN($F1592)+1)=$F1592&amp;"-",LEN(SUBSTITUTE($I1592," ",""))&gt;LEN($F1592)+1),"OK","Comment required"),"OK")))</f>
      </c>
    </row>
    <row r="1593" spans="1:10" x14ac:dyDescent="0.25">
      <c r="A1593" s="1"/>
      <c r="B1593" s="20"/>
      <c r="C1593" s="1"/>
      <c r="D1593" s="1"/>
      <c r="E1593" s="1"/>
      <c r="F1593" s="1"/>
      <c r="G1593" s="1"/>
      <c r="H1593" s="1"/>
      <c r="I1593" s="1"/>
      <c r="J1593" s="1">
        <f>IF($F1593="","",IF($H1593="","Not rated",IF(OR($H1593=Lists!$B$3,$H1593=Lists!$B$5),IF(AND(LEFT(SUBSTITUTE($I1593," ",""),LEN($F1593)+1)=$F1593&amp;"-",LEN(SUBSTITUTE($I1593," ",""))&gt;LEN($F1593)+1),"OK","Comment required"),"OK")))</f>
      </c>
    </row>
    <row r="1594" spans="1:10" x14ac:dyDescent="0.25">
      <c r="A1594" s="1"/>
      <c r="B1594" s="20"/>
      <c r="C1594" s="1"/>
      <c r="D1594" s="1"/>
      <c r="E1594" s="1"/>
      <c r="F1594" s="1"/>
      <c r="G1594" s="1"/>
      <c r="H1594" s="1"/>
      <c r="I1594" s="1"/>
      <c r="J1594" s="1">
        <f>IF($F1594="","",IF($H1594="","Not rated",IF(OR($H1594=Lists!$B$3,$H1594=Lists!$B$5),IF(AND(LEFT(SUBSTITUTE($I1594," ",""),LEN($F1594)+1)=$F1594&amp;"-",LEN(SUBSTITUTE($I1594," ",""))&gt;LEN($F1594)+1),"OK","Comment required"),"OK")))</f>
      </c>
    </row>
    <row r="1595" spans="1:10" x14ac:dyDescent="0.25">
      <c r="A1595" s="1"/>
      <c r="B1595" s="20"/>
      <c r="C1595" s="1"/>
      <c r="D1595" s="1"/>
      <c r="E1595" s="1"/>
      <c r="F1595" s="1"/>
      <c r="G1595" s="1"/>
      <c r="H1595" s="1"/>
      <c r="I1595" s="1"/>
      <c r="J1595" s="1">
        <f>IF($F1595="","",IF($H1595="","Not rated",IF(OR($H1595=Lists!$B$3,$H1595=Lists!$B$5),IF(AND(LEFT(SUBSTITUTE($I1595," ",""),LEN($F1595)+1)=$F1595&amp;"-",LEN(SUBSTITUTE($I1595," ",""))&gt;LEN($F1595)+1),"OK","Comment required"),"OK")))</f>
      </c>
    </row>
    <row r="1596" spans="1:10" x14ac:dyDescent="0.25">
      <c r="A1596" s="1"/>
      <c r="B1596" s="20"/>
      <c r="C1596" s="1"/>
      <c r="D1596" s="1"/>
      <c r="E1596" s="1"/>
      <c r="F1596" s="1"/>
      <c r="G1596" s="1"/>
      <c r="H1596" s="1"/>
      <c r="I1596" s="1"/>
      <c r="J1596" s="1">
        <f>IF($F1596="","",IF($H1596="","Not rated",IF(OR($H1596=Lists!$B$3,$H1596=Lists!$B$5),IF(AND(LEFT(SUBSTITUTE($I1596," ",""),LEN($F1596)+1)=$F1596&amp;"-",LEN(SUBSTITUTE($I1596," ",""))&gt;LEN($F1596)+1),"OK","Comment required"),"OK")))</f>
      </c>
    </row>
    <row r="1597" spans="1:10" x14ac:dyDescent="0.25">
      <c r="A1597" s="1"/>
      <c r="B1597" s="20"/>
      <c r="C1597" s="1"/>
      <c r="D1597" s="1"/>
      <c r="E1597" s="1"/>
      <c r="F1597" s="1"/>
      <c r="G1597" s="1"/>
      <c r="H1597" s="1"/>
      <c r="I1597" s="1"/>
      <c r="J1597" s="1">
        <f>IF($F1597="","",IF($H1597="","Not rated",IF(OR($H1597=Lists!$B$3,$H1597=Lists!$B$5),IF(AND(LEFT(SUBSTITUTE($I1597," ",""),LEN($F1597)+1)=$F1597&amp;"-",LEN(SUBSTITUTE($I1597," ",""))&gt;LEN($F1597)+1),"OK","Comment required"),"OK")))</f>
      </c>
    </row>
    <row r="1598" spans="1:10" x14ac:dyDescent="0.25">
      <c r="A1598" s="1"/>
      <c r="B1598" s="20"/>
      <c r="C1598" s="1"/>
      <c r="D1598" s="1"/>
      <c r="E1598" s="1"/>
      <c r="F1598" s="1"/>
      <c r="G1598" s="1"/>
      <c r="H1598" s="1"/>
      <c r="I1598" s="1"/>
      <c r="J1598" s="1">
        <f>IF($F1598="","",IF($H1598="","Not rated",IF(OR($H1598=Lists!$B$3,$H1598=Lists!$B$5),IF(AND(LEFT(SUBSTITUTE($I1598," ",""),LEN($F1598)+1)=$F1598&amp;"-",LEN(SUBSTITUTE($I1598," ",""))&gt;LEN($F1598)+1),"OK","Comment required"),"OK")))</f>
      </c>
    </row>
    <row r="1599" spans="1:10" x14ac:dyDescent="0.25">
      <c r="A1599" s="1"/>
      <c r="B1599" s="20"/>
      <c r="C1599" s="1"/>
      <c r="D1599" s="1"/>
      <c r="E1599" s="1"/>
      <c r="F1599" s="1"/>
      <c r="G1599" s="1"/>
      <c r="H1599" s="1"/>
      <c r="I1599" s="1"/>
      <c r="J1599" s="1">
        <f>IF($F1599="","",IF($H1599="","Not rated",IF(OR($H1599=Lists!$B$3,$H1599=Lists!$B$5),IF(AND(LEFT(SUBSTITUTE($I1599," ",""),LEN($F1599)+1)=$F1599&amp;"-",LEN(SUBSTITUTE($I1599," ",""))&gt;LEN($F1599)+1),"OK","Comment required"),"OK")))</f>
      </c>
    </row>
    <row r="1600" spans="1:10" x14ac:dyDescent="0.25">
      <c r="A1600" s="1"/>
      <c r="B1600" s="20"/>
      <c r="C1600" s="1"/>
      <c r="D1600" s="1"/>
      <c r="E1600" s="1"/>
      <c r="F1600" s="1"/>
      <c r="G1600" s="1"/>
      <c r="H1600" s="1"/>
      <c r="I1600" s="1"/>
      <c r="J1600" s="1">
        <f>IF($F1600="","",IF($H1600="","Not rated",IF(OR($H1600=Lists!$B$3,$H1600=Lists!$B$5),IF(AND(LEFT(SUBSTITUTE($I1600," ",""),LEN($F1600)+1)=$F1600&amp;"-",LEN(SUBSTITUTE($I1600," ",""))&gt;LEN($F1600)+1),"OK","Comment required"),"OK")))</f>
      </c>
    </row>
    <row r="1601" spans="1:10" x14ac:dyDescent="0.25">
      <c r="A1601" s="1"/>
      <c r="B1601" s="20"/>
      <c r="C1601" s="1"/>
      <c r="D1601" s="1"/>
      <c r="E1601" s="1"/>
      <c r="F1601" s="1"/>
      <c r="G1601" s="1"/>
      <c r="H1601" s="1"/>
      <c r="I1601" s="1"/>
      <c r="J1601" s="1">
        <f>IF($F1601="","",IF($H1601="","Not rated",IF(OR($H1601=Lists!$B$3,$H1601=Lists!$B$5),IF(AND(LEFT(SUBSTITUTE($I1601," ",""),LEN($F1601)+1)=$F1601&amp;"-",LEN(SUBSTITUTE($I1601," ",""))&gt;LEN($F1601)+1),"OK","Comment required"),"OK")))</f>
      </c>
    </row>
    <row r="1602" spans="1:10" x14ac:dyDescent="0.25">
      <c r="A1602" s="1"/>
      <c r="B1602" s="20"/>
      <c r="C1602" s="1"/>
      <c r="D1602" s="1"/>
      <c r="E1602" s="1"/>
      <c r="F1602" s="1"/>
      <c r="G1602" s="1"/>
      <c r="H1602" s="1"/>
      <c r="I1602" s="1"/>
      <c r="J1602" s="1">
        <f>IF($F1602="","",IF($H1602="","Not rated",IF(OR($H1602=Lists!$B$3,$H1602=Lists!$B$5),IF(AND(LEFT(SUBSTITUTE($I1602," ",""),LEN($F1602)+1)=$F1602&amp;"-",LEN(SUBSTITUTE($I1602," ",""))&gt;LEN($F1602)+1),"OK","Comment required"),"OK")))</f>
      </c>
    </row>
    <row r="1603" spans="1:10" x14ac:dyDescent="0.25">
      <c r="A1603" s="1"/>
      <c r="B1603" s="20"/>
      <c r="C1603" s="1"/>
      <c r="D1603" s="1"/>
      <c r="E1603" s="1"/>
      <c r="F1603" s="1"/>
      <c r="G1603" s="1"/>
      <c r="H1603" s="1"/>
      <c r="I1603" s="1"/>
      <c r="J1603" s="1">
        <f>IF($F1603="","",IF($H1603="","Not rated",IF(OR($H1603=Lists!$B$3,$H1603=Lists!$B$5),IF(AND(LEFT(SUBSTITUTE($I1603," ",""),LEN($F1603)+1)=$F1603&amp;"-",LEN(SUBSTITUTE($I1603," ",""))&gt;LEN($F1603)+1),"OK","Comment required"),"OK")))</f>
      </c>
    </row>
    <row r="1604" spans="1:10" x14ac:dyDescent="0.25">
      <c r="A1604" s="1"/>
      <c r="B1604" s="20"/>
      <c r="C1604" s="1"/>
      <c r="D1604" s="1"/>
      <c r="E1604" s="1"/>
      <c r="F1604" s="1"/>
      <c r="G1604" s="1"/>
      <c r="H1604" s="1"/>
      <c r="I1604" s="1"/>
      <c r="J1604" s="1">
        <f>IF($F1604="","",IF($H1604="","Not rated",IF(OR($H1604=Lists!$B$3,$H1604=Lists!$B$5),IF(AND(LEFT(SUBSTITUTE($I1604," ",""),LEN($F1604)+1)=$F1604&amp;"-",LEN(SUBSTITUTE($I1604," ",""))&gt;LEN($F1604)+1),"OK","Comment required"),"OK")))</f>
      </c>
    </row>
    <row r="1605" spans="1:10" x14ac:dyDescent="0.25">
      <c r="A1605" s="1"/>
      <c r="B1605" s="20"/>
      <c r="C1605" s="1"/>
      <c r="D1605" s="1"/>
      <c r="E1605" s="1"/>
      <c r="F1605" s="1"/>
      <c r="G1605" s="1"/>
      <c r="H1605" s="1"/>
      <c r="I1605" s="1"/>
      <c r="J1605" s="1">
        <f>IF($F1605="","",IF($H1605="","Not rated",IF(OR($H1605=Lists!$B$3,$H1605=Lists!$B$5),IF(AND(LEFT(SUBSTITUTE($I1605," ",""),LEN($F1605)+1)=$F1605&amp;"-",LEN(SUBSTITUTE($I1605," ",""))&gt;LEN($F1605)+1),"OK","Comment required"),"OK")))</f>
      </c>
    </row>
    <row r="1606" spans="1:10" x14ac:dyDescent="0.25">
      <c r="A1606" s="1"/>
      <c r="B1606" s="20"/>
      <c r="C1606" s="1"/>
      <c r="D1606" s="1"/>
      <c r="E1606" s="1"/>
      <c r="F1606" s="1"/>
      <c r="G1606" s="1"/>
      <c r="H1606" s="1"/>
      <c r="I1606" s="1"/>
      <c r="J1606" s="1">
        <f>IF($F1606="","",IF($H1606="","Not rated",IF(OR($H1606=Lists!$B$3,$H1606=Lists!$B$5),IF(AND(LEFT(SUBSTITUTE($I1606," ",""),LEN($F1606)+1)=$F1606&amp;"-",LEN(SUBSTITUTE($I1606," ",""))&gt;LEN($F1606)+1),"OK","Comment required"),"OK")))</f>
      </c>
    </row>
    <row r="1607" spans="1:10" x14ac:dyDescent="0.25">
      <c r="A1607" s="1"/>
      <c r="B1607" s="20"/>
      <c r="C1607" s="1"/>
      <c r="D1607" s="1"/>
      <c r="E1607" s="1"/>
      <c r="F1607" s="1"/>
      <c r="G1607" s="1"/>
      <c r="H1607" s="1"/>
      <c r="I1607" s="1"/>
      <c r="J1607" s="1">
        <f>IF($F1607="","",IF($H1607="","Not rated",IF(OR($H1607=Lists!$B$3,$H1607=Lists!$B$5),IF(AND(LEFT(SUBSTITUTE($I1607," ",""),LEN($F1607)+1)=$F1607&amp;"-",LEN(SUBSTITUTE($I1607," ",""))&gt;LEN($F1607)+1),"OK","Comment required"),"OK")))</f>
      </c>
    </row>
    <row r="1608" spans="1:10" x14ac:dyDescent="0.25">
      <c r="A1608" s="1"/>
      <c r="B1608" s="20"/>
      <c r="C1608" s="1"/>
      <c r="D1608" s="1"/>
      <c r="E1608" s="1"/>
      <c r="F1608" s="1"/>
      <c r="G1608" s="1"/>
      <c r="H1608" s="1"/>
      <c r="I1608" s="1"/>
      <c r="J1608" s="1">
        <f>IF($F1608="","",IF($H1608="","Not rated",IF(OR($H1608=Lists!$B$3,$H1608=Lists!$B$5),IF(AND(LEFT(SUBSTITUTE($I1608," ",""),LEN($F1608)+1)=$F1608&amp;"-",LEN(SUBSTITUTE($I1608," ",""))&gt;LEN($F1608)+1),"OK","Comment required"),"OK")))</f>
      </c>
    </row>
    <row r="1609" spans="1:10" x14ac:dyDescent="0.25">
      <c r="A1609" s="1"/>
      <c r="B1609" s="20"/>
      <c r="C1609" s="1"/>
      <c r="D1609" s="1"/>
      <c r="E1609" s="1"/>
      <c r="F1609" s="1"/>
      <c r="G1609" s="1"/>
      <c r="H1609" s="1"/>
      <c r="I1609" s="1"/>
      <c r="J1609" s="1">
        <f>IF($F1609="","",IF($H1609="","Not rated",IF(OR($H1609=Lists!$B$3,$H1609=Lists!$B$5),IF(AND(LEFT(SUBSTITUTE($I1609," ",""),LEN($F1609)+1)=$F1609&amp;"-",LEN(SUBSTITUTE($I1609," ",""))&gt;LEN($F1609)+1),"OK","Comment required"),"OK")))</f>
      </c>
    </row>
    <row r="1610" spans="1:10" x14ac:dyDescent="0.25">
      <c r="A1610" s="1"/>
      <c r="B1610" s="20"/>
      <c r="C1610" s="1"/>
      <c r="D1610" s="1"/>
      <c r="E1610" s="1"/>
      <c r="F1610" s="1"/>
      <c r="G1610" s="1"/>
      <c r="H1610" s="1"/>
      <c r="I1610" s="1"/>
      <c r="J1610" s="1">
        <f>IF($F1610="","",IF($H1610="","Not rated",IF(OR($H1610=Lists!$B$3,$H1610=Lists!$B$5),IF(AND(LEFT(SUBSTITUTE($I1610," ",""),LEN($F1610)+1)=$F1610&amp;"-",LEN(SUBSTITUTE($I1610," ",""))&gt;LEN($F1610)+1),"OK","Comment required"),"OK")))</f>
      </c>
    </row>
    <row r="1611" spans="1:10" x14ac:dyDescent="0.25">
      <c r="A1611" s="1"/>
      <c r="B1611" s="20"/>
      <c r="C1611" s="1"/>
      <c r="D1611" s="1"/>
      <c r="E1611" s="1"/>
      <c r="F1611" s="1"/>
      <c r="G1611" s="1"/>
      <c r="H1611" s="1"/>
      <c r="I1611" s="1"/>
      <c r="J1611" s="1">
        <f>IF($F1611="","",IF($H1611="","Not rated",IF(OR($H1611=Lists!$B$3,$H1611=Lists!$B$5),IF(AND(LEFT(SUBSTITUTE($I1611," ",""),LEN($F1611)+1)=$F1611&amp;"-",LEN(SUBSTITUTE($I1611," ",""))&gt;LEN($F1611)+1),"OK","Comment required"),"OK")))</f>
      </c>
    </row>
    <row r="1612" spans="1:10" x14ac:dyDescent="0.25">
      <c r="A1612" s="1"/>
      <c r="B1612" s="20"/>
      <c r="C1612" s="1"/>
      <c r="D1612" s="1"/>
      <c r="E1612" s="1"/>
      <c r="F1612" s="1"/>
      <c r="G1612" s="1"/>
      <c r="H1612" s="1"/>
      <c r="I1612" s="1"/>
      <c r="J1612" s="1">
        <f>IF($F1612="","",IF($H1612="","Not rated",IF(OR($H1612=Lists!$B$3,$H1612=Lists!$B$5),IF(AND(LEFT(SUBSTITUTE($I1612," ",""),LEN($F1612)+1)=$F1612&amp;"-",LEN(SUBSTITUTE($I1612," ",""))&gt;LEN($F1612)+1),"OK","Comment required"),"OK")))</f>
      </c>
    </row>
    <row r="1613" spans="1:10" x14ac:dyDescent="0.25">
      <c r="A1613" s="1"/>
      <c r="B1613" s="20"/>
      <c r="C1613" s="1"/>
      <c r="D1613" s="1"/>
      <c r="E1613" s="1"/>
      <c r="F1613" s="1"/>
      <c r="G1613" s="1"/>
      <c r="H1613" s="1"/>
      <c r="I1613" s="1"/>
      <c r="J1613" s="1">
        <f>IF($F1613="","",IF($H1613="","Not rated",IF(OR($H1613=Lists!$B$3,$H1613=Lists!$B$5),IF(AND(LEFT(SUBSTITUTE($I1613," ",""),LEN($F1613)+1)=$F1613&amp;"-",LEN(SUBSTITUTE($I1613," ",""))&gt;LEN($F1613)+1),"OK","Comment required"),"OK")))</f>
      </c>
    </row>
    <row r="1614" spans="1:10" x14ac:dyDescent="0.25">
      <c r="A1614" s="1"/>
      <c r="B1614" s="20"/>
      <c r="C1614" s="1"/>
      <c r="D1614" s="1"/>
      <c r="E1614" s="1"/>
      <c r="F1614" s="1"/>
      <c r="G1614" s="1"/>
      <c r="H1614" s="1"/>
      <c r="I1614" s="1"/>
      <c r="J1614" s="1">
        <f>IF($F1614="","",IF($H1614="","Not rated",IF(OR($H1614=Lists!$B$3,$H1614=Lists!$B$5),IF(AND(LEFT(SUBSTITUTE($I1614," ",""),LEN($F1614)+1)=$F1614&amp;"-",LEN(SUBSTITUTE($I1614," ",""))&gt;LEN($F1614)+1),"OK","Comment required"),"OK")))</f>
      </c>
    </row>
    <row r="1615" spans="1:10" x14ac:dyDescent="0.25">
      <c r="A1615" s="1"/>
      <c r="B1615" s="20"/>
      <c r="C1615" s="1"/>
      <c r="D1615" s="1"/>
      <c r="E1615" s="1"/>
      <c r="F1615" s="1"/>
      <c r="G1615" s="1"/>
      <c r="H1615" s="1"/>
      <c r="I1615" s="1"/>
      <c r="J1615" s="1">
        <f>IF($F1615="","",IF($H1615="","Not rated",IF(OR($H1615=Lists!$B$3,$H1615=Lists!$B$5),IF(AND(LEFT(SUBSTITUTE($I1615," ",""),LEN($F1615)+1)=$F1615&amp;"-",LEN(SUBSTITUTE($I1615," ",""))&gt;LEN($F1615)+1),"OK","Comment required"),"OK")))</f>
      </c>
    </row>
    <row r="1616" spans="1:10" x14ac:dyDescent="0.25">
      <c r="A1616" s="1"/>
      <c r="B1616" s="20"/>
      <c r="C1616" s="1"/>
      <c r="D1616" s="1"/>
      <c r="E1616" s="1"/>
      <c r="F1616" s="1"/>
      <c r="G1616" s="1"/>
      <c r="H1616" s="1"/>
      <c r="I1616" s="1"/>
      <c r="J1616" s="1">
        <f>IF($F1616="","",IF($H1616="","Not rated",IF(OR($H1616=Lists!$B$3,$H1616=Lists!$B$5),IF(AND(LEFT(SUBSTITUTE($I1616," ",""),LEN($F1616)+1)=$F1616&amp;"-",LEN(SUBSTITUTE($I1616," ",""))&gt;LEN($F1616)+1),"OK","Comment required"),"OK")))</f>
      </c>
    </row>
    <row r="1617" spans="1:10" x14ac:dyDescent="0.25">
      <c r="A1617" s="1"/>
      <c r="B1617" s="20"/>
      <c r="C1617" s="1"/>
      <c r="D1617" s="1"/>
      <c r="E1617" s="1"/>
      <c r="F1617" s="1"/>
      <c r="G1617" s="1"/>
      <c r="H1617" s="1"/>
      <c r="I1617" s="1"/>
      <c r="J1617" s="1">
        <f>IF($F1617="","",IF($H1617="","Not rated",IF(OR($H1617=Lists!$B$3,$H1617=Lists!$B$5),IF(AND(LEFT(SUBSTITUTE($I1617," ",""),LEN($F1617)+1)=$F1617&amp;"-",LEN(SUBSTITUTE($I1617," ",""))&gt;LEN($F1617)+1),"OK","Comment required"),"OK")))</f>
      </c>
    </row>
    <row r="1618" spans="1:10" x14ac:dyDescent="0.25">
      <c r="A1618" s="1"/>
      <c r="B1618" s="20"/>
      <c r="C1618" s="1"/>
      <c r="D1618" s="1"/>
      <c r="E1618" s="1"/>
      <c r="F1618" s="1"/>
      <c r="G1618" s="1"/>
      <c r="H1618" s="1"/>
      <c r="I1618" s="1"/>
      <c r="J1618" s="1">
        <f>IF($F1618="","",IF($H1618="","Not rated",IF(OR($H1618=Lists!$B$3,$H1618=Lists!$B$5),IF(AND(LEFT(SUBSTITUTE($I1618," ",""),LEN($F1618)+1)=$F1618&amp;"-",LEN(SUBSTITUTE($I1618," ",""))&gt;LEN($F1618)+1),"OK","Comment required"),"OK")))</f>
      </c>
    </row>
    <row r="1619" spans="1:10" x14ac:dyDescent="0.25">
      <c r="A1619" s="1"/>
      <c r="B1619" s="20"/>
      <c r="C1619" s="1"/>
      <c r="D1619" s="1"/>
      <c r="E1619" s="1"/>
      <c r="F1619" s="1"/>
      <c r="G1619" s="1"/>
      <c r="H1619" s="1"/>
      <c r="I1619" s="1"/>
      <c r="J1619" s="1">
        <f>IF($F1619="","",IF($H1619="","Not rated",IF(OR($H1619=Lists!$B$3,$H1619=Lists!$B$5),IF(AND(LEFT(SUBSTITUTE($I1619," ",""),LEN($F1619)+1)=$F1619&amp;"-",LEN(SUBSTITUTE($I1619," ",""))&gt;LEN($F1619)+1),"OK","Comment required"),"OK")))</f>
      </c>
    </row>
    <row r="1620" spans="1:10" x14ac:dyDescent="0.25">
      <c r="A1620" s="1"/>
      <c r="B1620" s="20"/>
      <c r="C1620" s="1"/>
      <c r="D1620" s="1"/>
      <c r="E1620" s="1"/>
      <c r="F1620" s="1"/>
      <c r="G1620" s="1"/>
      <c r="H1620" s="1"/>
      <c r="I1620" s="1"/>
      <c r="J1620" s="1">
        <f>IF($F1620="","",IF($H1620="","Not rated",IF(OR($H1620=Lists!$B$3,$H1620=Lists!$B$5),IF(AND(LEFT(SUBSTITUTE($I1620," ",""),LEN($F1620)+1)=$F1620&amp;"-",LEN(SUBSTITUTE($I1620," ",""))&gt;LEN($F1620)+1),"OK","Comment required"),"OK")))</f>
      </c>
    </row>
    <row r="1621" spans="1:10" x14ac:dyDescent="0.25">
      <c r="A1621" s="1"/>
      <c r="B1621" s="20"/>
      <c r="C1621" s="1"/>
      <c r="D1621" s="1"/>
      <c r="E1621" s="1"/>
      <c r="F1621" s="1"/>
      <c r="G1621" s="1"/>
      <c r="H1621" s="1"/>
      <c r="I1621" s="1"/>
      <c r="J1621" s="1">
        <f>IF($F1621="","",IF($H1621="","Not rated",IF(OR($H1621=Lists!$B$3,$H1621=Lists!$B$5),IF(AND(LEFT(SUBSTITUTE($I1621," ",""),LEN($F1621)+1)=$F1621&amp;"-",LEN(SUBSTITUTE($I1621," ",""))&gt;LEN($F1621)+1),"OK","Comment required"),"OK")))</f>
      </c>
    </row>
    <row r="1622" spans="1:10" x14ac:dyDescent="0.25">
      <c r="A1622" s="1"/>
      <c r="B1622" s="20"/>
      <c r="C1622" s="1"/>
      <c r="D1622" s="1"/>
      <c r="E1622" s="1"/>
      <c r="F1622" s="1"/>
      <c r="G1622" s="1"/>
      <c r="H1622" s="1"/>
      <c r="I1622" s="1"/>
      <c r="J1622" s="1">
        <f>IF($F1622="","",IF($H1622="","Not rated",IF(OR($H1622=Lists!$B$3,$H1622=Lists!$B$5),IF(AND(LEFT(SUBSTITUTE($I1622," ",""),LEN($F1622)+1)=$F1622&amp;"-",LEN(SUBSTITUTE($I1622," ",""))&gt;LEN($F1622)+1),"OK","Comment required"),"OK")))</f>
      </c>
    </row>
    <row r="1623" spans="1:10" x14ac:dyDescent="0.25">
      <c r="A1623" s="1"/>
      <c r="B1623" s="20"/>
      <c r="C1623" s="1"/>
      <c r="D1623" s="1"/>
      <c r="E1623" s="1"/>
      <c r="F1623" s="1"/>
      <c r="G1623" s="1"/>
      <c r="H1623" s="1"/>
      <c r="I1623" s="1"/>
      <c r="J1623" s="1">
        <f>IF($F1623="","",IF($H1623="","Not rated",IF(OR($H1623=Lists!$B$3,$H1623=Lists!$B$5),IF(AND(LEFT(SUBSTITUTE($I1623," ",""),LEN($F1623)+1)=$F1623&amp;"-",LEN(SUBSTITUTE($I1623," ",""))&gt;LEN($F1623)+1),"OK","Comment required"),"OK")))</f>
      </c>
    </row>
    <row r="1624" spans="1:10" x14ac:dyDescent="0.25">
      <c r="A1624" s="1"/>
      <c r="B1624" s="20"/>
      <c r="C1624" s="1"/>
      <c r="D1624" s="1"/>
      <c r="E1624" s="1"/>
      <c r="F1624" s="1"/>
      <c r="G1624" s="1"/>
      <c r="H1624" s="1"/>
      <c r="I1624" s="1"/>
      <c r="J1624" s="1">
        <f>IF($F1624="","",IF($H1624="","Not rated",IF(OR($H1624=Lists!$B$3,$H1624=Lists!$B$5),IF(AND(LEFT(SUBSTITUTE($I1624," ",""),LEN($F1624)+1)=$F1624&amp;"-",LEN(SUBSTITUTE($I1624," ",""))&gt;LEN($F1624)+1),"OK","Comment required"),"OK")))</f>
      </c>
    </row>
    <row r="1625" spans="1:10" x14ac:dyDescent="0.25">
      <c r="A1625" s="1"/>
      <c r="B1625" s="20"/>
      <c r="C1625" s="1"/>
      <c r="D1625" s="1"/>
      <c r="E1625" s="1"/>
      <c r="F1625" s="1"/>
      <c r="G1625" s="1"/>
      <c r="H1625" s="1"/>
      <c r="I1625" s="1"/>
      <c r="J1625" s="1">
        <f>IF($F1625="","",IF($H1625="","Not rated",IF(OR($H1625=Lists!$B$3,$H1625=Lists!$B$5),IF(AND(LEFT(SUBSTITUTE($I1625," ",""),LEN($F1625)+1)=$F1625&amp;"-",LEN(SUBSTITUTE($I1625," ",""))&gt;LEN($F1625)+1),"OK","Comment required"),"OK")))</f>
      </c>
    </row>
    <row r="1626" spans="1:10" x14ac:dyDescent="0.25">
      <c r="A1626" s="1"/>
      <c r="B1626" s="20"/>
      <c r="C1626" s="1"/>
      <c r="D1626" s="1"/>
      <c r="E1626" s="1"/>
      <c r="F1626" s="1"/>
      <c r="G1626" s="1"/>
      <c r="H1626" s="1"/>
      <c r="I1626" s="1"/>
      <c r="J1626" s="1">
        <f>IF($F1626="","",IF($H1626="","Not rated",IF(OR($H1626=Lists!$B$3,$H1626=Lists!$B$5),IF(AND(LEFT(SUBSTITUTE($I1626," ",""),LEN($F1626)+1)=$F1626&amp;"-",LEN(SUBSTITUTE($I1626," ",""))&gt;LEN($F1626)+1),"OK","Comment required"),"OK")))</f>
      </c>
    </row>
    <row r="1627" spans="1:10" x14ac:dyDescent="0.25">
      <c r="A1627" s="1"/>
      <c r="B1627" s="20"/>
      <c r="C1627" s="1"/>
      <c r="D1627" s="1"/>
      <c r="E1627" s="1"/>
      <c r="F1627" s="1"/>
      <c r="G1627" s="1"/>
      <c r="H1627" s="1"/>
      <c r="I1627" s="1"/>
      <c r="J1627" s="1">
        <f>IF($F1627="","",IF($H1627="","Not rated",IF(OR($H1627=Lists!$B$3,$H1627=Lists!$B$5),IF(AND(LEFT(SUBSTITUTE($I1627," ",""),LEN($F1627)+1)=$F1627&amp;"-",LEN(SUBSTITUTE($I1627," ",""))&gt;LEN($F1627)+1),"OK","Comment required"),"OK")))</f>
      </c>
    </row>
    <row r="1628" spans="1:10" x14ac:dyDescent="0.25">
      <c r="A1628" s="1"/>
      <c r="B1628" s="20"/>
      <c r="C1628" s="1"/>
      <c r="D1628" s="1"/>
      <c r="E1628" s="1"/>
      <c r="F1628" s="1"/>
      <c r="G1628" s="1"/>
      <c r="H1628" s="1"/>
      <c r="I1628" s="1"/>
      <c r="J1628" s="1">
        <f>IF($F1628="","",IF($H1628="","Not rated",IF(OR($H1628=Lists!$B$3,$H1628=Lists!$B$5),IF(AND(LEFT(SUBSTITUTE($I1628," ",""),LEN($F1628)+1)=$F1628&amp;"-",LEN(SUBSTITUTE($I1628," ",""))&gt;LEN($F1628)+1),"OK","Comment required"),"OK")))</f>
      </c>
    </row>
    <row r="1629" spans="1:10" x14ac:dyDescent="0.25">
      <c r="A1629" s="1"/>
      <c r="B1629" s="20"/>
      <c r="C1629" s="1"/>
      <c r="D1629" s="1"/>
      <c r="E1629" s="1"/>
      <c r="F1629" s="1"/>
      <c r="G1629" s="1"/>
      <c r="H1629" s="1"/>
      <c r="I1629" s="1"/>
      <c r="J1629" s="1">
        <f>IF($F1629="","",IF($H1629="","Not rated",IF(OR($H1629=Lists!$B$3,$H1629=Lists!$B$5),IF(AND(LEFT(SUBSTITUTE($I1629," ",""),LEN($F1629)+1)=$F1629&amp;"-",LEN(SUBSTITUTE($I1629," ",""))&gt;LEN($F1629)+1),"OK","Comment required"),"OK")))</f>
      </c>
    </row>
    <row r="1630" spans="1:10" x14ac:dyDescent="0.25">
      <c r="A1630" s="1"/>
      <c r="B1630" s="20"/>
      <c r="C1630" s="1"/>
      <c r="D1630" s="1"/>
      <c r="E1630" s="1"/>
      <c r="F1630" s="1"/>
      <c r="G1630" s="1"/>
      <c r="H1630" s="1"/>
      <c r="I1630" s="1"/>
      <c r="J1630" s="1">
        <f>IF($F1630="","",IF($H1630="","Not rated",IF(OR($H1630=Lists!$B$3,$H1630=Lists!$B$5),IF(AND(LEFT(SUBSTITUTE($I1630," ",""),LEN($F1630)+1)=$F1630&amp;"-",LEN(SUBSTITUTE($I1630," ",""))&gt;LEN($F1630)+1),"OK","Comment required"),"OK")))</f>
      </c>
    </row>
    <row r="1631" spans="1:10" x14ac:dyDescent="0.25">
      <c r="A1631" s="1"/>
      <c r="B1631" s="20"/>
      <c r="C1631" s="1"/>
      <c r="D1631" s="1"/>
      <c r="E1631" s="1"/>
      <c r="F1631" s="1"/>
      <c r="G1631" s="1"/>
      <c r="H1631" s="1"/>
      <c r="I1631" s="1"/>
      <c r="J1631" s="1">
        <f>IF($F1631="","",IF($H1631="","Not rated",IF(OR($H1631=Lists!$B$3,$H1631=Lists!$B$5),IF(AND(LEFT(SUBSTITUTE($I1631," ",""),LEN($F1631)+1)=$F1631&amp;"-",LEN(SUBSTITUTE($I1631," ",""))&gt;LEN($F1631)+1),"OK","Comment required"),"OK")))</f>
      </c>
    </row>
    <row r="1632" spans="1:10" x14ac:dyDescent="0.25">
      <c r="A1632" s="1"/>
      <c r="B1632" s="20"/>
      <c r="C1632" s="1"/>
      <c r="D1632" s="1"/>
      <c r="E1632" s="1"/>
      <c r="F1632" s="1"/>
      <c r="G1632" s="1"/>
      <c r="H1632" s="1"/>
      <c r="I1632" s="1"/>
      <c r="J1632" s="1">
        <f>IF($F1632="","",IF($H1632="","Not rated",IF(OR($H1632=Lists!$B$3,$H1632=Lists!$B$5),IF(AND(LEFT(SUBSTITUTE($I1632," ",""),LEN($F1632)+1)=$F1632&amp;"-",LEN(SUBSTITUTE($I1632," ",""))&gt;LEN($F1632)+1),"OK","Comment required"),"OK")))</f>
      </c>
    </row>
    <row r="1633" spans="1:10" x14ac:dyDescent="0.25">
      <c r="A1633" s="1"/>
      <c r="B1633" s="20"/>
      <c r="C1633" s="1"/>
      <c r="D1633" s="1"/>
      <c r="E1633" s="1"/>
      <c r="F1633" s="1"/>
      <c r="G1633" s="1"/>
      <c r="H1633" s="1"/>
      <c r="I1633" s="1"/>
      <c r="J1633" s="1">
        <f>IF($F1633="","",IF($H1633="","Not rated",IF(OR($H1633=Lists!$B$3,$H1633=Lists!$B$5),IF(AND(LEFT(SUBSTITUTE($I1633," ",""),LEN($F1633)+1)=$F1633&amp;"-",LEN(SUBSTITUTE($I1633," ",""))&gt;LEN($F1633)+1),"OK","Comment required"),"OK")))</f>
      </c>
    </row>
    <row r="1634" spans="1:10" x14ac:dyDescent="0.25">
      <c r="A1634" s="1"/>
      <c r="B1634" s="20"/>
      <c r="C1634" s="1"/>
      <c r="D1634" s="1"/>
      <c r="E1634" s="1"/>
      <c r="F1634" s="1"/>
      <c r="G1634" s="1"/>
      <c r="H1634" s="1"/>
      <c r="I1634" s="1"/>
      <c r="J1634" s="1">
        <f>IF($F1634="","",IF($H1634="","Not rated",IF(OR($H1634=Lists!$B$3,$H1634=Lists!$B$5),IF(AND(LEFT(SUBSTITUTE($I1634," ",""),LEN($F1634)+1)=$F1634&amp;"-",LEN(SUBSTITUTE($I1634," ",""))&gt;LEN($F1634)+1),"OK","Comment required"),"OK")))</f>
      </c>
    </row>
    <row r="1635" spans="1:10" x14ac:dyDescent="0.25">
      <c r="A1635" s="1"/>
      <c r="B1635" s="20"/>
      <c r="C1635" s="1"/>
      <c r="D1635" s="1"/>
      <c r="E1635" s="1"/>
      <c r="F1635" s="1"/>
      <c r="G1635" s="1"/>
      <c r="H1635" s="1"/>
      <c r="I1635" s="1"/>
      <c r="J1635" s="1">
        <f>IF($F1635="","",IF($H1635="","Not rated",IF(OR($H1635=Lists!$B$3,$H1635=Lists!$B$5),IF(AND(LEFT(SUBSTITUTE($I1635," ",""),LEN($F1635)+1)=$F1635&amp;"-",LEN(SUBSTITUTE($I1635," ",""))&gt;LEN($F1635)+1),"OK","Comment required"),"OK")))</f>
      </c>
    </row>
    <row r="1636" spans="1:10" x14ac:dyDescent="0.25">
      <c r="A1636" s="1"/>
      <c r="B1636" s="20"/>
      <c r="C1636" s="1"/>
      <c r="D1636" s="1"/>
      <c r="E1636" s="1"/>
      <c r="F1636" s="1"/>
      <c r="G1636" s="1"/>
      <c r="H1636" s="1"/>
      <c r="I1636" s="1"/>
      <c r="J1636" s="1">
        <f>IF($F1636="","",IF($H1636="","Not rated",IF(OR($H1636=Lists!$B$3,$H1636=Lists!$B$5),IF(AND(LEFT(SUBSTITUTE($I1636," ",""),LEN($F1636)+1)=$F1636&amp;"-",LEN(SUBSTITUTE($I1636," ",""))&gt;LEN($F1636)+1),"OK","Comment required"),"OK")))</f>
      </c>
    </row>
    <row r="1637" spans="1:10" x14ac:dyDescent="0.25">
      <c r="A1637" s="1"/>
      <c r="B1637" s="20"/>
      <c r="C1637" s="1"/>
      <c r="D1637" s="1"/>
      <c r="E1637" s="1"/>
      <c r="F1637" s="1"/>
      <c r="G1637" s="1"/>
      <c r="H1637" s="1"/>
      <c r="I1637" s="1"/>
      <c r="J1637" s="1">
        <f>IF($F1637="","",IF($H1637="","Not rated",IF(OR($H1637=Lists!$B$3,$H1637=Lists!$B$5),IF(AND(LEFT(SUBSTITUTE($I1637," ",""),LEN($F1637)+1)=$F1637&amp;"-",LEN(SUBSTITUTE($I1637," ",""))&gt;LEN($F1637)+1),"OK","Comment required"),"OK")))</f>
      </c>
    </row>
    <row r="1638" spans="1:10" x14ac:dyDescent="0.25">
      <c r="A1638" s="1"/>
      <c r="B1638" s="20"/>
      <c r="C1638" s="1"/>
      <c r="D1638" s="1"/>
      <c r="E1638" s="1"/>
      <c r="F1638" s="1"/>
      <c r="G1638" s="1"/>
      <c r="H1638" s="1"/>
      <c r="I1638" s="1"/>
      <c r="J1638" s="1">
        <f>IF($F1638="","",IF($H1638="","Not rated",IF(OR($H1638=Lists!$B$3,$H1638=Lists!$B$5),IF(AND(LEFT(SUBSTITUTE($I1638," ",""),LEN($F1638)+1)=$F1638&amp;"-",LEN(SUBSTITUTE($I1638," ",""))&gt;LEN($F1638)+1),"OK","Comment required"),"OK")))</f>
      </c>
    </row>
    <row r="1639" spans="1:10" x14ac:dyDescent="0.25">
      <c r="A1639" s="1"/>
      <c r="B1639" s="20"/>
      <c r="C1639" s="1"/>
      <c r="D1639" s="1"/>
      <c r="E1639" s="1"/>
      <c r="F1639" s="1"/>
      <c r="G1639" s="1"/>
      <c r="H1639" s="1"/>
      <c r="I1639" s="1"/>
      <c r="J1639" s="1">
        <f>IF($F1639="","",IF($H1639="","Not rated",IF(OR($H1639=Lists!$B$3,$H1639=Lists!$B$5),IF(AND(LEFT(SUBSTITUTE($I1639," ",""),LEN($F1639)+1)=$F1639&amp;"-",LEN(SUBSTITUTE($I1639," ",""))&gt;LEN($F1639)+1),"OK","Comment required"),"OK")))</f>
      </c>
    </row>
    <row r="1640" spans="1:10" x14ac:dyDescent="0.25">
      <c r="A1640" s="1"/>
      <c r="B1640" s="20"/>
      <c r="C1640" s="1"/>
      <c r="D1640" s="1"/>
      <c r="E1640" s="1"/>
      <c r="F1640" s="1"/>
      <c r="G1640" s="1"/>
      <c r="H1640" s="1"/>
      <c r="I1640" s="1"/>
      <c r="J1640" s="1">
        <f>IF($F1640="","",IF($H1640="","Not rated",IF(OR($H1640=Lists!$B$3,$H1640=Lists!$B$5),IF(AND(LEFT(SUBSTITUTE($I1640," ",""),LEN($F1640)+1)=$F1640&amp;"-",LEN(SUBSTITUTE($I1640," ",""))&gt;LEN($F1640)+1),"OK","Comment required"),"OK")))</f>
      </c>
    </row>
    <row r="1641" spans="1:10" x14ac:dyDescent="0.25">
      <c r="A1641" s="1"/>
      <c r="B1641" s="20"/>
      <c r="C1641" s="1"/>
      <c r="D1641" s="1"/>
      <c r="E1641" s="1"/>
      <c r="F1641" s="1"/>
      <c r="G1641" s="1"/>
      <c r="H1641" s="1"/>
      <c r="I1641" s="1"/>
      <c r="J1641" s="1">
        <f>IF($F1641="","",IF($H1641="","Not rated",IF(OR($H1641=Lists!$B$3,$H1641=Lists!$B$5),IF(AND(LEFT(SUBSTITUTE($I1641," ",""),LEN($F1641)+1)=$F1641&amp;"-",LEN(SUBSTITUTE($I1641," ",""))&gt;LEN($F1641)+1),"OK","Comment required"),"OK")))</f>
      </c>
    </row>
    <row r="1642" spans="1:10" x14ac:dyDescent="0.25">
      <c r="A1642" s="1"/>
      <c r="B1642" s="20"/>
      <c r="C1642" s="1"/>
      <c r="D1642" s="1"/>
      <c r="E1642" s="1"/>
      <c r="F1642" s="1"/>
      <c r="G1642" s="1"/>
      <c r="H1642" s="1"/>
      <c r="I1642" s="1"/>
      <c r="J1642" s="1">
        <f>IF($F1642="","",IF($H1642="","Not rated",IF(OR($H1642=Lists!$B$3,$H1642=Lists!$B$5),IF(AND(LEFT(SUBSTITUTE($I1642," ",""),LEN($F1642)+1)=$F1642&amp;"-",LEN(SUBSTITUTE($I1642," ",""))&gt;LEN($F1642)+1),"OK","Comment required"),"OK")))</f>
      </c>
    </row>
    <row r="1643" spans="1:10" x14ac:dyDescent="0.25">
      <c r="A1643" s="1"/>
      <c r="B1643" s="20"/>
      <c r="C1643" s="1"/>
      <c r="D1643" s="1"/>
      <c r="E1643" s="1"/>
      <c r="F1643" s="1"/>
      <c r="G1643" s="1"/>
      <c r="H1643" s="1"/>
      <c r="I1643" s="1"/>
      <c r="J1643" s="1">
        <f>IF($F1643="","",IF($H1643="","Not rated",IF(OR($H1643=Lists!$B$3,$H1643=Lists!$B$5),IF(AND(LEFT(SUBSTITUTE($I1643," ",""),LEN($F1643)+1)=$F1643&amp;"-",LEN(SUBSTITUTE($I1643," ",""))&gt;LEN($F1643)+1),"OK","Comment required"),"OK")))</f>
      </c>
    </row>
    <row r="1644" spans="1:10" x14ac:dyDescent="0.25">
      <c r="A1644" s="1"/>
      <c r="B1644" s="20"/>
      <c r="C1644" s="1"/>
      <c r="D1644" s="1"/>
      <c r="E1644" s="1"/>
      <c r="F1644" s="1"/>
      <c r="G1644" s="1"/>
      <c r="H1644" s="1"/>
      <c r="I1644" s="1"/>
      <c r="J1644" s="1">
        <f>IF($F1644="","",IF($H1644="","Not rated",IF(OR($H1644=Lists!$B$3,$H1644=Lists!$B$5),IF(AND(LEFT(SUBSTITUTE($I1644," ",""),LEN($F1644)+1)=$F1644&amp;"-",LEN(SUBSTITUTE($I1644," ",""))&gt;LEN($F1644)+1),"OK","Comment required"),"OK")))</f>
      </c>
    </row>
    <row r="1645" spans="1:10" x14ac:dyDescent="0.25">
      <c r="A1645" s="1"/>
      <c r="B1645" s="20"/>
      <c r="C1645" s="1"/>
      <c r="D1645" s="1"/>
      <c r="E1645" s="1"/>
      <c r="F1645" s="1"/>
      <c r="G1645" s="1"/>
      <c r="H1645" s="1"/>
      <c r="I1645" s="1"/>
      <c r="J1645" s="1">
        <f>IF($F1645="","",IF($H1645="","Not rated",IF(OR($H1645=Lists!$B$3,$H1645=Lists!$B$5),IF(AND(LEFT(SUBSTITUTE($I1645," ",""),LEN($F1645)+1)=$F1645&amp;"-",LEN(SUBSTITUTE($I1645," ",""))&gt;LEN($F1645)+1),"OK","Comment required"),"OK")))</f>
      </c>
    </row>
    <row r="1646" spans="1:10" x14ac:dyDescent="0.25">
      <c r="A1646" s="1"/>
      <c r="B1646" s="20"/>
      <c r="C1646" s="1"/>
      <c r="D1646" s="1"/>
      <c r="E1646" s="1"/>
      <c r="F1646" s="1"/>
      <c r="G1646" s="1"/>
      <c r="H1646" s="1"/>
      <c r="I1646" s="1"/>
      <c r="J1646" s="1">
        <f>IF($F1646="","",IF($H1646="","Not rated",IF(OR($H1646=Lists!$B$3,$H1646=Lists!$B$5),IF(AND(LEFT(SUBSTITUTE($I1646," ",""),LEN($F1646)+1)=$F1646&amp;"-",LEN(SUBSTITUTE($I1646," ",""))&gt;LEN($F1646)+1),"OK","Comment required"),"OK")))</f>
      </c>
    </row>
    <row r="1647" spans="1:10" x14ac:dyDescent="0.25">
      <c r="A1647" s="1"/>
      <c r="B1647" s="20"/>
      <c r="C1647" s="1"/>
      <c r="D1647" s="1"/>
      <c r="E1647" s="1"/>
      <c r="F1647" s="1"/>
      <c r="G1647" s="1"/>
      <c r="H1647" s="1"/>
      <c r="I1647" s="1"/>
      <c r="J1647" s="1">
        <f>IF($F1647="","",IF($H1647="","Not rated",IF(OR($H1647=Lists!$B$3,$H1647=Lists!$B$5),IF(AND(LEFT(SUBSTITUTE($I1647," ",""),LEN($F1647)+1)=$F1647&amp;"-",LEN(SUBSTITUTE($I1647," ",""))&gt;LEN($F1647)+1),"OK","Comment required"),"OK")))</f>
      </c>
    </row>
    <row r="1648" spans="1:10" x14ac:dyDescent="0.25">
      <c r="A1648" s="1"/>
      <c r="B1648" s="20"/>
      <c r="C1648" s="1"/>
      <c r="D1648" s="1"/>
      <c r="E1648" s="1"/>
      <c r="F1648" s="1"/>
      <c r="G1648" s="1"/>
      <c r="H1648" s="1"/>
      <c r="I1648" s="1"/>
      <c r="J1648" s="1">
        <f>IF($F1648="","",IF($H1648="","Not rated",IF(OR($H1648=Lists!$B$3,$H1648=Lists!$B$5),IF(AND(LEFT(SUBSTITUTE($I1648," ",""),LEN($F1648)+1)=$F1648&amp;"-",LEN(SUBSTITUTE($I1648," ",""))&gt;LEN($F1648)+1),"OK","Comment required"),"OK")))</f>
      </c>
    </row>
    <row r="1649" spans="1:10" x14ac:dyDescent="0.25">
      <c r="A1649" s="1"/>
      <c r="B1649" s="20"/>
      <c r="C1649" s="1"/>
      <c r="D1649" s="1"/>
      <c r="E1649" s="1"/>
      <c r="F1649" s="1"/>
      <c r="G1649" s="1"/>
      <c r="H1649" s="1"/>
      <c r="I1649" s="1"/>
      <c r="J1649" s="1">
        <f>IF($F1649="","",IF($H1649="","Not rated",IF(OR($H1649=Lists!$B$3,$H1649=Lists!$B$5),IF(AND(LEFT(SUBSTITUTE($I1649," ",""),LEN($F1649)+1)=$F1649&amp;"-",LEN(SUBSTITUTE($I1649," ",""))&gt;LEN($F1649)+1),"OK","Comment required"),"OK")))</f>
      </c>
    </row>
    <row r="1650" spans="1:10" x14ac:dyDescent="0.25">
      <c r="A1650" s="1"/>
      <c r="B1650" s="20"/>
      <c r="C1650" s="1"/>
      <c r="D1650" s="1"/>
      <c r="E1650" s="1"/>
      <c r="F1650" s="1"/>
      <c r="G1650" s="1"/>
      <c r="H1650" s="1"/>
      <c r="I1650" s="1"/>
      <c r="J1650" s="1">
        <f>IF($F1650="","",IF($H1650="","Not rated",IF(OR($H1650=Lists!$B$3,$H1650=Lists!$B$5),IF(AND(LEFT(SUBSTITUTE($I1650," ",""),LEN($F1650)+1)=$F1650&amp;"-",LEN(SUBSTITUTE($I1650," ",""))&gt;LEN($F1650)+1),"OK","Comment required"),"OK")))</f>
      </c>
    </row>
    <row r="1651" spans="1:10" x14ac:dyDescent="0.25">
      <c r="A1651" s="1"/>
      <c r="B1651" s="20"/>
      <c r="C1651" s="1"/>
      <c r="D1651" s="1"/>
      <c r="E1651" s="1"/>
      <c r="F1651" s="1"/>
      <c r="G1651" s="1"/>
      <c r="H1651" s="1"/>
      <c r="I1651" s="1"/>
      <c r="J1651" s="1">
        <f>IF($F1651="","",IF($H1651="","Not rated",IF(OR($H1651=Lists!$B$3,$H1651=Lists!$B$5),IF(AND(LEFT(SUBSTITUTE($I1651," ",""),LEN($F1651)+1)=$F1651&amp;"-",LEN(SUBSTITUTE($I1651," ",""))&gt;LEN($F1651)+1),"OK","Comment required"),"OK")))</f>
      </c>
    </row>
    <row r="1652" spans="1:10" x14ac:dyDescent="0.25">
      <c r="A1652" s="1"/>
      <c r="B1652" s="20"/>
      <c r="C1652" s="1"/>
      <c r="D1652" s="1"/>
      <c r="E1652" s="1"/>
      <c r="F1652" s="1"/>
      <c r="G1652" s="1"/>
      <c r="H1652" s="1"/>
      <c r="I1652" s="1"/>
      <c r="J1652" s="1">
        <f>IF($F1652="","",IF($H1652="","Not rated",IF(OR($H1652=Lists!$B$3,$H1652=Lists!$B$5),IF(AND(LEFT(SUBSTITUTE($I1652," ",""),LEN($F1652)+1)=$F1652&amp;"-",LEN(SUBSTITUTE($I1652," ",""))&gt;LEN($F1652)+1),"OK","Comment required"),"OK")))</f>
      </c>
    </row>
    <row r="1653" spans="1:10" x14ac:dyDescent="0.25">
      <c r="A1653" s="1"/>
      <c r="B1653" s="20"/>
      <c r="C1653" s="1"/>
      <c r="D1653" s="1"/>
      <c r="E1653" s="1"/>
      <c r="F1653" s="1"/>
      <c r="G1653" s="1"/>
      <c r="H1653" s="1"/>
      <c r="I1653" s="1"/>
      <c r="J1653" s="1">
        <f>IF($F1653="","",IF($H1653="","Not rated",IF(OR($H1653=Lists!$B$3,$H1653=Lists!$B$5),IF(AND(LEFT(SUBSTITUTE($I1653," ",""),LEN($F1653)+1)=$F1653&amp;"-",LEN(SUBSTITUTE($I1653," ",""))&gt;LEN($F1653)+1),"OK","Comment required"),"OK")))</f>
      </c>
    </row>
    <row r="1654" spans="1:10" x14ac:dyDescent="0.25">
      <c r="A1654" s="1"/>
      <c r="B1654" s="20"/>
      <c r="C1654" s="1"/>
      <c r="D1654" s="1"/>
      <c r="E1654" s="1"/>
      <c r="F1654" s="1"/>
      <c r="G1654" s="1"/>
      <c r="H1654" s="1"/>
      <c r="I1654" s="1"/>
      <c r="J1654" s="1">
        <f>IF($F1654="","",IF($H1654="","Not rated",IF(OR($H1654=Lists!$B$3,$H1654=Lists!$B$5),IF(AND(LEFT(SUBSTITUTE($I1654," ",""),LEN($F1654)+1)=$F1654&amp;"-",LEN(SUBSTITUTE($I1654," ",""))&gt;LEN($F1654)+1),"OK","Comment required"),"OK")))</f>
      </c>
    </row>
    <row r="1655" spans="1:10" x14ac:dyDescent="0.25">
      <c r="A1655" s="1"/>
      <c r="B1655" s="20"/>
      <c r="C1655" s="1"/>
      <c r="D1655" s="1"/>
      <c r="E1655" s="1"/>
      <c r="F1655" s="1"/>
      <c r="G1655" s="1"/>
      <c r="H1655" s="1"/>
      <c r="I1655" s="1"/>
      <c r="J1655" s="1">
        <f>IF($F1655="","",IF($H1655="","Not rated",IF(OR($H1655=Lists!$B$3,$H1655=Lists!$B$5),IF(AND(LEFT(SUBSTITUTE($I1655," ",""),LEN($F1655)+1)=$F1655&amp;"-",LEN(SUBSTITUTE($I1655," ",""))&gt;LEN($F1655)+1),"OK","Comment required"),"OK")))</f>
      </c>
    </row>
    <row r="1656" spans="1:10" x14ac:dyDescent="0.25">
      <c r="A1656" s="1"/>
      <c r="B1656" s="20"/>
      <c r="C1656" s="1"/>
      <c r="D1656" s="1"/>
      <c r="E1656" s="1"/>
      <c r="F1656" s="1"/>
      <c r="G1656" s="1"/>
      <c r="H1656" s="1"/>
      <c r="I1656" s="1"/>
      <c r="J1656" s="1">
        <f>IF($F1656="","",IF($H1656="","Not rated",IF(OR($H1656=Lists!$B$3,$H1656=Lists!$B$5),IF(AND(LEFT(SUBSTITUTE($I1656," ",""),LEN($F1656)+1)=$F1656&amp;"-",LEN(SUBSTITUTE($I1656," ",""))&gt;LEN($F1656)+1),"OK","Comment required"),"OK")))</f>
      </c>
    </row>
    <row r="1657" spans="1:10" x14ac:dyDescent="0.25">
      <c r="A1657" s="1"/>
      <c r="B1657" s="20"/>
      <c r="C1657" s="1"/>
      <c r="D1657" s="1"/>
      <c r="E1657" s="1"/>
      <c r="F1657" s="1"/>
      <c r="G1657" s="1"/>
      <c r="H1657" s="1"/>
      <c r="I1657" s="1"/>
      <c r="J1657" s="1">
        <f>IF($F1657="","",IF($H1657="","Not rated",IF(OR($H1657=Lists!$B$3,$H1657=Lists!$B$5),IF(AND(LEFT(SUBSTITUTE($I1657," ",""),LEN($F1657)+1)=$F1657&amp;"-",LEN(SUBSTITUTE($I1657," ",""))&gt;LEN($F1657)+1),"OK","Comment required"),"OK")))</f>
      </c>
    </row>
    <row r="1658" spans="1:10" x14ac:dyDescent="0.25">
      <c r="A1658" s="1"/>
      <c r="B1658" s="20"/>
      <c r="C1658" s="1"/>
      <c r="D1658" s="1"/>
      <c r="E1658" s="1"/>
      <c r="F1658" s="1"/>
      <c r="G1658" s="1"/>
      <c r="H1658" s="1"/>
      <c r="I1658" s="1"/>
      <c r="J1658" s="1">
        <f>IF($F1658="","",IF($H1658="","Not rated",IF(OR($H1658=Lists!$B$3,$H1658=Lists!$B$5),IF(AND(LEFT(SUBSTITUTE($I1658," ",""),LEN($F1658)+1)=$F1658&amp;"-",LEN(SUBSTITUTE($I1658," ",""))&gt;LEN($F1658)+1),"OK","Comment required"),"OK")))</f>
      </c>
    </row>
    <row r="1659" spans="1:10" x14ac:dyDescent="0.25">
      <c r="A1659" s="1"/>
      <c r="B1659" s="20"/>
      <c r="C1659" s="1"/>
      <c r="D1659" s="1"/>
      <c r="E1659" s="1"/>
      <c r="F1659" s="1"/>
      <c r="G1659" s="1"/>
      <c r="H1659" s="1"/>
      <c r="I1659" s="1"/>
      <c r="J1659" s="1">
        <f>IF($F1659="","",IF($H1659="","Not rated",IF(OR($H1659=Lists!$B$3,$H1659=Lists!$B$5),IF(AND(LEFT(SUBSTITUTE($I1659," ",""),LEN($F1659)+1)=$F1659&amp;"-",LEN(SUBSTITUTE($I1659," ",""))&gt;LEN($F1659)+1),"OK","Comment required"),"OK")))</f>
      </c>
    </row>
    <row r="1660" spans="1:10" x14ac:dyDescent="0.25">
      <c r="A1660" s="1"/>
      <c r="B1660" s="20"/>
      <c r="C1660" s="1"/>
      <c r="D1660" s="1"/>
      <c r="E1660" s="1"/>
      <c r="F1660" s="1"/>
      <c r="G1660" s="1"/>
      <c r="H1660" s="1"/>
      <c r="I1660" s="1"/>
      <c r="J1660" s="1">
        <f>IF($F1660="","",IF($H1660="","Not rated",IF(OR($H1660=Lists!$B$3,$H1660=Lists!$B$5),IF(AND(LEFT(SUBSTITUTE($I1660," ",""),LEN($F1660)+1)=$F1660&amp;"-",LEN(SUBSTITUTE($I1660," ",""))&gt;LEN($F1660)+1),"OK","Comment required"),"OK")))</f>
      </c>
    </row>
    <row r="1661" spans="1:10" x14ac:dyDescent="0.25">
      <c r="A1661" s="1"/>
      <c r="B1661" s="20"/>
      <c r="C1661" s="1"/>
      <c r="D1661" s="1"/>
      <c r="E1661" s="1"/>
      <c r="F1661" s="1"/>
      <c r="G1661" s="1"/>
      <c r="H1661" s="1"/>
      <c r="I1661" s="1"/>
      <c r="J1661" s="1">
        <f>IF($F1661="","",IF($H1661="","Not rated",IF(OR($H1661=Lists!$B$3,$H1661=Lists!$B$5),IF(AND(LEFT(SUBSTITUTE($I1661," ",""),LEN($F1661)+1)=$F1661&amp;"-",LEN(SUBSTITUTE($I1661," ",""))&gt;LEN($F1661)+1),"OK","Comment required"),"OK")))</f>
      </c>
    </row>
    <row r="1662" spans="1:10" x14ac:dyDescent="0.25">
      <c r="A1662" s="1"/>
      <c r="B1662" s="20"/>
      <c r="C1662" s="1"/>
      <c r="D1662" s="1"/>
      <c r="E1662" s="1"/>
      <c r="F1662" s="1"/>
      <c r="G1662" s="1"/>
      <c r="H1662" s="1"/>
      <c r="I1662" s="1"/>
      <c r="J1662" s="1">
        <f>IF($F1662="","",IF($H1662="","Not rated",IF(OR($H1662=Lists!$B$3,$H1662=Lists!$B$5),IF(AND(LEFT(SUBSTITUTE($I1662," ",""),LEN($F1662)+1)=$F1662&amp;"-",LEN(SUBSTITUTE($I1662," ",""))&gt;LEN($F1662)+1),"OK","Comment required"),"OK")))</f>
      </c>
    </row>
    <row r="1663" spans="1:10" x14ac:dyDescent="0.25">
      <c r="A1663" s="1"/>
      <c r="B1663" s="20"/>
      <c r="C1663" s="1"/>
      <c r="D1663" s="1"/>
      <c r="E1663" s="1"/>
      <c r="F1663" s="1"/>
      <c r="G1663" s="1"/>
      <c r="H1663" s="1"/>
      <c r="I1663" s="1"/>
      <c r="J1663" s="1">
        <f>IF($F1663="","",IF($H1663="","Not rated",IF(OR($H1663=Lists!$B$3,$H1663=Lists!$B$5),IF(AND(LEFT(SUBSTITUTE($I1663," ",""),LEN($F1663)+1)=$F1663&amp;"-",LEN(SUBSTITUTE($I1663," ",""))&gt;LEN($F1663)+1),"OK","Comment required"),"OK")))</f>
      </c>
    </row>
    <row r="1664" spans="1:10" x14ac:dyDescent="0.25">
      <c r="A1664" s="1"/>
      <c r="B1664" s="20"/>
      <c r="C1664" s="1"/>
      <c r="D1664" s="1"/>
      <c r="E1664" s="1"/>
      <c r="F1664" s="1"/>
      <c r="G1664" s="1"/>
      <c r="H1664" s="1"/>
      <c r="I1664" s="1"/>
      <c r="J1664" s="1">
        <f>IF($F1664="","",IF($H1664="","Not rated",IF(OR($H1664=Lists!$B$3,$H1664=Lists!$B$5),IF(AND(LEFT(SUBSTITUTE($I1664," ",""),LEN($F1664)+1)=$F1664&amp;"-",LEN(SUBSTITUTE($I1664," ",""))&gt;LEN($F1664)+1),"OK","Comment required"),"OK")))</f>
      </c>
    </row>
    <row r="1665" spans="1:10" x14ac:dyDescent="0.25">
      <c r="A1665" s="1"/>
      <c r="B1665" s="20"/>
      <c r="C1665" s="1"/>
      <c r="D1665" s="1"/>
      <c r="E1665" s="1"/>
      <c r="F1665" s="1"/>
      <c r="G1665" s="1"/>
      <c r="H1665" s="1"/>
      <c r="I1665" s="1"/>
      <c r="J1665" s="1">
        <f>IF($F1665="","",IF($H1665="","Not rated",IF(OR($H1665=Lists!$B$3,$H1665=Lists!$B$5),IF(AND(LEFT(SUBSTITUTE($I1665," ",""),LEN($F1665)+1)=$F1665&amp;"-",LEN(SUBSTITUTE($I1665," ",""))&gt;LEN($F1665)+1),"OK","Comment required"),"OK")))</f>
      </c>
    </row>
    <row r="1666" spans="1:10" x14ac:dyDescent="0.25">
      <c r="A1666" s="1"/>
      <c r="B1666" s="20"/>
      <c r="C1666" s="1"/>
      <c r="D1666" s="1"/>
      <c r="E1666" s="1"/>
      <c r="F1666" s="1"/>
      <c r="G1666" s="1"/>
      <c r="H1666" s="1"/>
      <c r="I1666" s="1"/>
      <c r="J1666" s="1">
        <f>IF($F1666="","",IF($H1666="","Not rated",IF(OR($H1666=Lists!$B$3,$H1666=Lists!$B$5),IF(AND(LEFT(SUBSTITUTE($I1666," ",""),LEN($F1666)+1)=$F1666&amp;"-",LEN(SUBSTITUTE($I1666," ",""))&gt;LEN($F1666)+1),"OK","Comment required"),"OK")))</f>
      </c>
    </row>
    <row r="1667" spans="1:10" x14ac:dyDescent="0.25">
      <c r="A1667" s="1"/>
      <c r="B1667" s="20"/>
      <c r="C1667" s="1"/>
      <c r="D1667" s="1"/>
      <c r="E1667" s="1"/>
      <c r="F1667" s="1"/>
      <c r="G1667" s="1"/>
      <c r="H1667" s="1"/>
      <c r="I1667" s="1"/>
      <c r="J1667" s="1">
        <f>IF($F1667="","",IF($H1667="","Not rated",IF(OR($H1667=Lists!$B$3,$H1667=Lists!$B$5),IF(AND(LEFT(SUBSTITUTE($I1667," ",""),LEN($F1667)+1)=$F1667&amp;"-",LEN(SUBSTITUTE($I1667," ",""))&gt;LEN($F1667)+1),"OK","Comment required"),"OK")))</f>
      </c>
    </row>
    <row r="1668" spans="1:10" x14ac:dyDescent="0.25">
      <c r="A1668" s="1"/>
      <c r="B1668" s="20"/>
      <c r="C1668" s="1"/>
      <c r="D1668" s="1"/>
      <c r="E1668" s="1"/>
      <c r="F1668" s="1"/>
      <c r="G1668" s="1"/>
      <c r="H1668" s="1"/>
      <c r="I1668" s="1"/>
      <c r="J1668" s="1">
        <f>IF($F1668="","",IF($H1668="","Not rated",IF(OR($H1668=Lists!$B$3,$H1668=Lists!$B$5),IF(AND(LEFT(SUBSTITUTE($I1668," ",""),LEN($F1668)+1)=$F1668&amp;"-",LEN(SUBSTITUTE($I1668," ",""))&gt;LEN($F1668)+1),"OK","Comment required"),"OK")))</f>
      </c>
    </row>
    <row r="1669" spans="1:10" x14ac:dyDescent="0.25">
      <c r="A1669" s="1"/>
      <c r="B1669" s="20"/>
      <c r="C1669" s="1"/>
      <c r="D1669" s="1"/>
      <c r="E1669" s="1"/>
      <c r="F1669" s="1"/>
      <c r="G1669" s="1"/>
      <c r="H1669" s="1"/>
      <c r="I1669" s="1"/>
      <c r="J1669" s="1">
        <f>IF($F1669="","",IF($H1669="","Not rated",IF(OR($H1669=Lists!$B$3,$H1669=Lists!$B$5),IF(AND(LEFT(SUBSTITUTE($I1669," ",""),LEN($F1669)+1)=$F1669&amp;"-",LEN(SUBSTITUTE($I1669," ",""))&gt;LEN($F1669)+1),"OK","Comment required"),"OK")))</f>
      </c>
    </row>
    <row r="1670" spans="1:10" x14ac:dyDescent="0.25">
      <c r="A1670" s="1"/>
      <c r="B1670" s="20"/>
      <c r="C1670" s="1"/>
      <c r="D1670" s="1"/>
      <c r="E1670" s="1"/>
      <c r="F1670" s="1"/>
      <c r="G1670" s="1"/>
      <c r="H1670" s="1"/>
      <c r="I1670" s="1"/>
      <c r="J1670" s="1">
        <f>IF($F1670="","",IF($H1670="","Not rated",IF(OR($H1670=Lists!$B$3,$H1670=Lists!$B$5),IF(AND(LEFT(SUBSTITUTE($I1670," ",""),LEN($F1670)+1)=$F1670&amp;"-",LEN(SUBSTITUTE($I1670," ",""))&gt;LEN($F1670)+1),"OK","Comment required"),"OK")))</f>
      </c>
    </row>
    <row r="1671" spans="1:10" x14ac:dyDescent="0.25">
      <c r="A1671" s="1"/>
      <c r="B1671" s="20"/>
      <c r="C1671" s="1"/>
      <c r="D1671" s="1"/>
      <c r="E1671" s="1"/>
      <c r="F1671" s="1"/>
      <c r="G1671" s="1"/>
      <c r="H1671" s="1"/>
      <c r="I1671" s="1"/>
      <c r="J1671" s="1">
        <f>IF($F1671="","",IF($H1671="","Not rated",IF(OR($H1671=Lists!$B$3,$H1671=Lists!$B$5),IF(AND(LEFT(SUBSTITUTE($I1671," ",""),LEN($F1671)+1)=$F1671&amp;"-",LEN(SUBSTITUTE($I1671," ",""))&gt;LEN($F1671)+1),"OK","Comment required"),"OK")))</f>
      </c>
    </row>
    <row r="1672" spans="1:10" x14ac:dyDescent="0.25">
      <c r="A1672" s="1"/>
      <c r="B1672" s="20"/>
      <c r="C1672" s="1"/>
      <c r="D1672" s="1"/>
      <c r="E1672" s="1"/>
      <c r="F1672" s="1"/>
      <c r="G1672" s="1"/>
      <c r="H1672" s="1"/>
      <c r="I1672" s="1"/>
      <c r="J1672" s="1">
        <f>IF($F1672="","",IF($H1672="","Not rated",IF(OR($H1672=Lists!$B$3,$H1672=Lists!$B$5),IF(AND(LEFT(SUBSTITUTE($I1672," ",""),LEN($F1672)+1)=$F1672&amp;"-",LEN(SUBSTITUTE($I1672," ",""))&gt;LEN($F1672)+1),"OK","Comment required"),"OK")))</f>
      </c>
    </row>
    <row r="1673" spans="1:10" x14ac:dyDescent="0.25">
      <c r="A1673" s="1"/>
      <c r="B1673" s="20"/>
      <c r="C1673" s="1"/>
      <c r="D1673" s="1"/>
      <c r="E1673" s="1"/>
      <c r="F1673" s="1"/>
      <c r="G1673" s="1"/>
      <c r="H1673" s="1"/>
      <c r="I1673" s="1"/>
      <c r="J1673" s="1">
        <f>IF($F1673="","",IF($H1673="","Not rated",IF(OR($H1673=Lists!$B$3,$H1673=Lists!$B$5),IF(AND(LEFT(SUBSTITUTE($I1673," ",""),LEN($F1673)+1)=$F1673&amp;"-",LEN(SUBSTITUTE($I1673," ",""))&gt;LEN($F1673)+1),"OK","Comment required"),"OK")))</f>
      </c>
    </row>
    <row r="1674" spans="1:10" x14ac:dyDescent="0.25">
      <c r="A1674" s="1"/>
      <c r="B1674" s="20"/>
      <c r="C1674" s="1"/>
      <c r="D1674" s="1"/>
      <c r="E1674" s="1"/>
      <c r="F1674" s="1"/>
      <c r="G1674" s="1"/>
      <c r="H1674" s="1"/>
      <c r="I1674" s="1"/>
      <c r="J1674" s="1">
        <f>IF($F1674="","",IF($H1674="","Not rated",IF(OR($H1674=Lists!$B$3,$H1674=Lists!$B$5),IF(AND(LEFT(SUBSTITUTE($I1674," ",""),LEN($F1674)+1)=$F1674&amp;"-",LEN(SUBSTITUTE($I1674," ",""))&gt;LEN($F1674)+1),"OK","Comment required"),"OK")))</f>
      </c>
    </row>
    <row r="1675" spans="1:10" x14ac:dyDescent="0.25">
      <c r="A1675" s="1"/>
      <c r="B1675" s="20"/>
      <c r="C1675" s="1"/>
      <c r="D1675" s="1"/>
      <c r="E1675" s="1"/>
      <c r="F1675" s="1"/>
      <c r="G1675" s="1"/>
      <c r="H1675" s="1"/>
      <c r="I1675" s="1"/>
      <c r="J1675" s="1">
        <f>IF($F1675="","",IF($H1675="","Not rated",IF(OR($H1675=Lists!$B$3,$H1675=Lists!$B$5),IF(AND(LEFT(SUBSTITUTE($I1675," ",""),LEN($F1675)+1)=$F1675&amp;"-",LEN(SUBSTITUTE($I1675," ",""))&gt;LEN($F1675)+1),"OK","Comment required"),"OK")))</f>
      </c>
    </row>
    <row r="1676" spans="1:10" x14ac:dyDescent="0.25">
      <c r="A1676" s="1"/>
      <c r="B1676" s="20"/>
      <c r="C1676" s="1"/>
      <c r="D1676" s="1"/>
      <c r="E1676" s="1"/>
      <c r="F1676" s="1"/>
      <c r="G1676" s="1"/>
      <c r="H1676" s="1"/>
      <c r="I1676" s="1"/>
      <c r="J1676" s="1">
        <f>IF($F1676="","",IF($H1676="","Not rated",IF(OR($H1676=Lists!$B$3,$H1676=Lists!$B$5),IF(AND(LEFT(SUBSTITUTE($I1676," ",""),LEN($F1676)+1)=$F1676&amp;"-",LEN(SUBSTITUTE($I1676," ",""))&gt;LEN($F1676)+1),"OK","Comment required"),"OK")))</f>
      </c>
    </row>
    <row r="1677" spans="1:10" x14ac:dyDescent="0.25">
      <c r="A1677" s="1"/>
      <c r="B1677" s="20"/>
      <c r="C1677" s="1"/>
      <c r="D1677" s="1"/>
      <c r="E1677" s="1"/>
      <c r="F1677" s="1"/>
      <c r="G1677" s="1"/>
      <c r="H1677" s="1"/>
      <c r="I1677" s="1"/>
      <c r="J1677" s="1">
        <f>IF($F1677="","",IF($H1677="","Not rated",IF(OR($H1677=Lists!$B$3,$H1677=Lists!$B$5),IF(AND(LEFT(SUBSTITUTE($I1677," ",""),LEN($F1677)+1)=$F1677&amp;"-",LEN(SUBSTITUTE($I1677," ",""))&gt;LEN($F1677)+1),"OK","Comment required"),"OK")))</f>
      </c>
    </row>
    <row r="1678" spans="1:10" x14ac:dyDescent="0.25">
      <c r="A1678" s="1"/>
      <c r="B1678" s="20"/>
      <c r="C1678" s="1"/>
      <c r="D1678" s="1"/>
      <c r="E1678" s="1"/>
      <c r="F1678" s="1"/>
      <c r="G1678" s="1"/>
      <c r="H1678" s="1"/>
      <c r="I1678" s="1"/>
      <c r="J1678" s="1">
        <f>IF($F1678="","",IF($H1678="","Not rated",IF(OR($H1678=Lists!$B$3,$H1678=Lists!$B$5),IF(AND(LEFT(SUBSTITUTE($I1678," ",""),LEN($F1678)+1)=$F1678&amp;"-",LEN(SUBSTITUTE($I1678," ",""))&gt;LEN($F1678)+1),"OK","Comment required"),"OK")))</f>
      </c>
    </row>
    <row r="1679" spans="1:10" x14ac:dyDescent="0.25">
      <c r="A1679" s="1"/>
      <c r="B1679" s="20"/>
      <c r="C1679" s="1"/>
      <c r="D1679" s="1"/>
      <c r="E1679" s="1"/>
      <c r="F1679" s="1"/>
      <c r="G1679" s="1"/>
      <c r="H1679" s="1"/>
      <c r="I1679" s="1"/>
      <c r="J1679" s="1">
        <f>IF($F1679="","",IF($H1679="","Not rated",IF(OR($H1679=Lists!$B$3,$H1679=Lists!$B$5),IF(AND(LEFT(SUBSTITUTE($I1679," ",""),LEN($F1679)+1)=$F1679&amp;"-",LEN(SUBSTITUTE($I1679," ",""))&gt;LEN($F1679)+1),"OK","Comment required"),"OK")))</f>
      </c>
    </row>
    <row r="1680" spans="1:10" x14ac:dyDescent="0.25">
      <c r="A1680" s="1"/>
      <c r="B1680" s="20"/>
      <c r="C1680" s="1"/>
      <c r="D1680" s="1"/>
      <c r="E1680" s="1"/>
      <c r="F1680" s="1"/>
      <c r="G1680" s="1"/>
      <c r="H1680" s="1"/>
      <c r="I1680" s="1"/>
      <c r="J1680" s="1">
        <f>IF($F1680="","",IF($H1680="","Not rated",IF(OR($H1680=Lists!$B$3,$H1680=Lists!$B$5),IF(AND(LEFT(SUBSTITUTE($I1680," ",""),LEN($F1680)+1)=$F1680&amp;"-",LEN(SUBSTITUTE($I1680," ",""))&gt;LEN($F1680)+1),"OK","Comment required"),"OK")))</f>
      </c>
    </row>
    <row r="1681" spans="1:10" x14ac:dyDescent="0.25">
      <c r="A1681" s="1"/>
      <c r="B1681" s="20"/>
      <c r="C1681" s="1"/>
      <c r="D1681" s="1"/>
      <c r="E1681" s="1"/>
      <c r="F1681" s="1"/>
      <c r="G1681" s="1"/>
      <c r="H1681" s="1"/>
      <c r="I1681" s="1"/>
      <c r="J1681" s="1">
        <f>IF($F1681="","",IF($H1681="","Not rated",IF(OR($H1681=Lists!$B$3,$H1681=Lists!$B$5),IF(AND(LEFT(SUBSTITUTE($I1681," ",""),LEN($F1681)+1)=$F1681&amp;"-",LEN(SUBSTITUTE($I1681," ",""))&gt;LEN($F1681)+1),"OK","Comment required"),"OK")))</f>
      </c>
    </row>
    <row r="1682" spans="1:10" x14ac:dyDescent="0.25">
      <c r="A1682" s="1"/>
      <c r="B1682" s="20"/>
      <c r="C1682" s="1"/>
      <c r="D1682" s="1"/>
      <c r="E1682" s="1"/>
      <c r="F1682" s="1"/>
      <c r="G1682" s="1"/>
      <c r="H1682" s="1"/>
      <c r="I1682" s="1"/>
      <c r="J1682" s="1">
        <f>IF($F1682="","",IF($H1682="","Not rated",IF(OR($H1682=Lists!$B$3,$H1682=Lists!$B$5),IF(AND(LEFT(SUBSTITUTE($I1682," ",""),LEN($F1682)+1)=$F1682&amp;"-",LEN(SUBSTITUTE($I1682," ",""))&gt;LEN($F1682)+1),"OK","Comment required"),"OK")))</f>
      </c>
    </row>
    <row r="1683" spans="1:10" x14ac:dyDescent="0.25">
      <c r="A1683" s="1"/>
      <c r="B1683" s="20"/>
      <c r="C1683" s="1"/>
      <c r="D1683" s="1"/>
      <c r="E1683" s="1"/>
      <c r="F1683" s="1"/>
      <c r="G1683" s="1"/>
      <c r="H1683" s="1"/>
      <c r="I1683" s="1"/>
      <c r="J1683" s="1">
        <f>IF($F1683="","",IF($H1683="","Not rated",IF(OR($H1683=Lists!$B$3,$H1683=Lists!$B$5),IF(AND(LEFT(SUBSTITUTE($I1683," ",""),LEN($F1683)+1)=$F1683&amp;"-",LEN(SUBSTITUTE($I1683," ",""))&gt;LEN($F1683)+1),"OK","Comment required"),"OK")))</f>
      </c>
    </row>
    <row r="1684" spans="1:10" x14ac:dyDescent="0.25">
      <c r="A1684" s="1"/>
      <c r="B1684" s="20"/>
      <c r="C1684" s="1"/>
      <c r="D1684" s="1"/>
      <c r="E1684" s="1"/>
      <c r="F1684" s="1"/>
      <c r="G1684" s="1"/>
      <c r="H1684" s="1"/>
      <c r="I1684" s="1"/>
      <c r="J1684" s="1">
        <f>IF($F1684="","",IF($H1684="","Not rated",IF(OR($H1684=Lists!$B$3,$H1684=Lists!$B$5),IF(AND(LEFT(SUBSTITUTE($I1684," ",""),LEN($F1684)+1)=$F1684&amp;"-",LEN(SUBSTITUTE($I1684," ",""))&gt;LEN($F1684)+1),"OK","Comment required"),"OK")))</f>
      </c>
    </row>
    <row r="1685" spans="1:10" x14ac:dyDescent="0.25">
      <c r="A1685" s="1"/>
      <c r="B1685" s="20"/>
      <c r="C1685" s="1"/>
      <c r="D1685" s="1"/>
      <c r="E1685" s="1"/>
      <c r="F1685" s="1"/>
      <c r="G1685" s="1"/>
      <c r="H1685" s="1"/>
      <c r="I1685" s="1"/>
      <c r="J1685" s="1">
        <f>IF($F1685="","",IF($H1685="","Not rated",IF(OR($H1685=Lists!$B$3,$H1685=Lists!$B$5),IF(AND(LEFT(SUBSTITUTE($I1685," ",""),LEN($F1685)+1)=$F1685&amp;"-",LEN(SUBSTITUTE($I1685," ",""))&gt;LEN($F1685)+1),"OK","Comment required"),"OK")))</f>
      </c>
    </row>
    <row r="1686" spans="1:10" x14ac:dyDescent="0.25">
      <c r="A1686" s="1"/>
      <c r="B1686" s="20"/>
      <c r="C1686" s="1"/>
      <c r="D1686" s="1"/>
      <c r="E1686" s="1"/>
      <c r="F1686" s="1"/>
      <c r="G1686" s="1"/>
      <c r="H1686" s="1"/>
      <c r="I1686" s="1"/>
      <c r="J1686" s="1">
        <f>IF($F1686="","",IF($H1686="","Not rated",IF(OR($H1686=Lists!$B$3,$H1686=Lists!$B$5),IF(AND(LEFT(SUBSTITUTE($I1686," ",""),LEN($F1686)+1)=$F1686&amp;"-",LEN(SUBSTITUTE($I1686," ",""))&gt;LEN($F1686)+1),"OK","Comment required"),"OK")))</f>
      </c>
    </row>
    <row r="1687" spans="1:10" x14ac:dyDescent="0.25">
      <c r="A1687" s="1"/>
      <c r="B1687" s="20"/>
      <c r="C1687" s="1"/>
      <c r="D1687" s="1"/>
      <c r="E1687" s="1"/>
      <c r="F1687" s="1"/>
      <c r="G1687" s="1"/>
      <c r="H1687" s="1"/>
      <c r="I1687" s="1"/>
      <c r="J1687" s="1">
        <f>IF($F1687="","",IF($H1687="","Not rated",IF(OR($H1687=Lists!$B$3,$H1687=Lists!$B$5),IF(AND(LEFT(SUBSTITUTE($I1687," ",""),LEN($F1687)+1)=$F1687&amp;"-",LEN(SUBSTITUTE($I1687," ",""))&gt;LEN($F1687)+1),"OK","Comment required"),"OK")))</f>
      </c>
    </row>
    <row r="1688" spans="1:10" x14ac:dyDescent="0.25">
      <c r="A1688" s="1"/>
      <c r="B1688" s="20"/>
      <c r="C1688" s="1"/>
      <c r="D1688" s="1"/>
      <c r="E1688" s="1"/>
      <c r="F1688" s="1"/>
      <c r="G1688" s="1"/>
      <c r="H1688" s="1"/>
      <c r="I1688" s="1"/>
      <c r="J1688" s="1">
        <f>IF($F1688="","",IF($H1688="","Not rated",IF(OR($H1688=Lists!$B$3,$H1688=Lists!$B$5),IF(AND(LEFT(SUBSTITUTE($I1688," ",""),LEN($F1688)+1)=$F1688&amp;"-",LEN(SUBSTITUTE($I1688," ",""))&gt;LEN($F1688)+1),"OK","Comment required"),"OK")))</f>
      </c>
    </row>
    <row r="1689" spans="1:10" x14ac:dyDescent="0.25">
      <c r="A1689" s="1"/>
      <c r="B1689" s="20"/>
      <c r="C1689" s="1"/>
      <c r="D1689" s="1"/>
      <c r="E1689" s="1"/>
      <c r="F1689" s="1"/>
      <c r="G1689" s="1"/>
      <c r="H1689" s="1"/>
      <c r="I1689" s="1"/>
      <c r="J1689" s="1">
        <f>IF($F1689="","",IF($H1689="","Not rated",IF(OR($H1689=Lists!$B$3,$H1689=Lists!$B$5),IF(AND(LEFT(SUBSTITUTE($I1689," ",""),LEN($F1689)+1)=$F1689&amp;"-",LEN(SUBSTITUTE($I1689," ",""))&gt;LEN($F1689)+1),"OK","Comment required"),"OK")))</f>
      </c>
    </row>
    <row r="1690" spans="1:10" x14ac:dyDescent="0.25">
      <c r="A1690" s="1"/>
      <c r="B1690" s="20"/>
      <c r="C1690" s="1"/>
      <c r="D1690" s="1"/>
      <c r="E1690" s="1"/>
      <c r="F1690" s="1"/>
      <c r="G1690" s="1"/>
      <c r="H1690" s="1"/>
      <c r="I1690" s="1"/>
      <c r="J1690" s="1">
        <f>IF($F1690="","",IF($H1690="","Not rated",IF(OR($H1690=Lists!$B$3,$H1690=Lists!$B$5),IF(AND(LEFT(SUBSTITUTE($I1690," ",""),LEN($F1690)+1)=$F1690&amp;"-",LEN(SUBSTITUTE($I1690," ",""))&gt;LEN($F1690)+1),"OK","Comment required"),"OK")))</f>
      </c>
    </row>
    <row r="1691" spans="1:10" x14ac:dyDescent="0.25">
      <c r="A1691" s="1"/>
      <c r="B1691" s="20"/>
      <c r="C1691" s="1"/>
      <c r="D1691" s="1"/>
      <c r="E1691" s="1"/>
      <c r="F1691" s="1"/>
      <c r="G1691" s="1"/>
      <c r="H1691" s="1"/>
      <c r="I1691" s="1"/>
      <c r="J1691" s="1">
        <f>IF($F1691="","",IF($H1691="","Not rated",IF(OR($H1691=Lists!$B$3,$H1691=Lists!$B$5),IF(AND(LEFT(SUBSTITUTE($I1691," ",""),LEN($F1691)+1)=$F1691&amp;"-",LEN(SUBSTITUTE($I1691," ",""))&gt;LEN($F1691)+1),"OK","Comment required"),"OK")))</f>
      </c>
    </row>
    <row r="1692" spans="1:10" x14ac:dyDescent="0.25">
      <c r="A1692" s="1"/>
      <c r="B1692" s="20"/>
      <c r="C1692" s="1"/>
      <c r="D1692" s="1"/>
      <c r="E1692" s="1"/>
      <c r="F1692" s="1"/>
      <c r="G1692" s="1"/>
      <c r="H1692" s="1"/>
      <c r="I1692" s="1"/>
      <c r="J1692" s="1">
        <f>IF($F1692="","",IF($H1692="","Not rated",IF(OR($H1692=Lists!$B$3,$H1692=Lists!$B$5),IF(AND(LEFT(SUBSTITUTE($I1692," ",""),LEN($F1692)+1)=$F1692&amp;"-",LEN(SUBSTITUTE($I1692," ",""))&gt;LEN($F1692)+1),"OK","Comment required"),"OK")))</f>
      </c>
    </row>
    <row r="1693" spans="1:10" x14ac:dyDescent="0.25">
      <c r="A1693" s="1"/>
      <c r="B1693" s="20"/>
      <c r="C1693" s="1"/>
      <c r="D1693" s="1"/>
      <c r="E1693" s="1"/>
      <c r="F1693" s="1"/>
      <c r="G1693" s="1"/>
      <c r="H1693" s="1"/>
      <c r="I1693" s="1"/>
      <c r="J1693" s="1">
        <f>IF($F1693="","",IF($H1693="","Not rated",IF(OR($H1693=Lists!$B$3,$H1693=Lists!$B$5),IF(AND(LEFT(SUBSTITUTE($I1693," ",""),LEN($F1693)+1)=$F1693&amp;"-",LEN(SUBSTITUTE($I1693," ",""))&gt;LEN($F1693)+1),"OK","Comment required"),"OK")))</f>
      </c>
    </row>
    <row r="1694" spans="1:10" x14ac:dyDescent="0.25">
      <c r="A1694" s="1"/>
      <c r="B1694" s="20"/>
      <c r="C1694" s="1"/>
      <c r="D1694" s="1"/>
      <c r="E1694" s="1"/>
      <c r="F1694" s="1"/>
      <c r="G1694" s="1"/>
      <c r="H1694" s="1"/>
      <c r="I1694" s="1"/>
      <c r="J1694" s="1">
        <f>IF($F1694="","",IF($H1694="","Not rated",IF(OR($H1694=Lists!$B$3,$H1694=Lists!$B$5),IF(AND(LEFT(SUBSTITUTE($I1694," ",""),LEN($F1694)+1)=$F1694&amp;"-",LEN(SUBSTITUTE($I1694," ",""))&gt;LEN($F1694)+1),"OK","Comment required"),"OK")))</f>
      </c>
    </row>
    <row r="1695" spans="1:10" x14ac:dyDescent="0.25">
      <c r="A1695" s="1"/>
      <c r="B1695" s="20"/>
      <c r="C1695" s="1"/>
      <c r="D1695" s="1"/>
      <c r="E1695" s="1"/>
      <c r="F1695" s="1"/>
      <c r="G1695" s="1"/>
      <c r="H1695" s="1"/>
      <c r="I1695" s="1"/>
      <c r="J1695" s="1">
        <f>IF($F1695="","",IF($H1695="","Not rated",IF(OR($H1695=Lists!$B$3,$H1695=Lists!$B$5),IF(AND(LEFT(SUBSTITUTE($I1695," ",""),LEN($F1695)+1)=$F1695&amp;"-",LEN(SUBSTITUTE($I1695," ",""))&gt;LEN($F1695)+1),"OK","Comment required"),"OK")))</f>
      </c>
    </row>
    <row r="1696" spans="1:10" x14ac:dyDescent="0.25">
      <c r="A1696" s="1"/>
      <c r="B1696" s="20"/>
      <c r="C1696" s="1"/>
      <c r="D1696" s="1"/>
      <c r="E1696" s="1"/>
      <c r="F1696" s="1"/>
      <c r="G1696" s="1"/>
      <c r="H1696" s="1"/>
      <c r="I1696" s="1"/>
      <c r="J1696" s="1">
        <f>IF($F1696="","",IF($H1696="","Not rated",IF(OR($H1696=Lists!$B$3,$H1696=Lists!$B$5),IF(AND(LEFT(SUBSTITUTE($I1696," ",""),LEN($F1696)+1)=$F1696&amp;"-",LEN(SUBSTITUTE($I1696," ",""))&gt;LEN($F1696)+1),"OK","Comment required"),"OK")))</f>
      </c>
    </row>
    <row r="1697" spans="1:10" x14ac:dyDescent="0.25">
      <c r="A1697" s="1"/>
      <c r="B1697" s="20"/>
      <c r="C1697" s="1"/>
      <c r="D1697" s="1"/>
      <c r="E1697" s="1"/>
      <c r="F1697" s="1"/>
      <c r="G1697" s="1"/>
      <c r="H1697" s="1"/>
      <c r="I1697" s="1"/>
      <c r="J1697" s="1">
        <f>IF($F1697="","",IF($H1697="","Not rated",IF(OR($H1697=Lists!$B$3,$H1697=Lists!$B$5),IF(AND(LEFT(SUBSTITUTE($I1697," ",""),LEN($F1697)+1)=$F1697&amp;"-",LEN(SUBSTITUTE($I1697," ",""))&gt;LEN($F1697)+1),"OK","Comment required"),"OK")))</f>
      </c>
    </row>
    <row r="1698" spans="1:10" x14ac:dyDescent="0.25">
      <c r="A1698" s="1"/>
      <c r="B1698" s="20"/>
      <c r="C1698" s="1"/>
      <c r="D1698" s="1"/>
      <c r="E1698" s="1"/>
      <c r="F1698" s="1"/>
      <c r="G1698" s="1"/>
      <c r="H1698" s="1"/>
      <c r="I1698" s="1"/>
      <c r="J1698" s="1">
        <f>IF($F1698="","",IF($H1698="","Not rated",IF(OR($H1698=Lists!$B$3,$H1698=Lists!$B$5),IF(AND(LEFT(SUBSTITUTE($I1698," ",""),LEN($F1698)+1)=$F1698&amp;"-",LEN(SUBSTITUTE($I1698," ",""))&gt;LEN($F1698)+1),"OK","Comment required"),"OK")))</f>
      </c>
    </row>
    <row r="1699" spans="1:10" x14ac:dyDescent="0.25">
      <c r="A1699" s="1"/>
      <c r="B1699" s="20"/>
      <c r="C1699" s="1"/>
      <c r="D1699" s="1"/>
      <c r="E1699" s="1"/>
      <c r="F1699" s="1"/>
      <c r="G1699" s="1"/>
      <c r="H1699" s="1"/>
      <c r="I1699" s="1"/>
      <c r="J1699" s="1">
        <f>IF($F1699="","",IF($H1699="","Not rated",IF(OR($H1699=Lists!$B$3,$H1699=Lists!$B$5),IF(AND(LEFT(SUBSTITUTE($I1699," ",""),LEN($F1699)+1)=$F1699&amp;"-",LEN(SUBSTITUTE($I1699," ",""))&gt;LEN($F1699)+1),"OK","Comment required"),"OK")))</f>
      </c>
    </row>
    <row r="1700" spans="1:10" x14ac:dyDescent="0.25">
      <c r="A1700" s="1"/>
      <c r="B1700" s="20"/>
      <c r="C1700" s="1"/>
      <c r="D1700" s="1"/>
      <c r="E1700" s="1"/>
      <c r="F1700" s="1"/>
      <c r="G1700" s="1"/>
      <c r="H1700" s="1"/>
      <c r="I1700" s="1"/>
      <c r="J1700" s="1">
        <f>IF($F1700="","",IF($H1700="","Not rated",IF(OR($H1700=Lists!$B$3,$H1700=Lists!$B$5),IF(AND(LEFT(SUBSTITUTE($I1700," ",""),LEN($F1700)+1)=$F1700&amp;"-",LEN(SUBSTITUTE($I1700," ",""))&gt;LEN($F1700)+1),"OK","Comment required"),"OK")))</f>
      </c>
    </row>
    <row r="1701" spans="1:10" x14ac:dyDescent="0.25">
      <c r="A1701" s="1"/>
      <c r="B1701" s="20"/>
      <c r="C1701" s="1"/>
      <c r="D1701" s="1"/>
      <c r="E1701" s="1"/>
      <c r="F1701" s="1"/>
      <c r="G1701" s="1"/>
      <c r="H1701" s="1"/>
      <c r="I1701" s="1"/>
      <c r="J1701" s="1">
        <f>IF($F1701="","",IF($H1701="","Not rated",IF(OR($H1701=Lists!$B$3,$H1701=Lists!$B$5),IF(AND(LEFT(SUBSTITUTE($I1701," ",""),LEN($F1701)+1)=$F1701&amp;"-",LEN(SUBSTITUTE($I1701," ",""))&gt;LEN($F1701)+1),"OK","Comment required"),"OK")))</f>
      </c>
    </row>
    <row r="1702" spans="1:10" x14ac:dyDescent="0.25">
      <c r="A1702" s="1"/>
      <c r="B1702" s="20"/>
      <c r="C1702" s="1"/>
      <c r="D1702" s="1"/>
      <c r="E1702" s="1"/>
      <c r="F1702" s="1"/>
      <c r="G1702" s="1"/>
      <c r="H1702" s="1"/>
      <c r="I1702" s="1"/>
      <c r="J1702" s="1">
        <f>IF($F1702="","",IF($H1702="","Not rated",IF(OR($H1702=Lists!$B$3,$H1702=Lists!$B$5),IF(AND(LEFT(SUBSTITUTE($I1702," ",""),LEN($F1702)+1)=$F1702&amp;"-",LEN(SUBSTITUTE($I1702," ",""))&gt;LEN($F1702)+1),"OK","Comment required"),"OK")))</f>
      </c>
    </row>
    <row r="1703" spans="1:10" x14ac:dyDescent="0.25">
      <c r="A1703" s="1"/>
      <c r="B1703" s="20"/>
      <c r="C1703" s="1"/>
      <c r="D1703" s="1"/>
      <c r="E1703" s="1"/>
      <c r="F1703" s="1"/>
      <c r="G1703" s="1"/>
      <c r="H1703" s="1"/>
      <c r="I1703" s="1"/>
      <c r="J1703" s="1">
        <f>IF($F1703="","",IF($H1703="","Not rated",IF(OR($H1703=Lists!$B$3,$H1703=Lists!$B$5),IF(AND(LEFT(SUBSTITUTE($I1703," ",""),LEN($F1703)+1)=$F1703&amp;"-",LEN(SUBSTITUTE($I1703," ",""))&gt;LEN($F1703)+1),"OK","Comment required"),"OK")))</f>
      </c>
    </row>
    <row r="1704" spans="1:10" x14ac:dyDescent="0.25">
      <c r="A1704" s="1"/>
      <c r="B1704" s="20"/>
      <c r="C1704" s="1"/>
      <c r="D1704" s="1"/>
      <c r="E1704" s="1"/>
      <c r="F1704" s="1"/>
      <c r="G1704" s="1"/>
      <c r="H1704" s="1"/>
      <c r="I1704" s="1"/>
      <c r="J1704" s="1">
        <f>IF($F1704="","",IF($H1704="","Not rated",IF(OR($H1704=Lists!$B$3,$H1704=Lists!$B$5),IF(AND(LEFT(SUBSTITUTE($I1704," ",""),LEN($F1704)+1)=$F1704&amp;"-",LEN(SUBSTITUTE($I1704," ",""))&gt;LEN($F1704)+1),"OK","Comment required"),"OK")))</f>
      </c>
    </row>
    <row r="1705" spans="1:10" x14ac:dyDescent="0.25">
      <c r="A1705" s="1"/>
      <c r="B1705" s="20"/>
      <c r="C1705" s="1"/>
      <c r="D1705" s="1"/>
      <c r="E1705" s="1"/>
      <c r="F1705" s="1"/>
      <c r="G1705" s="1"/>
      <c r="H1705" s="1"/>
      <c r="I1705" s="1"/>
      <c r="J1705" s="1">
        <f>IF($F1705="","",IF($H1705="","Not rated",IF(OR($H1705=Lists!$B$3,$H1705=Lists!$B$5),IF(AND(LEFT(SUBSTITUTE($I1705," ",""),LEN($F1705)+1)=$F1705&amp;"-",LEN(SUBSTITUTE($I1705," ",""))&gt;LEN($F1705)+1),"OK","Comment required"),"OK")))</f>
      </c>
    </row>
    <row r="1706" spans="1:10" x14ac:dyDescent="0.25">
      <c r="A1706" s="1"/>
      <c r="B1706" s="20"/>
      <c r="C1706" s="1"/>
      <c r="D1706" s="1"/>
      <c r="E1706" s="1"/>
      <c r="F1706" s="1"/>
      <c r="G1706" s="1"/>
      <c r="H1706" s="1"/>
      <c r="I1706" s="1"/>
      <c r="J1706" s="1">
        <f>IF($F1706="","",IF($H1706="","Not rated",IF(OR($H1706=Lists!$B$3,$H1706=Lists!$B$5),IF(AND(LEFT(SUBSTITUTE($I1706," ",""),LEN($F1706)+1)=$F1706&amp;"-",LEN(SUBSTITUTE($I1706," ",""))&gt;LEN($F1706)+1),"OK","Comment required"),"OK")))</f>
      </c>
    </row>
    <row r="1707" spans="1:10" x14ac:dyDescent="0.25">
      <c r="A1707" s="1"/>
      <c r="B1707" s="20"/>
      <c r="C1707" s="1"/>
      <c r="D1707" s="1"/>
      <c r="E1707" s="1"/>
      <c r="F1707" s="1"/>
      <c r="G1707" s="1"/>
      <c r="H1707" s="1"/>
      <c r="I1707" s="1"/>
      <c r="J1707" s="1">
        <f>IF($F1707="","",IF($H1707="","Not rated",IF(OR($H1707=Lists!$B$3,$H1707=Lists!$B$5),IF(AND(LEFT(SUBSTITUTE($I1707," ",""),LEN($F1707)+1)=$F1707&amp;"-",LEN(SUBSTITUTE($I1707," ",""))&gt;LEN($F1707)+1),"OK","Comment required"),"OK")))</f>
      </c>
    </row>
    <row r="1708" spans="1:10" x14ac:dyDescent="0.25">
      <c r="A1708" s="1"/>
      <c r="B1708" s="20"/>
      <c r="C1708" s="1"/>
      <c r="D1708" s="1"/>
      <c r="E1708" s="1"/>
      <c r="F1708" s="1"/>
      <c r="G1708" s="1"/>
      <c r="H1708" s="1"/>
      <c r="I1708" s="1"/>
      <c r="J1708" s="1">
        <f>IF($F1708="","",IF($H1708="","Not rated",IF(OR($H1708=Lists!$B$3,$H1708=Lists!$B$5),IF(AND(LEFT(SUBSTITUTE($I1708," ",""),LEN($F1708)+1)=$F1708&amp;"-",LEN(SUBSTITUTE($I1708," ",""))&gt;LEN($F1708)+1),"OK","Comment required"),"OK")))</f>
      </c>
    </row>
    <row r="1709" spans="1:10" x14ac:dyDescent="0.25">
      <c r="A1709" s="1"/>
      <c r="B1709" s="20"/>
      <c r="C1709" s="1"/>
      <c r="D1709" s="1"/>
      <c r="E1709" s="1"/>
      <c r="F1709" s="1"/>
      <c r="G1709" s="1"/>
      <c r="H1709" s="1"/>
      <c r="I1709" s="1"/>
      <c r="J1709" s="1">
        <f>IF($F1709="","",IF($H1709="","Not rated",IF(OR($H1709=Lists!$B$3,$H1709=Lists!$B$5),IF(AND(LEFT(SUBSTITUTE($I1709," ",""),LEN($F1709)+1)=$F1709&amp;"-",LEN(SUBSTITUTE($I1709," ",""))&gt;LEN($F1709)+1),"OK","Comment required"),"OK")))</f>
      </c>
    </row>
    <row r="1710" spans="1:10" x14ac:dyDescent="0.25">
      <c r="A1710" s="1"/>
      <c r="B1710" s="20"/>
      <c r="C1710" s="1"/>
      <c r="D1710" s="1"/>
      <c r="E1710" s="1"/>
      <c r="F1710" s="1"/>
      <c r="G1710" s="1"/>
      <c r="H1710" s="1"/>
      <c r="I1710" s="1"/>
      <c r="J1710" s="1">
        <f>IF($F1710="","",IF($H1710="","Not rated",IF(OR($H1710=Lists!$B$3,$H1710=Lists!$B$5),IF(AND(LEFT(SUBSTITUTE($I1710," ",""),LEN($F1710)+1)=$F1710&amp;"-",LEN(SUBSTITUTE($I1710," ",""))&gt;LEN($F1710)+1),"OK","Comment required"),"OK")))</f>
      </c>
    </row>
    <row r="1711" spans="1:10" x14ac:dyDescent="0.25">
      <c r="A1711" s="1"/>
      <c r="B1711" s="20"/>
      <c r="C1711" s="1"/>
      <c r="D1711" s="1"/>
      <c r="E1711" s="1"/>
      <c r="F1711" s="1"/>
      <c r="G1711" s="1"/>
      <c r="H1711" s="1"/>
      <c r="I1711" s="1"/>
      <c r="J1711" s="1">
        <f>IF($F1711="","",IF($H1711="","Not rated",IF(OR($H1711=Lists!$B$3,$H1711=Lists!$B$5),IF(AND(LEFT(SUBSTITUTE($I1711," ",""),LEN($F1711)+1)=$F1711&amp;"-",LEN(SUBSTITUTE($I1711," ",""))&gt;LEN($F1711)+1),"OK","Comment required"),"OK")))</f>
      </c>
    </row>
    <row r="1712" spans="1:10" x14ac:dyDescent="0.25">
      <c r="A1712" s="1"/>
      <c r="B1712" s="20"/>
      <c r="C1712" s="1"/>
      <c r="D1712" s="1"/>
      <c r="E1712" s="1"/>
      <c r="F1712" s="1"/>
      <c r="G1712" s="1"/>
      <c r="H1712" s="1"/>
      <c r="I1712" s="1"/>
      <c r="J1712" s="1">
        <f>IF($F1712="","",IF($H1712="","Not rated",IF(OR($H1712=Lists!$B$3,$H1712=Lists!$B$5),IF(AND(LEFT(SUBSTITUTE($I1712," ",""),LEN($F1712)+1)=$F1712&amp;"-",LEN(SUBSTITUTE($I1712," ",""))&gt;LEN($F1712)+1),"OK","Comment required"),"OK")))</f>
      </c>
    </row>
    <row r="1713" spans="1:10" x14ac:dyDescent="0.25">
      <c r="A1713" s="1"/>
      <c r="B1713" s="20"/>
      <c r="C1713" s="1"/>
      <c r="D1713" s="1"/>
      <c r="E1713" s="1"/>
      <c r="F1713" s="1"/>
      <c r="G1713" s="1"/>
      <c r="H1713" s="1"/>
      <c r="I1713" s="1"/>
      <c r="J1713" s="1">
        <f>IF($F1713="","",IF($H1713="","Not rated",IF(OR($H1713=Lists!$B$3,$H1713=Lists!$B$5),IF(AND(LEFT(SUBSTITUTE($I1713," ",""),LEN($F1713)+1)=$F1713&amp;"-",LEN(SUBSTITUTE($I1713," ",""))&gt;LEN($F1713)+1),"OK","Comment required"),"OK")))</f>
      </c>
    </row>
    <row r="1714" spans="1:10" x14ac:dyDescent="0.25">
      <c r="A1714" s="1"/>
      <c r="B1714" s="20"/>
      <c r="C1714" s="1"/>
      <c r="D1714" s="1"/>
      <c r="E1714" s="1"/>
      <c r="F1714" s="1"/>
      <c r="G1714" s="1"/>
      <c r="H1714" s="1"/>
      <c r="I1714" s="1"/>
      <c r="J1714" s="1">
        <f>IF($F1714="","",IF($H1714="","Not rated",IF(OR($H1714=Lists!$B$3,$H1714=Lists!$B$5),IF(AND(LEFT(SUBSTITUTE($I1714," ",""),LEN($F1714)+1)=$F1714&amp;"-",LEN(SUBSTITUTE($I1714," ",""))&gt;LEN($F1714)+1),"OK","Comment required"),"OK")))</f>
      </c>
    </row>
    <row r="1715" spans="1:10" x14ac:dyDescent="0.25">
      <c r="A1715" s="1"/>
      <c r="B1715" s="20"/>
      <c r="C1715" s="1"/>
      <c r="D1715" s="1"/>
      <c r="E1715" s="1"/>
      <c r="F1715" s="1"/>
      <c r="G1715" s="1"/>
      <c r="H1715" s="1"/>
      <c r="I1715" s="1"/>
      <c r="J1715" s="1">
        <f>IF($F1715="","",IF($H1715="","Not rated",IF(OR($H1715=Lists!$B$3,$H1715=Lists!$B$5),IF(AND(LEFT(SUBSTITUTE($I1715," ",""),LEN($F1715)+1)=$F1715&amp;"-",LEN(SUBSTITUTE($I1715," ",""))&gt;LEN($F1715)+1),"OK","Comment required"),"OK")))</f>
      </c>
    </row>
    <row r="1716" spans="1:10" x14ac:dyDescent="0.25">
      <c r="A1716" s="1"/>
      <c r="B1716" s="20"/>
      <c r="C1716" s="1"/>
      <c r="D1716" s="1"/>
      <c r="E1716" s="1"/>
      <c r="F1716" s="1"/>
      <c r="G1716" s="1"/>
      <c r="H1716" s="1"/>
      <c r="I1716" s="1"/>
      <c r="J1716" s="1">
        <f>IF($F1716="","",IF($H1716="","Not rated",IF(OR($H1716=Lists!$B$3,$H1716=Lists!$B$5),IF(AND(LEFT(SUBSTITUTE($I1716," ",""),LEN($F1716)+1)=$F1716&amp;"-",LEN(SUBSTITUTE($I1716," ",""))&gt;LEN($F1716)+1),"OK","Comment required"),"OK")))</f>
      </c>
    </row>
    <row r="1717" spans="1:10" x14ac:dyDescent="0.25">
      <c r="A1717" s="1"/>
      <c r="B1717" s="20"/>
      <c r="C1717" s="1"/>
      <c r="D1717" s="1"/>
      <c r="E1717" s="1"/>
      <c r="F1717" s="1"/>
      <c r="G1717" s="1"/>
      <c r="H1717" s="1"/>
      <c r="I1717" s="1"/>
      <c r="J1717" s="1">
        <f>IF($F1717="","",IF($H1717="","Not rated",IF(OR($H1717=Lists!$B$3,$H1717=Lists!$B$5),IF(AND(LEFT(SUBSTITUTE($I1717," ",""),LEN($F1717)+1)=$F1717&amp;"-",LEN(SUBSTITUTE($I1717," ",""))&gt;LEN($F1717)+1),"OK","Comment required"),"OK")))</f>
      </c>
    </row>
    <row r="1718" spans="1:10" x14ac:dyDescent="0.25">
      <c r="A1718" s="1"/>
      <c r="B1718" s="20"/>
      <c r="C1718" s="1"/>
      <c r="D1718" s="1"/>
      <c r="E1718" s="1"/>
      <c r="F1718" s="1"/>
      <c r="G1718" s="1"/>
      <c r="H1718" s="1"/>
      <c r="I1718" s="1"/>
      <c r="J1718" s="1">
        <f>IF($F1718="","",IF($H1718="","Not rated",IF(OR($H1718=Lists!$B$3,$H1718=Lists!$B$5),IF(AND(LEFT(SUBSTITUTE($I1718," ",""),LEN($F1718)+1)=$F1718&amp;"-",LEN(SUBSTITUTE($I1718," ",""))&gt;LEN($F1718)+1),"OK","Comment required"),"OK")))</f>
      </c>
    </row>
    <row r="1719" spans="1:10" x14ac:dyDescent="0.25">
      <c r="A1719" s="1"/>
      <c r="B1719" s="20"/>
      <c r="C1719" s="1"/>
      <c r="D1719" s="1"/>
      <c r="E1719" s="1"/>
      <c r="F1719" s="1"/>
      <c r="G1719" s="1"/>
      <c r="H1719" s="1"/>
      <c r="I1719" s="1"/>
      <c r="J1719" s="1">
        <f>IF($F1719="","",IF($H1719="","Not rated",IF(OR($H1719=Lists!$B$3,$H1719=Lists!$B$5),IF(AND(LEFT(SUBSTITUTE($I1719," ",""),LEN($F1719)+1)=$F1719&amp;"-",LEN(SUBSTITUTE($I1719," ",""))&gt;LEN($F1719)+1),"OK","Comment required"),"OK")))</f>
      </c>
    </row>
    <row r="1720" spans="1:10" x14ac:dyDescent="0.25">
      <c r="A1720" s="1"/>
      <c r="B1720" s="20"/>
      <c r="C1720" s="1"/>
      <c r="D1720" s="1"/>
      <c r="E1720" s="1"/>
      <c r="F1720" s="1"/>
      <c r="G1720" s="1"/>
      <c r="H1720" s="1"/>
      <c r="I1720" s="1"/>
      <c r="J1720" s="1">
        <f>IF($F1720="","",IF($H1720="","Not rated",IF(OR($H1720=Lists!$B$3,$H1720=Lists!$B$5),IF(AND(LEFT(SUBSTITUTE($I1720," ",""),LEN($F1720)+1)=$F1720&amp;"-",LEN(SUBSTITUTE($I1720," ",""))&gt;LEN($F1720)+1),"OK","Comment required"),"OK")))</f>
      </c>
    </row>
    <row r="1721" spans="1:10" x14ac:dyDescent="0.25">
      <c r="A1721" s="1"/>
      <c r="B1721" s="20"/>
      <c r="C1721" s="1"/>
      <c r="D1721" s="1"/>
      <c r="E1721" s="1"/>
      <c r="F1721" s="1"/>
      <c r="G1721" s="1"/>
      <c r="H1721" s="1"/>
      <c r="I1721" s="1"/>
      <c r="J1721" s="1">
        <f>IF($F1721="","",IF($H1721="","Not rated",IF(OR($H1721=Lists!$B$3,$H1721=Lists!$B$5),IF(AND(LEFT(SUBSTITUTE($I1721," ",""),LEN($F1721)+1)=$F1721&amp;"-",LEN(SUBSTITUTE($I1721," ",""))&gt;LEN($F1721)+1),"OK","Comment required"),"OK")))</f>
      </c>
    </row>
    <row r="1722" spans="1:10" x14ac:dyDescent="0.25">
      <c r="A1722" s="1"/>
      <c r="B1722" s="20"/>
      <c r="C1722" s="1"/>
      <c r="D1722" s="1"/>
      <c r="E1722" s="1"/>
      <c r="F1722" s="1"/>
      <c r="G1722" s="1"/>
      <c r="H1722" s="1"/>
      <c r="I1722" s="1"/>
      <c r="J1722" s="1">
        <f>IF($F1722="","",IF($H1722="","Not rated",IF(OR($H1722=Lists!$B$3,$H1722=Lists!$B$5),IF(AND(LEFT(SUBSTITUTE($I1722," ",""),LEN($F1722)+1)=$F1722&amp;"-",LEN(SUBSTITUTE($I1722," ",""))&gt;LEN($F1722)+1),"OK","Comment required"),"OK")))</f>
      </c>
    </row>
    <row r="1723" spans="1:10" x14ac:dyDescent="0.25">
      <c r="A1723" s="1"/>
      <c r="B1723" s="20"/>
      <c r="C1723" s="1"/>
      <c r="D1723" s="1"/>
      <c r="E1723" s="1"/>
      <c r="F1723" s="1"/>
      <c r="G1723" s="1"/>
      <c r="H1723" s="1"/>
      <c r="I1723" s="1"/>
      <c r="J1723" s="1">
        <f>IF($F1723="","",IF($H1723="","Not rated",IF(OR($H1723=Lists!$B$3,$H1723=Lists!$B$5),IF(AND(LEFT(SUBSTITUTE($I1723," ",""),LEN($F1723)+1)=$F1723&amp;"-",LEN(SUBSTITUTE($I1723," ",""))&gt;LEN($F1723)+1),"OK","Comment required"),"OK")))</f>
      </c>
    </row>
    <row r="1724" spans="1:10" x14ac:dyDescent="0.25">
      <c r="A1724" s="1"/>
      <c r="B1724" s="20"/>
      <c r="C1724" s="1"/>
      <c r="D1724" s="1"/>
      <c r="E1724" s="1"/>
      <c r="F1724" s="1"/>
      <c r="G1724" s="1"/>
      <c r="H1724" s="1"/>
      <c r="I1724" s="1"/>
      <c r="J1724" s="1">
        <f>IF($F1724="","",IF($H1724="","Not rated",IF(OR($H1724=Lists!$B$3,$H1724=Lists!$B$5),IF(AND(LEFT(SUBSTITUTE($I1724," ",""),LEN($F1724)+1)=$F1724&amp;"-",LEN(SUBSTITUTE($I1724," ",""))&gt;LEN($F1724)+1),"OK","Comment required"),"OK")))</f>
      </c>
    </row>
    <row r="1725" spans="1:10" x14ac:dyDescent="0.25">
      <c r="A1725" s="1"/>
      <c r="B1725" s="20"/>
      <c r="C1725" s="1"/>
      <c r="D1725" s="1"/>
      <c r="E1725" s="1"/>
      <c r="F1725" s="1"/>
      <c r="G1725" s="1"/>
      <c r="H1725" s="1"/>
      <c r="I1725" s="1"/>
      <c r="J1725" s="1">
        <f>IF($F1725="","",IF($H1725="","Not rated",IF(OR($H1725=Lists!$B$3,$H1725=Lists!$B$5),IF(AND(LEFT(SUBSTITUTE($I1725," ",""),LEN($F1725)+1)=$F1725&amp;"-",LEN(SUBSTITUTE($I1725," ",""))&gt;LEN($F1725)+1),"OK","Comment required"),"OK")))</f>
      </c>
    </row>
    <row r="1726" spans="1:10" x14ac:dyDescent="0.25">
      <c r="A1726" s="1"/>
      <c r="B1726" s="20"/>
      <c r="C1726" s="1"/>
      <c r="D1726" s="1"/>
      <c r="E1726" s="1"/>
      <c r="F1726" s="1"/>
      <c r="G1726" s="1"/>
      <c r="H1726" s="1"/>
      <c r="I1726" s="1"/>
      <c r="J1726" s="1">
        <f>IF($F1726="","",IF($H1726="","Not rated",IF(OR($H1726=Lists!$B$3,$H1726=Lists!$B$5),IF(AND(LEFT(SUBSTITUTE($I1726," ",""),LEN($F1726)+1)=$F1726&amp;"-",LEN(SUBSTITUTE($I1726," ",""))&gt;LEN($F1726)+1),"OK","Comment required"),"OK")))</f>
      </c>
    </row>
    <row r="1727" spans="1:10" x14ac:dyDescent="0.25">
      <c r="A1727" s="1"/>
      <c r="B1727" s="20"/>
      <c r="C1727" s="1"/>
      <c r="D1727" s="1"/>
      <c r="E1727" s="1"/>
      <c r="F1727" s="1"/>
      <c r="G1727" s="1"/>
      <c r="H1727" s="1"/>
      <c r="I1727" s="1"/>
      <c r="J1727" s="1">
        <f>IF($F1727="","",IF($H1727="","Not rated",IF(OR($H1727=Lists!$B$3,$H1727=Lists!$B$5),IF(AND(LEFT(SUBSTITUTE($I1727," ",""),LEN($F1727)+1)=$F1727&amp;"-",LEN(SUBSTITUTE($I1727," ",""))&gt;LEN($F1727)+1),"OK","Comment required"),"OK")))</f>
      </c>
    </row>
    <row r="1728" spans="1:10" x14ac:dyDescent="0.25">
      <c r="A1728" s="1"/>
      <c r="B1728" s="20"/>
      <c r="C1728" s="1"/>
      <c r="D1728" s="1"/>
      <c r="E1728" s="1"/>
      <c r="F1728" s="1"/>
      <c r="G1728" s="1"/>
      <c r="H1728" s="1"/>
      <c r="I1728" s="1"/>
      <c r="J1728" s="1">
        <f>IF($F1728="","",IF($H1728="","Not rated",IF(OR($H1728=Lists!$B$3,$H1728=Lists!$B$5),IF(AND(LEFT(SUBSTITUTE($I1728," ",""),LEN($F1728)+1)=$F1728&amp;"-",LEN(SUBSTITUTE($I1728," ",""))&gt;LEN($F1728)+1),"OK","Comment required"),"OK")))</f>
      </c>
    </row>
    <row r="1729" spans="1:10" x14ac:dyDescent="0.25">
      <c r="A1729" s="1"/>
      <c r="B1729" s="20"/>
      <c r="C1729" s="1"/>
      <c r="D1729" s="1"/>
      <c r="E1729" s="1"/>
      <c r="F1729" s="1"/>
      <c r="G1729" s="1"/>
      <c r="H1729" s="1"/>
      <c r="I1729" s="1"/>
      <c r="J1729" s="1">
        <f>IF($F1729="","",IF($H1729="","Not rated",IF(OR($H1729=Lists!$B$3,$H1729=Lists!$B$5),IF(AND(LEFT(SUBSTITUTE($I1729," ",""),LEN($F1729)+1)=$F1729&amp;"-",LEN(SUBSTITUTE($I1729," ",""))&gt;LEN($F1729)+1),"OK","Comment required"),"OK")))</f>
      </c>
    </row>
    <row r="1730" spans="1:10" x14ac:dyDescent="0.25">
      <c r="A1730" s="1"/>
      <c r="B1730" s="20"/>
      <c r="C1730" s="1"/>
      <c r="D1730" s="1"/>
      <c r="E1730" s="1"/>
      <c r="F1730" s="1"/>
      <c r="G1730" s="1"/>
      <c r="H1730" s="1"/>
      <c r="I1730" s="1"/>
      <c r="J1730" s="1">
        <f>IF($F1730="","",IF($H1730="","Not rated",IF(OR($H1730=Lists!$B$3,$H1730=Lists!$B$5),IF(AND(LEFT(SUBSTITUTE($I1730," ",""),LEN($F1730)+1)=$F1730&amp;"-",LEN(SUBSTITUTE($I1730," ",""))&gt;LEN($F1730)+1),"OK","Comment required"),"OK")))</f>
      </c>
    </row>
    <row r="1731" spans="1:10" x14ac:dyDescent="0.25">
      <c r="A1731" s="1"/>
      <c r="B1731" s="20"/>
      <c r="C1731" s="1"/>
      <c r="D1731" s="1"/>
      <c r="E1731" s="1"/>
      <c r="F1731" s="1"/>
      <c r="G1731" s="1"/>
      <c r="H1731" s="1"/>
      <c r="I1731" s="1"/>
      <c r="J1731" s="1">
        <f>IF($F1731="","",IF($H1731="","Not rated",IF(OR($H1731=Lists!$B$3,$H1731=Lists!$B$5),IF(AND(LEFT(SUBSTITUTE($I1731," ",""),LEN($F1731)+1)=$F1731&amp;"-",LEN(SUBSTITUTE($I1731," ",""))&gt;LEN($F1731)+1),"OK","Comment required"),"OK")))</f>
      </c>
    </row>
    <row r="1732" spans="1:10" x14ac:dyDescent="0.25">
      <c r="A1732" s="1"/>
      <c r="B1732" s="20"/>
      <c r="C1732" s="1"/>
      <c r="D1732" s="1"/>
      <c r="E1732" s="1"/>
      <c r="F1732" s="1"/>
      <c r="G1732" s="1"/>
      <c r="H1732" s="1"/>
      <c r="I1732" s="1"/>
      <c r="J1732" s="1">
        <f>IF($F1732="","",IF($H1732="","Not rated",IF(OR($H1732=Lists!$B$3,$H1732=Lists!$B$5),IF(AND(LEFT(SUBSTITUTE($I1732," ",""),LEN($F1732)+1)=$F1732&amp;"-",LEN(SUBSTITUTE($I1732," ",""))&gt;LEN($F1732)+1),"OK","Comment required"),"OK")))</f>
      </c>
    </row>
    <row r="1733" spans="1:10" x14ac:dyDescent="0.25">
      <c r="A1733" s="1"/>
      <c r="B1733" s="20"/>
      <c r="C1733" s="1"/>
      <c r="D1733" s="1"/>
      <c r="E1733" s="1"/>
      <c r="F1733" s="1"/>
      <c r="G1733" s="1"/>
      <c r="H1733" s="1"/>
      <c r="I1733" s="1"/>
      <c r="J1733" s="1">
        <f>IF($F1733="","",IF($H1733="","Not rated",IF(OR($H1733=Lists!$B$3,$H1733=Lists!$B$5),IF(AND(LEFT(SUBSTITUTE($I1733," ",""),LEN($F1733)+1)=$F1733&amp;"-",LEN(SUBSTITUTE($I1733," ",""))&gt;LEN($F1733)+1),"OK","Comment required"),"OK")))</f>
      </c>
    </row>
    <row r="1734" spans="1:10" x14ac:dyDescent="0.25">
      <c r="A1734" s="1"/>
      <c r="B1734" s="20"/>
      <c r="C1734" s="1"/>
      <c r="D1734" s="1"/>
      <c r="E1734" s="1"/>
      <c r="F1734" s="1"/>
      <c r="G1734" s="1"/>
      <c r="H1734" s="1"/>
      <c r="I1734" s="1"/>
      <c r="J1734" s="1">
        <f>IF($F1734="","",IF($H1734="","Not rated",IF(OR($H1734=Lists!$B$3,$H1734=Lists!$B$5),IF(AND(LEFT(SUBSTITUTE($I1734," ",""),LEN($F1734)+1)=$F1734&amp;"-",LEN(SUBSTITUTE($I1734," ",""))&gt;LEN($F1734)+1),"OK","Comment required"),"OK")))</f>
      </c>
    </row>
    <row r="1735" spans="1:10" x14ac:dyDescent="0.25">
      <c r="A1735" s="1"/>
      <c r="B1735" s="20"/>
      <c r="C1735" s="1"/>
      <c r="D1735" s="1"/>
      <c r="E1735" s="1"/>
      <c r="F1735" s="1"/>
      <c r="G1735" s="1"/>
      <c r="H1735" s="1"/>
      <c r="I1735" s="1"/>
      <c r="J1735" s="1">
        <f>IF($F1735="","",IF($H1735="","Not rated",IF(OR($H1735=Lists!$B$3,$H1735=Lists!$B$5),IF(AND(LEFT(SUBSTITUTE($I1735," ",""),LEN($F1735)+1)=$F1735&amp;"-",LEN(SUBSTITUTE($I1735," ",""))&gt;LEN($F1735)+1),"OK","Comment required"),"OK")))</f>
      </c>
    </row>
    <row r="1736" spans="1:10" x14ac:dyDescent="0.25">
      <c r="A1736" s="1"/>
      <c r="B1736" s="20"/>
      <c r="C1736" s="1"/>
      <c r="D1736" s="1"/>
      <c r="E1736" s="1"/>
      <c r="F1736" s="1"/>
      <c r="G1736" s="1"/>
      <c r="H1736" s="1"/>
      <c r="I1736" s="1"/>
      <c r="J1736" s="1">
        <f>IF($F1736="","",IF($H1736="","Not rated",IF(OR($H1736=Lists!$B$3,$H1736=Lists!$B$5),IF(AND(LEFT(SUBSTITUTE($I1736," ",""),LEN($F1736)+1)=$F1736&amp;"-",LEN(SUBSTITUTE($I1736," ",""))&gt;LEN($F1736)+1),"OK","Comment required"),"OK")))</f>
      </c>
    </row>
    <row r="1737" spans="1:10" x14ac:dyDescent="0.25">
      <c r="A1737" s="1"/>
      <c r="B1737" s="20"/>
      <c r="C1737" s="1"/>
      <c r="D1737" s="1"/>
      <c r="E1737" s="1"/>
      <c r="F1737" s="1"/>
      <c r="G1737" s="1"/>
      <c r="H1737" s="1"/>
      <c r="I1737" s="1"/>
      <c r="J1737" s="1">
        <f>IF($F1737="","",IF($H1737="","Not rated",IF(OR($H1737=Lists!$B$3,$H1737=Lists!$B$5),IF(AND(LEFT(SUBSTITUTE($I1737," ",""),LEN($F1737)+1)=$F1737&amp;"-",LEN(SUBSTITUTE($I1737," ",""))&gt;LEN($F1737)+1),"OK","Comment required"),"OK")))</f>
      </c>
    </row>
    <row r="1738" spans="1:10" x14ac:dyDescent="0.25">
      <c r="A1738" s="1"/>
      <c r="B1738" s="20"/>
      <c r="C1738" s="1"/>
      <c r="D1738" s="1"/>
      <c r="E1738" s="1"/>
      <c r="F1738" s="1"/>
      <c r="G1738" s="1"/>
      <c r="H1738" s="1"/>
      <c r="I1738" s="1"/>
      <c r="J1738" s="1">
        <f>IF($F1738="","",IF($H1738="","Not rated",IF(OR($H1738=Lists!$B$3,$H1738=Lists!$B$5),IF(AND(LEFT(SUBSTITUTE($I1738," ",""),LEN($F1738)+1)=$F1738&amp;"-",LEN(SUBSTITUTE($I1738," ",""))&gt;LEN($F1738)+1),"OK","Comment required"),"OK")))</f>
      </c>
    </row>
    <row r="1739" spans="1:10" x14ac:dyDescent="0.25">
      <c r="A1739" s="1"/>
      <c r="B1739" s="20"/>
      <c r="C1739" s="1"/>
      <c r="D1739" s="1"/>
      <c r="E1739" s="1"/>
      <c r="F1739" s="1"/>
      <c r="G1739" s="1"/>
      <c r="H1739" s="1"/>
      <c r="I1739" s="1"/>
      <c r="J1739" s="1">
        <f>IF($F1739="","",IF($H1739="","Not rated",IF(OR($H1739=Lists!$B$3,$H1739=Lists!$B$5),IF(AND(LEFT(SUBSTITUTE($I1739," ",""),LEN($F1739)+1)=$F1739&amp;"-",LEN(SUBSTITUTE($I1739," ",""))&gt;LEN($F1739)+1),"OK","Comment required"),"OK")))</f>
      </c>
    </row>
    <row r="1740" spans="1:10" x14ac:dyDescent="0.25">
      <c r="A1740" s="1"/>
      <c r="B1740" s="20"/>
      <c r="C1740" s="1"/>
      <c r="D1740" s="1"/>
      <c r="E1740" s="1"/>
      <c r="F1740" s="1"/>
      <c r="G1740" s="1"/>
      <c r="H1740" s="1"/>
      <c r="I1740" s="1"/>
      <c r="J1740" s="1">
        <f>IF($F1740="","",IF($H1740="","Not rated",IF(OR($H1740=Lists!$B$3,$H1740=Lists!$B$5),IF(AND(LEFT(SUBSTITUTE($I1740," ",""),LEN($F1740)+1)=$F1740&amp;"-",LEN(SUBSTITUTE($I1740," ",""))&gt;LEN($F1740)+1),"OK","Comment required"),"OK")))</f>
      </c>
    </row>
    <row r="1741" spans="1:10" x14ac:dyDescent="0.25">
      <c r="A1741" s="1"/>
      <c r="B1741" s="20"/>
      <c r="C1741" s="1"/>
      <c r="D1741" s="1"/>
      <c r="E1741" s="1"/>
      <c r="F1741" s="1"/>
      <c r="G1741" s="1"/>
      <c r="H1741" s="1"/>
      <c r="I1741" s="1"/>
      <c r="J1741" s="1">
        <f>IF($F1741="","",IF($H1741="","Not rated",IF(OR($H1741=Lists!$B$3,$H1741=Lists!$B$5),IF(AND(LEFT(SUBSTITUTE($I1741," ",""),LEN($F1741)+1)=$F1741&amp;"-",LEN(SUBSTITUTE($I1741," ",""))&gt;LEN($F1741)+1),"OK","Comment required"),"OK")))</f>
      </c>
    </row>
    <row r="1742" spans="1:10" x14ac:dyDescent="0.25">
      <c r="A1742" s="1"/>
      <c r="B1742" s="20"/>
      <c r="C1742" s="1"/>
      <c r="D1742" s="1"/>
      <c r="E1742" s="1"/>
      <c r="F1742" s="1"/>
      <c r="G1742" s="1"/>
      <c r="H1742" s="1"/>
      <c r="I1742" s="1"/>
      <c r="J1742" s="1">
        <f>IF($F1742="","",IF($H1742="","Not rated",IF(OR($H1742=Lists!$B$3,$H1742=Lists!$B$5),IF(AND(LEFT(SUBSTITUTE($I1742," ",""),LEN($F1742)+1)=$F1742&amp;"-",LEN(SUBSTITUTE($I1742," ",""))&gt;LEN($F1742)+1),"OK","Comment required"),"OK")))</f>
      </c>
    </row>
    <row r="1743" spans="1:10" x14ac:dyDescent="0.25">
      <c r="A1743" s="1"/>
      <c r="B1743" s="20"/>
      <c r="C1743" s="1"/>
      <c r="D1743" s="1"/>
      <c r="E1743" s="1"/>
      <c r="F1743" s="1"/>
      <c r="G1743" s="1"/>
      <c r="H1743" s="1"/>
      <c r="I1743" s="1"/>
      <c r="J1743" s="1">
        <f>IF($F1743="","",IF($H1743="","Not rated",IF(OR($H1743=Lists!$B$3,$H1743=Lists!$B$5),IF(AND(LEFT(SUBSTITUTE($I1743," ",""),LEN($F1743)+1)=$F1743&amp;"-",LEN(SUBSTITUTE($I1743," ",""))&gt;LEN($F1743)+1),"OK","Comment required"),"OK")))</f>
      </c>
    </row>
    <row r="1744" spans="1:10" x14ac:dyDescent="0.25">
      <c r="A1744" s="1"/>
      <c r="B1744" s="20"/>
      <c r="C1744" s="1"/>
      <c r="D1744" s="1"/>
      <c r="E1744" s="1"/>
      <c r="F1744" s="1"/>
      <c r="G1744" s="1"/>
      <c r="H1744" s="1"/>
      <c r="I1744" s="1"/>
      <c r="J1744" s="1">
        <f>IF($F1744="","",IF($H1744="","Not rated",IF(OR($H1744=Lists!$B$3,$H1744=Lists!$B$5),IF(AND(LEFT(SUBSTITUTE($I1744," ",""),LEN($F1744)+1)=$F1744&amp;"-",LEN(SUBSTITUTE($I1744," ",""))&gt;LEN($F1744)+1),"OK","Comment required"),"OK")))</f>
      </c>
    </row>
    <row r="1745" spans="1:10" x14ac:dyDescent="0.25">
      <c r="A1745" s="1"/>
      <c r="B1745" s="20"/>
      <c r="C1745" s="1"/>
      <c r="D1745" s="1"/>
      <c r="E1745" s="1"/>
      <c r="F1745" s="1"/>
      <c r="G1745" s="1"/>
      <c r="H1745" s="1"/>
      <c r="I1745" s="1"/>
      <c r="J1745" s="1">
        <f>IF($F1745="","",IF($H1745="","Not rated",IF(OR($H1745=Lists!$B$3,$H1745=Lists!$B$5),IF(AND(LEFT(SUBSTITUTE($I1745," ",""),LEN($F1745)+1)=$F1745&amp;"-",LEN(SUBSTITUTE($I1745," ",""))&gt;LEN($F1745)+1),"OK","Comment required"),"OK")))</f>
      </c>
    </row>
    <row r="1746" spans="1:10" x14ac:dyDescent="0.25">
      <c r="A1746" s="1"/>
      <c r="B1746" s="20"/>
      <c r="C1746" s="1"/>
      <c r="D1746" s="1"/>
      <c r="E1746" s="1"/>
      <c r="F1746" s="1"/>
      <c r="G1746" s="1"/>
      <c r="H1746" s="1"/>
      <c r="I1746" s="1"/>
      <c r="J1746" s="1">
        <f>IF($F1746="","",IF($H1746="","Not rated",IF(OR($H1746=Lists!$B$3,$H1746=Lists!$B$5),IF(AND(LEFT(SUBSTITUTE($I1746," ",""),LEN($F1746)+1)=$F1746&amp;"-",LEN(SUBSTITUTE($I1746," ",""))&gt;LEN($F1746)+1),"OK","Comment required"),"OK")))</f>
      </c>
    </row>
    <row r="1747" spans="1:10" x14ac:dyDescent="0.25">
      <c r="A1747" s="1"/>
      <c r="B1747" s="20"/>
      <c r="C1747" s="1"/>
      <c r="D1747" s="1"/>
      <c r="E1747" s="1"/>
      <c r="F1747" s="1"/>
      <c r="G1747" s="1"/>
      <c r="H1747" s="1"/>
      <c r="I1747" s="1"/>
      <c r="J1747" s="1">
        <f>IF($F1747="","",IF($H1747="","Not rated",IF(OR($H1747=Lists!$B$3,$H1747=Lists!$B$5),IF(AND(LEFT(SUBSTITUTE($I1747," ",""),LEN($F1747)+1)=$F1747&amp;"-",LEN(SUBSTITUTE($I1747," ",""))&gt;LEN($F1747)+1),"OK","Comment required"),"OK")))</f>
      </c>
    </row>
    <row r="1748" spans="1:10" x14ac:dyDescent="0.25">
      <c r="A1748" s="1"/>
      <c r="B1748" s="20"/>
      <c r="C1748" s="1"/>
      <c r="D1748" s="1"/>
      <c r="E1748" s="1"/>
      <c r="F1748" s="1"/>
      <c r="G1748" s="1"/>
      <c r="H1748" s="1"/>
      <c r="I1748" s="1"/>
      <c r="J1748" s="1">
        <f>IF($F1748="","",IF($H1748="","Not rated",IF(OR($H1748=Lists!$B$3,$H1748=Lists!$B$5),IF(AND(LEFT(SUBSTITUTE($I1748," ",""),LEN($F1748)+1)=$F1748&amp;"-",LEN(SUBSTITUTE($I1748," ",""))&gt;LEN($F1748)+1),"OK","Comment required"),"OK")))</f>
      </c>
    </row>
    <row r="1749" spans="1:10" x14ac:dyDescent="0.25">
      <c r="A1749" s="1"/>
      <c r="B1749" s="20"/>
      <c r="C1749" s="1"/>
      <c r="D1749" s="1"/>
      <c r="E1749" s="1"/>
      <c r="F1749" s="1"/>
      <c r="G1749" s="1"/>
      <c r="H1749" s="1"/>
      <c r="I1749" s="1"/>
      <c r="J1749" s="1">
        <f>IF($F1749="","",IF($H1749="","Not rated",IF(OR($H1749=Lists!$B$3,$H1749=Lists!$B$5),IF(AND(LEFT(SUBSTITUTE($I1749," ",""),LEN($F1749)+1)=$F1749&amp;"-",LEN(SUBSTITUTE($I1749," ",""))&gt;LEN($F1749)+1),"OK","Comment required"),"OK")))</f>
      </c>
    </row>
    <row r="1750" spans="1:10" x14ac:dyDescent="0.25">
      <c r="A1750" s="1"/>
      <c r="B1750" s="20"/>
      <c r="C1750" s="1"/>
      <c r="D1750" s="1"/>
      <c r="E1750" s="1"/>
      <c r="F1750" s="1"/>
      <c r="G1750" s="1"/>
      <c r="H1750" s="1"/>
      <c r="I1750" s="1"/>
      <c r="J1750" s="1">
        <f>IF($F1750="","",IF($H1750="","Not rated",IF(OR($H1750=Lists!$B$3,$H1750=Lists!$B$5),IF(AND(LEFT(SUBSTITUTE($I1750," ",""),LEN($F1750)+1)=$F1750&amp;"-",LEN(SUBSTITUTE($I1750," ",""))&gt;LEN($F1750)+1),"OK","Comment required"),"OK")))</f>
      </c>
    </row>
    <row r="1751" spans="1:10" x14ac:dyDescent="0.25">
      <c r="A1751" s="1"/>
      <c r="B1751" s="20"/>
      <c r="C1751" s="1"/>
      <c r="D1751" s="1"/>
      <c r="E1751" s="1"/>
      <c r="F1751" s="1"/>
      <c r="G1751" s="1"/>
      <c r="H1751" s="1"/>
      <c r="I1751" s="1"/>
      <c r="J1751" s="1">
        <f>IF($F1751="","",IF($H1751="","Not rated",IF(OR($H1751=Lists!$B$3,$H1751=Lists!$B$5),IF(AND(LEFT(SUBSTITUTE($I1751," ",""),LEN($F1751)+1)=$F1751&amp;"-",LEN(SUBSTITUTE($I1751," ",""))&gt;LEN($F1751)+1),"OK","Comment required"),"OK")))</f>
      </c>
    </row>
    <row r="1752" spans="1:10" x14ac:dyDescent="0.25">
      <c r="A1752" s="1"/>
      <c r="B1752" s="20"/>
      <c r="C1752" s="1"/>
      <c r="D1752" s="1"/>
      <c r="E1752" s="1"/>
      <c r="F1752" s="1"/>
      <c r="G1752" s="1"/>
      <c r="H1752" s="1"/>
      <c r="I1752" s="1"/>
      <c r="J1752" s="1">
        <f>IF($F1752="","",IF($H1752="","Not rated",IF(OR($H1752=Lists!$B$3,$H1752=Lists!$B$5),IF(AND(LEFT(SUBSTITUTE($I1752," ",""),LEN($F1752)+1)=$F1752&amp;"-",LEN(SUBSTITUTE($I1752," ",""))&gt;LEN($F1752)+1),"OK","Comment required"),"OK")))</f>
      </c>
    </row>
    <row r="1753" spans="1:10" x14ac:dyDescent="0.25">
      <c r="A1753" s="1"/>
      <c r="B1753" s="20"/>
      <c r="C1753" s="1"/>
      <c r="D1753" s="1"/>
      <c r="E1753" s="1"/>
      <c r="F1753" s="1"/>
      <c r="G1753" s="1"/>
      <c r="H1753" s="1"/>
      <c r="I1753" s="1"/>
      <c r="J1753" s="1">
        <f>IF($F1753="","",IF($H1753="","Not rated",IF(OR($H1753=Lists!$B$3,$H1753=Lists!$B$5),IF(AND(LEFT(SUBSTITUTE($I1753," ",""),LEN($F1753)+1)=$F1753&amp;"-",LEN(SUBSTITUTE($I1753," ",""))&gt;LEN($F1753)+1),"OK","Comment required"),"OK")))</f>
      </c>
    </row>
    <row r="1754" spans="1:10" x14ac:dyDescent="0.25">
      <c r="A1754" s="1"/>
      <c r="B1754" s="20"/>
      <c r="C1754" s="1"/>
      <c r="D1754" s="1"/>
      <c r="E1754" s="1"/>
      <c r="F1754" s="1"/>
      <c r="G1754" s="1"/>
      <c r="H1754" s="1"/>
      <c r="I1754" s="1"/>
      <c r="J1754" s="1">
        <f>IF($F1754="","",IF($H1754="","Not rated",IF(OR($H1754=Lists!$B$3,$H1754=Lists!$B$5),IF(AND(LEFT(SUBSTITUTE($I1754," ",""),LEN($F1754)+1)=$F1754&amp;"-",LEN(SUBSTITUTE($I1754," ",""))&gt;LEN($F1754)+1),"OK","Comment required"),"OK")))</f>
      </c>
    </row>
    <row r="1755" spans="1:10" x14ac:dyDescent="0.25">
      <c r="A1755" s="1"/>
      <c r="B1755" s="20"/>
      <c r="C1755" s="1"/>
      <c r="D1755" s="1"/>
      <c r="E1755" s="1"/>
      <c r="F1755" s="1"/>
      <c r="G1755" s="1"/>
      <c r="H1755" s="1"/>
      <c r="I1755" s="1"/>
      <c r="J1755" s="1">
        <f>IF($F1755="","",IF($H1755="","Not rated",IF(OR($H1755=Lists!$B$3,$H1755=Lists!$B$5),IF(AND(LEFT(SUBSTITUTE($I1755," ",""),LEN($F1755)+1)=$F1755&amp;"-",LEN(SUBSTITUTE($I1755," ",""))&gt;LEN($F1755)+1),"OK","Comment required"),"OK")))</f>
      </c>
    </row>
    <row r="1756" spans="1:10" x14ac:dyDescent="0.25">
      <c r="A1756" s="1"/>
      <c r="B1756" s="20"/>
      <c r="C1756" s="1"/>
      <c r="D1756" s="1"/>
      <c r="E1756" s="1"/>
      <c r="F1756" s="1"/>
      <c r="G1756" s="1"/>
      <c r="H1756" s="1"/>
      <c r="I1756" s="1"/>
      <c r="J1756" s="1">
        <f>IF($F1756="","",IF($H1756="","Not rated",IF(OR($H1756=Lists!$B$3,$H1756=Lists!$B$5),IF(AND(LEFT(SUBSTITUTE($I1756," ",""),LEN($F1756)+1)=$F1756&amp;"-",LEN(SUBSTITUTE($I1756," ",""))&gt;LEN($F1756)+1),"OK","Comment required"),"OK")))</f>
      </c>
    </row>
    <row r="1757" spans="1:10" x14ac:dyDescent="0.25">
      <c r="A1757" s="1"/>
      <c r="B1757" s="20"/>
      <c r="C1757" s="1"/>
      <c r="D1757" s="1"/>
      <c r="E1757" s="1"/>
      <c r="F1757" s="1"/>
      <c r="G1757" s="1"/>
      <c r="H1757" s="1"/>
      <c r="I1757" s="1"/>
      <c r="J1757" s="1">
        <f>IF($F1757="","",IF($H1757="","Not rated",IF(OR($H1757=Lists!$B$3,$H1757=Lists!$B$5),IF(AND(LEFT(SUBSTITUTE($I1757," ",""),LEN($F1757)+1)=$F1757&amp;"-",LEN(SUBSTITUTE($I1757," ",""))&gt;LEN($F1757)+1),"OK","Comment required"),"OK")))</f>
      </c>
    </row>
    <row r="1758" spans="1:10" x14ac:dyDescent="0.25">
      <c r="A1758" s="1"/>
      <c r="B1758" s="20"/>
      <c r="C1758" s="1"/>
      <c r="D1758" s="1"/>
      <c r="E1758" s="1"/>
      <c r="F1758" s="1"/>
      <c r="G1758" s="1"/>
      <c r="H1758" s="1"/>
      <c r="I1758" s="1"/>
      <c r="J1758" s="1">
        <f>IF($F1758="","",IF($H1758="","Not rated",IF(OR($H1758=Lists!$B$3,$H1758=Lists!$B$5),IF(AND(LEFT(SUBSTITUTE($I1758," ",""),LEN($F1758)+1)=$F1758&amp;"-",LEN(SUBSTITUTE($I1758," ",""))&gt;LEN($F1758)+1),"OK","Comment required"),"OK")))</f>
      </c>
    </row>
    <row r="1759" spans="1:10" x14ac:dyDescent="0.25">
      <c r="A1759" s="1"/>
      <c r="B1759" s="20"/>
      <c r="C1759" s="1"/>
      <c r="D1759" s="1"/>
      <c r="E1759" s="1"/>
      <c r="F1759" s="1"/>
      <c r="G1759" s="1"/>
      <c r="H1759" s="1"/>
      <c r="I1759" s="1"/>
      <c r="J1759" s="1">
        <f>IF($F1759="","",IF($H1759="","Not rated",IF(OR($H1759=Lists!$B$3,$H1759=Lists!$B$5),IF(AND(LEFT(SUBSTITUTE($I1759," ",""),LEN($F1759)+1)=$F1759&amp;"-",LEN(SUBSTITUTE($I1759," ",""))&gt;LEN($F1759)+1),"OK","Comment required"),"OK")))</f>
      </c>
    </row>
    <row r="1760" spans="1:10" x14ac:dyDescent="0.25">
      <c r="A1760" s="1"/>
      <c r="B1760" s="20"/>
      <c r="C1760" s="1"/>
      <c r="D1760" s="1"/>
      <c r="E1760" s="1"/>
      <c r="F1760" s="1"/>
      <c r="G1760" s="1"/>
      <c r="H1760" s="1"/>
      <c r="I1760" s="1"/>
      <c r="J1760" s="1">
        <f>IF($F1760="","",IF($H1760="","Not rated",IF(OR($H1760=Lists!$B$3,$H1760=Lists!$B$5),IF(AND(LEFT(SUBSTITUTE($I1760," ",""),LEN($F1760)+1)=$F1760&amp;"-",LEN(SUBSTITUTE($I1760," ",""))&gt;LEN($F1760)+1),"OK","Comment required"),"OK")))</f>
      </c>
    </row>
    <row r="1761" spans="1:10" x14ac:dyDescent="0.25">
      <c r="A1761" s="1"/>
      <c r="B1761" s="20"/>
      <c r="C1761" s="1"/>
      <c r="D1761" s="1"/>
      <c r="E1761" s="1"/>
      <c r="F1761" s="1"/>
      <c r="G1761" s="1"/>
      <c r="H1761" s="1"/>
      <c r="I1761" s="1"/>
      <c r="J1761" s="1">
        <f>IF($F1761="","",IF($H1761="","Not rated",IF(OR($H1761=Lists!$B$3,$H1761=Lists!$B$5),IF(AND(LEFT(SUBSTITUTE($I1761," ",""),LEN($F1761)+1)=$F1761&amp;"-",LEN(SUBSTITUTE($I1761," ",""))&gt;LEN($F1761)+1),"OK","Comment required"),"OK")))</f>
      </c>
    </row>
    <row r="1762" spans="1:10" x14ac:dyDescent="0.25">
      <c r="A1762" s="1"/>
      <c r="B1762" s="20"/>
      <c r="C1762" s="1"/>
      <c r="D1762" s="1"/>
      <c r="E1762" s="1"/>
      <c r="F1762" s="1"/>
      <c r="G1762" s="1"/>
      <c r="H1762" s="1"/>
      <c r="I1762" s="1"/>
      <c r="J1762" s="1">
        <f>IF($F1762="","",IF($H1762="","Not rated",IF(OR($H1762=Lists!$B$3,$H1762=Lists!$B$5),IF(AND(LEFT(SUBSTITUTE($I1762," ",""),LEN($F1762)+1)=$F1762&amp;"-",LEN(SUBSTITUTE($I1762," ",""))&gt;LEN($F1762)+1),"OK","Comment required"),"OK")))</f>
      </c>
    </row>
    <row r="1763" spans="1:10" x14ac:dyDescent="0.25">
      <c r="A1763" s="1"/>
      <c r="B1763" s="20"/>
      <c r="C1763" s="1"/>
      <c r="D1763" s="1"/>
      <c r="E1763" s="1"/>
      <c r="F1763" s="1"/>
      <c r="G1763" s="1"/>
      <c r="H1763" s="1"/>
      <c r="I1763" s="1"/>
      <c r="J1763" s="1">
        <f>IF($F1763="","",IF($H1763="","Not rated",IF(OR($H1763=Lists!$B$3,$H1763=Lists!$B$5),IF(AND(LEFT(SUBSTITUTE($I1763," ",""),LEN($F1763)+1)=$F1763&amp;"-",LEN(SUBSTITUTE($I1763," ",""))&gt;LEN($F1763)+1),"OK","Comment required"),"OK")))</f>
      </c>
    </row>
    <row r="1764" spans="1:10" x14ac:dyDescent="0.25">
      <c r="A1764" s="1"/>
      <c r="B1764" s="20"/>
      <c r="C1764" s="1"/>
      <c r="D1764" s="1"/>
      <c r="E1764" s="1"/>
      <c r="F1764" s="1"/>
      <c r="G1764" s="1"/>
      <c r="H1764" s="1"/>
      <c r="I1764" s="1"/>
      <c r="J1764" s="1">
        <f>IF($F1764="","",IF($H1764="","Not rated",IF(OR($H1764=Lists!$B$3,$H1764=Lists!$B$5),IF(AND(LEFT(SUBSTITUTE($I1764," ",""),LEN($F1764)+1)=$F1764&amp;"-",LEN(SUBSTITUTE($I1764," ",""))&gt;LEN($F1764)+1),"OK","Comment required"),"OK")))</f>
      </c>
    </row>
    <row r="1765" spans="1:10" x14ac:dyDescent="0.25">
      <c r="A1765" s="1"/>
      <c r="B1765" s="20"/>
      <c r="C1765" s="1"/>
      <c r="D1765" s="1"/>
      <c r="E1765" s="1"/>
      <c r="F1765" s="1"/>
      <c r="G1765" s="1"/>
      <c r="H1765" s="1"/>
      <c r="I1765" s="1"/>
      <c r="J1765" s="1">
        <f>IF($F1765="","",IF($H1765="","Not rated",IF(OR($H1765=Lists!$B$3,$H1765=Lists!$B$5),IF(AND(LEFT(SUBSTITUTE($I1765," ",""),LEN($F1765)+1)=$F1765&amp;"-",LEN(SUBSTITUTE($I1765," ",""))&gt;LEN($F1765)+1),"OK","Comment required"),"OK")))</f>
      </c>
    </row>
    <row r="1766" spans="1:10" x14ac:dyDescent="0.25">
      <c r="A1766" s="1"/>
      <c r="B1766" s="20"/>
      <c r="C1766" s="1"/>
      <c r="D1766" s="1"/>
      <c r="E1766" s="1"/>
      <c r="F1766" s="1"/>
      <c r="G1766" s="1"/>
      <c r="H1766" s="1"/>
      <c r="I1766" s="1"/>
      <c r="J1766" s="1">
        <f>IF($F1766="","",IF($H1766="","Not rated",IF(OR($H1766=Lists!$B$3,$H1766=Lists!$B$5),IF(AND(LEFT(SUBSTITUTE($I1766," ",""),LEN($F1766)+1)=$F1766&amp;"-",LEN(SUBSTITUTE($I1766," ",""))&gt;LEN($F1766)+1),"OK","Comment required"),"OK")))</f>
      </c>
    </row>
    <row r="1767" spans="1:10" x14ac:dyDescent="0.25">
      <c r="A1767" s="1"/>
      <c r="B1767" s="20"/>
      <c r="C1767" s="1"/>
      <c r="D1767" s="1"/>
      <c r="E1767" s="1"/>
      <c r="F1767" s="1"/>
      <c r="G1767" s="1"/>
      <c r="H1767" s="1"/>
      <c r="I1767" s="1"/>
      <c r="J1767" s="1">
        <f>IF($F1767="","",IF($H1767="","Not rated",IF(OR($H1767=Lists!$B$3,$H1767=Lists!$B$5),IF(AND(LEFT(SUBSTITUTE($I1767," ",""),LEN($F1767)+1)=$F1767&amp;"-",LEN(SUBSTITUTE($I1767," ",""))&gt;LEN($F1767)+1),"OK","Comment required"),"OK")))</f>
      </c>
    </row>
    <row r="1768" spans="1:10" x14ac:dyDescent="0.25">
      <c r="A1768" s="1"/>
      <c r="B1768" s="20"/>
      <c r="C1768" s="1"/>
      <c r="D1768" s="1"/>
      <c r="E1768" s="1"/>
      <c r="F1768" s="1"/>
      <c r="G1768" s="1"/>
      <c r="H1768" s="1"/>
      <c r="I1768" s="1"/>
      <c r="J1768" s="1">
        <f>IF($F1768="","",IF($H1768="","Not rated",IF(OR($H1768=Lists!$B$3,$H1768=Lists!$B$5),IF(AND(LEFT(SUBSTITUTE($I1768," ",""),LEN($F1768)+1)=$F1768&amp;"-",LEN(SUBSTITUTE($I1768," ",""))&gt;LEN($F1768)+1),"OK","Comment required"),"OK")))</f>
      </c>
    </row>
    <row r="1769" spans="1:10" x14ac:dyDescent="0.25">
      <c r="A1769" s="1"/>
      <c r="B1769" s="20"/>
      <c r="C1769" s="1"/>
      <c r="D1769" s="1"/>
      <c r="E1769" s="1"/>
      <c r="F1769" s="1"/>
      <c r="G1769" s="1"/>
      <c r="H1769" s="1"/>
      <c r="I1769" s="1"/>
      <c r="J1769" s="1">
        <f>IF($F1769="","",IF($H1769="","Not rated",IF(OR($H1769=Lists!$B$3,$H1769=Lists!$B$5),IF(AND(LEFT(SUBSTITUTE($I1769," ",""),LEN($F1769)+1)=$F1769&amp;"-",LEN(SUBSTITUTE($I1769," ",""))&gt;LEN($F1769)+1),"OK","Comment required"),"OK")))</f>
      </c>
    </row>
    <row r="1770" spans="1:10" x14ac:dyDescent="0.25">
      <c r="A1770" s="1"/>
      <c r="B1770" s="20"/>
      <c r="C1770" s="1"/>
      <c r="D1770" s="1"/>
      <c r="E1770" s="1"/>
      <c r="F1770" s="1"/>
      <c r="G1770" s="1"/>
      <c r="H1770" s="1"/>
      <c r="I1770" s="1"/>
      <c r="J1770" s="1">
        <f>IF($F1770="","",IF($H1770="","Not rated",IF(OR($H1770=Lists!$B$3,$H1770=Lists!$B$5),IF(AND(LEFT(SUBSTITUTE($I1770," ",""),LEN($F1770)+1)=$F1770&amp;"-",LEN(SUBSTITUTE($I1770," ",""))&gt;LEN($F1770)+1),"OK","Comment required"),"OK")))</f>
      </c>
    </row>
    <row r="1771" spans="1:10" x14ac:dyDescent="0.25">
      <c r="A1771" s="1"/>
      <c r="B1771" s="20"/>
      <c r="C1771" s="1"/>
      <c r="D1771" s="1"/>
      <c r="E1771" s="1"/>
      <c r="F1771" s="1"/>
      <c r="G1771" s="1"/>
      <c r="H1771" s="1"/>
      <c r="I1771" s="1"/>
      <c r="J1771" s="1">
        <f>IF($F1771="","",IF($H1771="","Not rated",IF(OR($H1771=Lists!$B$3,$H1771=Lists!$B$5),IF(AND(LEFT(SUBSTITUTE($I1771," ",""),LEN($F1771)+1)=$F1771&amp;"-",LEN(SUBSTITUTE($I1771," ",""))&gt;LEN($F1771)+1),"OK","Comment required"),"OK")))</f>
      </c>
    </row>
    <row r="1772" spans="1:10" x14ac:dyDescent="0.25">
      <c r="A1772" s="1"/>
      <c r="B1772" s="20"/>
      <c r="C1772" s="1"/>
      <c r="D1772" s="1"/>
      <c r="E1772" s="1"/>
      <c r="F1772" s="1"/>
      <c r="G1772" s="1"/>
      <c r="H1772" s="1"/>
      <c r="I1772" s="1"/>
      <c r="J1772" s="1">
        <f>IF($F1772="","",IF($H1772="","Not rated",IF(OR($H1772=Lists!$B$3,$H1772=Lists!$B$5),IF(AND(LEFT(SUBSTITUTE($I1772," ",""),LEN($F1772)+1)=$F1772&amp;"-",LEN(SUBSTITUTE($I1772," ",""))&gt;LEN($F1772)+1),"OK","Comment required"),"OK")))</f>
      </c>
    </row>
    <row r="1773" spans="1:10" x14ac:dyDescent="0.25">
      <c r="A1773" s="1"/>
      <c r="B1773" s="20"/>
      <c r="C1773" s="1"/>
      <c r="D1773" s="1"/>
      <c r="E1773" s="1"/>
      <c r="F1773" s="1"/>
      <c r="G1773" s="1"/>
      <c r="H1773" s="1"/>
      <c r="I1773" s="1"/>
      <c r="J1773" s="1">
        <f>IF($F1773="","",IF($H1773="","Not rated",IF(OR($H1773=Lists!$B$3,$H1773=Lists!$B$5),IF(AND(LEFT(SUBSTITUTE($I1773," ",""),LEN($F1773)+1)=$F1773&amp;"-",LEN(SUBSTITUTE($I1773," ",""))&gt;LEN($F1773)+1),"OK","Comment required"),"OK")))</f>
      </c>
    </row>
    <row r="1774" spans="1:10" x14ac:dyDescent="0.25">
      <c r="A1774" s="1"/>
      <c r="B1774" s="20"/>
      <c r="C1774" s="1"/>
      <c r="D1774" s="1"/>
      <c r="E1774" s="1"/>
      <c r="F1774" s="1"/>
      <c r="G1774" s="1"/>
      <c r="H1774" s="1"/>
      <c r="I1774" s="1"/>
      <c r="J1774" s="1">
        <f>IF($F1774="","",IF($H1774="","Not rated",IF(OR($H1774=Lists!$B$3,$H1774=Lists!$B$5),IF(AND(LEFT(SUBSTITUTE($I1774," ",""),LEN($F1774)+1)=$F1774&amp;"-",LEN(SUBSTITUTE($I1774," ",""))&gt;LEN($F1774)+1),"OK","Comment required"),"OK")))</f>
      </c>
    </row>
    <row r="1775" spans="1:10" x14ac:dyDescent="0.25">
      <c r="A1775" s="1"/>
      <c r="B1775" s="20"/>
      <c r="C1775" s="1"/>
      <c r="D1775" s="1"/>
      <c r="E1775" s="1"/>
      <c r="F1775" s="1"/>
      <c r="G1775" s="1"/>
      <c r="H1775" s="1"/>
      <c r="I1775" s="1"/>
      <c r="J1775" s="1">
        <f>IF($F1775="","",IF($H1775="","Not rated",IF(OR($H1775=Lists!$B$3,$H1775=Lists!$B$5),IF(AND(LEFT(SUBSTITUTE($I1775," ",""),LEN($F1775)+1)=$F1775&amp;"-",LEN(SUBSTITUTE($I1775," ",""))&gt;LEN($F1775)+1),"OK","Comment required"),"OK")))</f>
      </c>
    </row>
    <row r="1776" spans="1:10" x14ac:dyDescent="0.25">
      <c r="A1776" s="1"/>
      <c r="B1776" s="20"/>
      <c r="C1776" s="1"/>
      <c r="D1776" s="1"/>
      <c r="E1776" s="1"/>
      <c r="F1776" s="1"/>
      <c r="G1776" s="1"/>
      <c r="H1776" s="1"/>
      <c r="I1776" s="1"/>
      <c r="J1776" s="1">
        <f>IF($F1776="","",IF($H1776="","Not rated",IF(OR($H1776=Lists!$B$3,$H1776=Lists!$B$5),IF(AND(LEFT(SUBSTITUTE($I1776," ",""),LEN($F1776)+1)=$F1776&amp;"-",LEN(SUBSTITUTE($I1776," ",""))&gt;LEN($F1776)+1),"OK","Comment required"),"OK")))</f>
      </c>
    </row>
    <row r="1777" spans="1:10" x14ac:dyDescent="0.25">
      <c r="A1777" s="1"/>
      <c r="B1777" s="20"/>
      <c r="C1777" s="1"/>
      <c r="D1777" s="1"/>
      <c r="E1777" s="1"/>
      <c r="F1777" s="1"/>
      <c r="G1777" s="1"/>
      <c r="H1777" s="1"/>
      <c r="I1777" s="1"/>
      <c r="J1777" s="1">
        <f>IF($F1777="","",IF($H1777="","Not rated",IF(OR($H1777=Lists!$B$3,$H1777=Lists!$B$5),IF(AND(LEFT(SUBSTITUTE($I1777," ",""),LEN($F1777)+1)=$F1777&amp;"-",LEN(SUBSTITUTE($I1777," ",""))&gt;LEN($F1777)+1),"OK","Comment required"),"OK")))</f>
      </c>
    </row>
    <row r="1778" spans="1:10" x14ac:dyDescent="0.25">
      <c r="A1778" s="1"/>
      <c r="B1778" s="20"/>
      <c r="C1778" s="1"/>
      <c r="D1778" s="1"/>
      <c r="E1778" s="1"/>
      <c r="F1778" s="1"/>
      <c r="G1778" s="1"/>
      <c r="H1778" s="1"/>
      <c r="I1778" s="1"/>
      <c r="J1778" s="1">
        <f>IF($F1778="","",IF($H1778="","Not rated",IF(OR($H1778=Lists!$B$3,$H1778=Lists!$B$5),IF(AND(LEFT(SUBSTITUTE($I1778," ",""),LEN($F1778)+1)=$F1778&amp;"-",LEN(SUBSTITUTE($I1778," ",""))&gt;LEN($F1778)+1),"OK","Comment required"),"OK")))</f>
      </c>
    </row>
    <row r="1779" spans="1:10" x14ac:dyDescent="0.25">
      <c r="A1779" s="1"/>
      <c r="B1779" s="20"/>
      <c r="C1779" s="1"/>
      <c r="D1779" s="1"/>
      <c r="E1779" s="1"/>
      <c r="F1779" s="1"/>
      <c r="G1779" s="1"/>
      <c r="H1779" s="1"/>
      <c r="I1779" s="1"/>
      <c r="J1779" s="1">
        <f>IF($F1779="","",IF($H1779="","Not rated",IF(OR($H1779=Lists!$B$3,$H1779=Lists!$B$5),IF(AND(LEFT(SUBSTITUTE($I1779," ",""),LEN($F1779)+1)=$F1779&amp;"-",LEN(SUBSTITUTE($I1779," ",""))&gt;LEN($F1779)+1),"OK","Comment required"),"OK")))</f>
      </c>
    </row>
    <row r="1780" spans="1:10" x14ac:dyDescent="0.25">
      <c r="A1780" s="1"/>
      <c r="B1780" s="20"/>
      <c r="C1780" s="1"/>
      <c r="D1780" s="1"/>
      <c r="E1780" s="1"/>
      <c r="F1780" s="1"/>
      <c r="G1780" s="1"/>
      <c r="H1780" s="1"/>
      <c r="I1780" s="1"/>
      <c r="J1780" s="1">
        <f>IF($F1780="","",IF($H1780="","Not rated",IF(OR($H1780=Lists!$B$3,$H1780=Lists!$B$5),IF(AND(LEFT(SUBSTITUTE($I1780," ",""),LEN($F1780)+1)=$F1780&amp;"-",LEN(SUBSTITUTE($I1780," ",""))&gt;LEN($F1780)+1),"OK","Comment required"),"OK")))</f>
      </c>
    </row>
    <row r="1781" spans="1:10" x14ac:dyDescent="0.25">
      <c r="A1781" s="1"/>
      <c r="B1781" s="20"/>
      <c r="C1781" s="1"/>
      <c r="D1781" s="1"/>
      <c r="E1781" s="1"/>
      <c r="F1781" s="1"/>
      <c r="G1781" s="1"/>
      <c r="H1781" s="1"/>
      <c r="I1781" s="1"/>
      <c r="J1781" s="1">
        <f>IF($F1781="","",IF($H1781="","Not rated",IF(OR($H1781=Lists!$B$3,$H1781=Lists!$B$5),IF(AND(LEFT(SUBSTITUTE($I1781," ",""),LEN($F1781)+1)=$F1781&amp;"-",LEN(SUBSTITUTE($I1781," ",""))&gt;LEN($F1781)+1),"OK","Comment required"),"OK")))</f>
      </c>
    </row>
    <row r="1782" spans="1:10" x14ac:dyDescent="0.25">
      <c r="A1782" s="1"/>
      <c r="B1782" s="20"/>
      <c r="C1782" s="1"/>
      <c r="D1782" s="1"/>
      <c r="E1782" s="1"/>
      <c r="F1782" s="1"/>
      <c r="G1782" s="1"/>
      <c r="H1782" s="1"/>
      <c r="I1782" s="1"/>
      <c r="J1782" s="1">
        <f>IF($F1782="","",IF($H1782="","Not rated",IF(OR($H1782=Lists!$B$3,$H1782=Lists!$B$5),IF(AND(LEFT(SUBSTITUTE($I1782," ",""),LEN($F1782)+1)=$F1782&amp;"-",LEN(SUBSTITUTE($I1782," ",""))&gt;LEN($F1782)+1),"OK","Comment required"),"OK")))</f>
      </c>
    </row>
    <row r="1783" spans="1:10" x14ac:dyDescent="0.25">
      <c r="A1783" s="1"/>
      <c r="B1783" s="20"/>
      <c r="C1783" s="1"/>
      <c r="D1783" s="1"/>
      <c r="E1783" s="1"/>
      <c r="F1783" s="1"/>
      <c r="G1783" s="1"/>
      <c r="H1783" s="1"/>
      <c r="I1783" s="1"/>
      <c r="J1783" s="1">
        <f>IF($F1783="","",IF($H1783="","Not rated",IF(OR($H1783=Lists!$B$3,$H1783=Lists!$B$5),IF(AND(LEFT(SUBSTITUTE($I1783," ",""),LEN($F1783)+1)=$F1783&amp;"-",LEN(SUBSTITUTE($I1783," ",""))&gt;LEN($F1783)+1),"OK","Comment required"),"OK")))</f>
      </c>
    </row>
    <row r="1784" spans="1:10" x14ac:dyDescent="0.25">
      <c r="A1784" s="1"/>
      <c r="B1784" s="20"/>
      <c r="C1784" s="1"/>
      <c r="D1784" s="1"/>
      <c r="E1784" s="1"/>
      <c r="F1784" s="1"/>
      <c r="G1784" s="1"/>
      <c r="H1784" s="1"/>
      <c r="I1784" s="1"/>
      <c r="J1784" s="1">
        <f>IF($F1784="","",IF($H1784="","Not rated",IF(OR($H1784=Lists!$B$3,$H1784=Lists!$B$5),IF(AND(LEFT(SUBSTITUTE($I1784," ",""),LEN($F1784)+1)=$F1784&amp;"-",LEN(SUBSTITUTE($I1784," ",""))&gt;LEN($F1784)+1),"OK","Comment required"),"OK")))</f>
      </c>
    </row>
    <row r="1785" spans="1:10" x14ac:dyDescent="0.25">
      <c r="A1785" s="1"/>
      <c r="B1785" s="20"/>
      <c r="C1785" s="1"/>
      <c r="D1785" s="1"/>
      <c r="E1785" s="1"/>
      <c r="F1785" s="1"/>
      <c r="G1785" s="1"/>
      <c r="H1785" s="1"/>
      <c r="I1785" s="1"/>
      <c r="J1785" s="1">
        <f>IF($F1785="","",IF($H1785="","Not rated",IF(OR($H1785=Lists!$B$3,$H1785=Lists!$B$5),IF(AND(LEFT(SUBSTITUTE($I1785," ",""),LEN($F1785)+1)=$F1785&amp;"-",LEN(SUBSTITUTE($I1785," ",""))&gt;LEN($F1785)+1),"OK","Comment required"),"OK")))</f>
      </c>
    </row>
    <row r="1786" spans="1:10" x14ac:dyDescent="0.25">
      <c r="A1786" s="1"/>
      <c r="B1786" s="20"/>
      <c r="C1786" s="1"/>
      <c r="D1786" s="1"/>
      <c r="E1786" s="1"/>
      <c r="F1786" s="1"/>
      <c r="G1786" s="1"/>
      <c r="H1786" s="1"/>
      <c r="I1786" s="1"/>
      <c r="J1786" s="1">
        <f>IF($F1786="","",IF($H1786="","Not rated",IF(OR($H1786=Lists!$B$3,$H1786=Lists!$B$5),IF(AND(LEFT(SUBSTITUTE($I1786," ",""),LEN($F1786)+1)=$F1786&amp;"-",LEN(SUBSTITUTE($I1786," ",""))&gt;LEN($F1786)+1),"OK","Comment required"),"OK")))</f>
      </c>
    </row>
    <row r="1787" spans="1:10" x14ac:dyDescent="0.25">
      <c r="A1787" s="1"/>
      <c r="B1787" s="20"/>
      <c r="C1787" s="1"/>
      <c r="D1787" s="1"/>
      <c r="E1787" s="1"/>
      <c r="F1787" s="1"/>
      <c r="G1787" s="1"/>
      <c r="H1787" s="1"/>
      <c r="I1787" s="1"/>
      <c r="J1787" s="1">
        <f>IF($F1787="","",IF($H1787="","Not rated",IF(OR($H1787=Lists!$B$3,$H1787=Lists!$B$5),IF(AND(LEFT(SUBSTITUTE($I1787," ",""),LEN($F1787)+1)=$F1787&amp;"-",LEN(SUBSTITUTE($I1787," ",""))&gt;LEN($F1787)+1),"OK","Comment required"),"OK")))</f>
      </c>
    </row>
    <row r="1788" spans="1:10" x14ac:dyDescent="0.25">
      <c r="A1788" s="1"/>
      <c r="B1788" s="20"/>
      <c r="C1788" s="1"/>
      <c r="D1788" s="1"/>
      <c r="E1788" s="1"/>
      <c r="F1788" s="1"/>
      <c r="G1788" s="1"/>
      <c r="H1788" s="1"/>
      <c r="I1788" s="1"/>
      <c r="J1788" s="1">
        <f>IF($F1788="","",IF($H1788="","Not rated",IF(OR($H1788=Lists!$B$3,$H1788=Lists!$B$5),IF(AND(LEFT(SUBSTITUTE($I1788," ",""),LEN($F1788)+1)=$F1788&amp;"-",LEN(SUBSTITUTE($I1788," ",""))&gt;LEN($F1788)+1),"OK","Comment required"),"OK")))</f>
      </c>
    </row>
    <row r="1789" spans="1:10" x14ac:dyDescent="0.25">
      <c r="A1789" s="1"/>
      <c r="B1789" s="20"/>
      <c r="C1789" s="1"/>
      <c r="D1789" s="1"/>
      <c r="E1789" s="1"/>
      <c r="F1789" s="1"/>
      <c r="G1789" s="1"/>
      <c r="H1789" s="1"/>
      <c r="I1789" s="1"/>
      <c r="J1789" s="1">
        <f>IF($F1789="","",IF($H1789="","Not rated",IF(OR($H1789=Lists!$B$3,$H1789=Lists!$B$5),IF(AND(LEFT(SUBSTITUTE($I1789," ",""),LEN($F1789)+1)=$F1789&amp;"-",LEN(SUBSTITUTE($I1789," ",""))&gt;LEN($F1789)+1),"OK","Comment required"),"OK")))</f>
      </c>
    </row>
    <row r="1790" spans="1:10" x14ac:dyDescent="0.25">
      <c r="A1790" s="1"/>
      <c r="B1790" s="20"/>
      <c r="C1790" s="1"/>
      <c r="D1790" s="1"/>
      <c r="E1790" s="1"/>
      <c r="F1790" s="1"/>
      <c r="G1790" s="1"/>
      <c r="H1790" s="1"/>
      <c r="I1790" s="1"/>
      <c r="J1790" s="1">
        <f>IF($F1790="","",IF($H1790="","Not rated",IF(OR($H1790=Lists!$B$3,$H1790=Lists!$B$5),IF(AND(LEFT(SUBSTITUTE($I1790," ",""),LEN($F1790)+1)=$F1790&amp;"-",LEN(SUBSTITUTE($I1790," ",""))&gt;LEN($F1790)+1),"OK","Comment required"),"OK")))</f>
      </c>
    </row>
    <row r="1791" spans="1:10" x14ac:dyDescent="0.25">
      <c r="A1791" s="1"/>
      <c r="B1791" s="20"/>
      <c r="C1791" s="1"/>
      <c r="D1791" s="1"/>
      <c r="E1791" s="1"/>
      <c r="F1791" s="1"/>
      <c r="G1791" s="1"/>
      <c r="H1791" s="1"/>
      <c r="I1791" s="1"/>
      <c r="J1791" s="1">
        <f>IF($F1791="","",IF($H1791="","Not rated",IF(OR($H1791=Lists!$B$3,$H1791=Lists!$B$5),IF(AND(LEFT(SUBSTITUTE($I1791," ",""),LEN($F1791)+1)=$F1791&amp;"-",LEN(SUBSTITUTE($I1791," ",""))&gt;LEN($F1791)+1),"OK","Comment required"),"OK")))</f>
      </c>
    </row>
    <row r="1792" spans="1:10" x14ac:dyDescent="0.25">
      <c r="A1792" s="1"/>
      <c r="B1792" s="20"/>
      <c r="C1792" s="1"/>
      <c r="D1792" s="1"/>
      <c r="E1792" s="1"/>
      <c r="F1792" s="1"/>
      <c r="G1792" s="1"/>
      <c r="H1792" s="1"/>
      <c r="I1792" s="1"/>
      <c r="J1792" s="1">
        <f>IF($F1792="","",IF($H1792="","Not rated",IF(OR($H1792=Lists!$B$3,$H1792=Lists!$B$5),IF(AND(LEFT(SUBSTITUTE($I1792," ",""),LEN($F1792)+1)=$F1792&amp;"-",LEN(SUBSTITUTE($I1792," ",""))&gt;LEN($F1792)+1),"OK","Comment required"),"OK")))</f>
      </c>
    </row>
    <row r="1793" spans="1:10" x14ac:dyDescent="0.25">
      <c r="A1793" s="1"/>
      <c r="B1793" s="20"/>
      <c r="C1793" s="1"/>
      <c r="D1793" s="1"/>
      <c r="E1793" s="1"/>
      <c r="F1793" s="1"/>
      <c r="G1793" s="1"/>
      <c r="H1793" s="1"/>
      <c r="I1793" s="1"/>
      <c r="J1793" s="1">
        <f>IF($F1793="","",IF($H1793="","Not rated",IF(OR($H1793=Lists!$B$3,$H1793=Lists!$B$5),IF(AND(LEFT(SUBSTITUTE($I1793," ",""),LEN($F1793)+1)=$F1793&amp;"-",LEN(SUBSTITUTE($I1793," ",""))&gt;LEN($F1793)+1),"OK","Comment required"),"OK")))</f>
      </c>
    </row>
    <row r="1794" spans="1:10" x14ac:dyDescent="0.25">
      <c r="A1794" s="1"/>
      <c r="B1794" s="20"/>
      <c r="C1794" s="1"/>
      <c r="D1794" s="1"/>
      <c r="E1794" s="1"/>
      <c r="F1794" s="1"/>
      <c r="G1794" s="1"/>
      <c r="H1794" s="1"/>
      <c r="I1794" s="1"/>
      <c r="J1794" s="1">
        <f>IF($F1794="","",IF($H1794="","Not rated",IF(OR($H1794=Lists!$B$3,$H1794=Lists!$B$5),IF(AND(LEFT(SUBSTITUTE($I1794," ",""),LEN($F1794)+1)=$F1794&amp;"-",LEN(SUBSTITUTE($I1794," ",""))&gt;LEN($F1794)+1),"OK","Comment required"),"OK")))</f>
      </c>
    </row>
    <row r="1795" spans="1:10" x14ac:dyDescent="0.25">
      <c r="A1795" s="1"/>
      <c r="B1795" s="20"/>
      <c r="C1795" s="1"/>
      <c r="D1795" s="1"/>
      <c r="E1795" s="1"/>
      <c r="F1795" s="1"/>
      <c r="G1795" s="1"/>
      <c r="H1795" s="1"/>
      <c r="I1795" s="1"/>
      <c r="J1795" s="1">
        <f>IF($F1795="","",IF($H1795="","Not rated",IF(OR($H1795=Lists!$B$3,$H1795=Lists!$B$5),IF(AND(LEFT(SUBSTITUTE($I1795," ",""),LEN($F1795)+1)=$F1795&amp;"-",LEN(SUBSTITUTE($I1795," ",""))&gt;LEN($F1795)+1),"OK","Comment required"),"OK")))</f>
      </c>
    </row>
    <row r="1796" spans="1:10" x14ac:dyDescent="0.25">
      <c r="A1796" s="1"/>
      <c r="B1796" s="20"/>
      <c r="C1796" s="1"/>
      <c r="D1796" s="1"/>
      <c r="E1796" s="1"/>
      <c r="F1796" s="1"/>
      <c r="G1796" s="1"/>
      <c r="H1796" s="1"/>
      <c r="I1796" s="1"/>
      <c r="J1796" s="1">
        <f>IF($F1796="","",IF($H1796="","Not rated",IF(OR($H1796=Lists!$B$3,$H1796=Lists!$B$5),IF(AND(LEFT(SUBSTITUTE($I1796," ",""),LEN($F1796)+1)=$F1796&amp;"-",LEN(SUBSTITUTE($I1796," ",""))&gt;LEN($F1796)+1),"OK","Comment required"),"OK")))</f>
      </c>
    </row>
    <row r="1797" spans="1:10" x14ac:dyDescent="0.25">
      <c r="A1797" s="1"/>
      <c r="B1797" s="20"/>
      <c r="C1797" s="1"/>
      <c r="D1797" s="1"/>
      <c r="E1797" s="1"/>
      <c r="F1797" s="1"/>
      <c r="G1797" s="1"/>
      <c r="H1797" s="1"/>
      <c r="I1797" s="1"/>
      <c r="J1797" s="1">
        <f>IF($F1797="","",IF($H1797="","Not rated",IF(OR($H1797=Lists!$B$3,$H1797=Lists!$B$5),IF(AND(LEFT(SUBSTITUTE($I1797," ",""),LEN($F1797)+1)=$F1797&amp;"-",LEN(SUBSTITUTE($I1797," ",""))&gt;LEN($F1797)+1),"OK","Comment required"),"OK")))</f>
      </c>
    </row>
    <row r="1798" spans="1:10" x14ac:dyDescent="0.25">
      <c r="A1798" s="1"/>
      <c r="B1798" s="20"/>
      <c r="C1798" s="1"/>
      <c r="D1798" s="1"/>
      <c r="E1798" s="1"/>
      <c r="F1798" s="1"/>
      <c r="G1798" s="1"/>
      <c r="H1798" s="1"/>
      <c r="I1798" s="1"/>
      <c r="J1798" s="1">
        <f>IF($F1798="","",IF($H1798="","Not rated",IF(OR($H1798=Lists!$B$3,$H1798=Lists!$B$5),IF(AND(LEFT(SUBSTITUTE($I1798," ",""),LEN($F1798)+1)=$F1798&amp;"-",LEN(SUBSTITUTE($I1798," ",""))&gt;LEN($F1798)+1),"OK","Comment required"),"OK")))</f>
      </c>
    </row>
    <row r="1799" spans="1:10" x14ac:dyDescent="0.25">
      <c r="A1799" s="1"/>
      <c r="B1799" s="20"/>
      <c r="C1799" s="1"/>
      <c r="D1799" s="1"/>
      <c r="E1799" s="1"/>
      <c r="F1799" s="1"/>
      <c r="G1799" s="1"/>
      <c r="H1799" s="1"/>
      <c r="I1799" s="1"/>
      <c r="J1799" s="1">
        <f>IF($F1799="","",IF($H1799="","Not rated",IF(OR($H1799=Lists!$B$3,$H1799=Lists!$B$5),IF(AND(LEFT(SUBSTITUTE($I1799," ",""),LEN($F1799)+1)=$F1799&amp;"-",LEN(SUBSTITUTE($I1799," ",""))&gt;LEN($F1799)+1),"OK","Comment required"),"OK")))</f>
      </c>
    </row>
    <row r="1800" spans="1:10" x14ac:dyDescent="0.25">
      <c r="A1800" s="1"/>
      <c r="B1800" s="20"/>
      <c r="C1800" s="1"/>
      <c r="D1800" s="1"/>
      <c r="E1800" s="1"/>
      <c r="F1800" s="1"/>
      <c r="G1800" s="1"/>
      <c r="H1800" s="1"/>
      <c r="I1800" s="1"/>
      <c r="J1800" s="1">
        <f>IF($F1800="","",IF($H1800="","Not rated",IF(OR($H1800=Lists!$B$3,$H1800=Lists!$B$5),IF(AND(LEFT(SUBSTITUTE($I1800," ",""),LEN($F1800)+1)=$F1800&amp;"-",LEN(SUBSTITUTE($I1800," ",""))&gt;LEN($F1800)+1),"OK","Comment required"),"OK")))</f>
      </c>
    </row>
    <row r="1801" spans="1:10" x14ac:dyDescent="0.25">
      <c r="A1801" s="1"/>
      <c r="B1801" s="20"/>
      <c r="C1801" s="1"/>
      <c r="D1801" s="1"/>
      <c r="E1801" s="1"/>
      <c r="F1801" s="1"/>
      <c r="G1801" s="1"/>
      <c r="H1801" s="1"/>
      <c r="I1801" s="1"/>
      <c r="J1801" s="1">
        <f>IF($F1801="","",IF($H1801="","Not rated",IF(OR($H1801=Lists!$B$3,$H1801=Lists!$B$5),IF(AND(LEFT(SUBSTITUTE($I1801," ",""),LEN($F1801)+1)=$F1801&amp;"-",LEN(SUBSTITUTE($I1801," ",""))&gt;LEN($F1801)+1),"OK","Comment required"),"OK")))</f>
      </c>
    </row>
    <row r="1802" spans="1:10" x14ac:dyDescent="0.25">
      <c r="A1802" s="1"/>
      <c r="B1802" s="20"/>
      <c r="C1802" s="1"/>
      <c r="D1802" s="1"/>
      <c r="E1802" s="1"/>
      <c r="F1802" s="1"/>
      <c r="G1802" s="1"/>
      <c r="H1802" s="1"/>
      <c r="I1802" s="1"/>
      <c r="J1802" s="1">
        <f>IF($F1802="","",IF($H1802="","Not rated",IF(OR($H1802=Lists!$B$3,$H1802=Lists!$B$5),IF(AND(LEFT(SUBSTITUTE($I1802," ",""),LEN($F1802)+1)=$F1802&amp;"-",LEN(SUBSTITUTE($I1802," ",""))&gt;LEN($F1802)+1),"OK","Comment required"),"OK")))</f>
      </c>
    </row>
    <row r="1803" spans="1:10" x14ac:dyDescent="0.25">
      <c r="A1803" s="1"/>
      <c r="B1803" s="20"/>
      <c r="C1803" s="1"/>
      <c r="D1803" s="1"/>
      <c r="E1803" s="1"/>
      <c r="F1803" s="1"/>
      <c r="G1803" s="1"/>
      <c r="H1803" s="1"/>
      <c r="I1803" s="1"/>
      <c r="J1803" s="1">
        <f>IF($F1803="","",IF($H1803="","Not rated",IF(OR($H1803=Lists!$B$3,$H1803=Lists!$B$5),IF(AND(LEFT(SUBSTITUTE($I1803," ",""),LEN($F1803)+1)=$F1803&amp;"-",LEN(SUBSTITUTE($I1803," ",""))&gt;LEN($F1803)+1),"OK","Comment required"),"OK")))</f>
      </c>
    </row>
    <row r="1804" spans="1:10" x14ac:dyDescent="0.25">
      <c r="A1804" s="1"/>
      <c r="B1804" s="20"/>
      <c r="C1804" s="1"/>
      <c r="D1804" s="1"/>
      <c r="E1804" s="1"/>
      <c r="F1804" s="1"/>
      <c r="G1804" s="1"/>
      <c r="H1804" s="1"/>
      <c r="I1804" s="1"/>
      <c r="J1804" s="1">
        <f>IF($F1804="","",IF($H1804="","Not rated",IF(OR($H1804=Lists!$B$3,$H1804=Lists!$B$5),IF(AND(LEFT(SUBSTITUTE($I1804," ",""),LEN($F1804)+1)=$F1804&amp;"-",LEN(SUBSTITUTE($I1804," ",""))&gt;LEN($F1804)+1),"OK","Comment required"),"OK")))</f>
      </c>
    </row>
    <row r="1805" spans="1:10" x14ac:dyDescent="0.25">
      <c r="A1805" s="1"/>
      <c r="B1805" s="20"/>
      <c r="C1805" s="1"/>
      <c r="D1805" s="1"/>
      <c r="E1805" s="1"/>
      <c r="F1805" s="1"/>
      <c r="G1805" s="1"/>
      <c r="H1805" s="1"/>
      <c r="I1805" s="1"/>
      <c r="J1805" s="1">
        <f>IF($F1805="","",IF($H1805="","Not rated",IF(OR($H1805=Lists!$B$3,$H1805=Lists!$B$5),IF(AND(LEFT(SUBSTITUTE($I1805," ",""),LEN($F1805)+1)=$F1805&amp;"-",LEN(SUBSTITUTE($I1805," ",""))&gt;LEN($F1805)+1),"OK","Comment required"),"OK")))</f>
      </c>
    </row>
    <row r="1806" spans="1:10" x14ac:dyDescent="0.25">
      <c r="A1806" s="1"/>
      <c r="B1806" s="20"/>
      <c r="C1806" s="1"/>
      <c r="D1806" s="1"/>
      <c r="E1806" s="1"/>
      <c r="F1806" s="1"/>
      <c r="G1806" s="1"/>
      <c r="H1806" s="1"/>
      <c r="I1806" s="1"/>
      <c r="J1806" s="1">
        <f>IF($F1806="","",IF($H1806="","Not rated",IF(OR($H1806=Lists!$B$3,$H1806=Lists!$B$5),IF(AND(LEFT(SUBSTITUTE($I1806," ",""),LEN($F1806)+1)=$F1806&amp;"-",LEN(SUBSTITUTE($I1806," ",""))&gt;LEN($F1806)+1),"OK","Comment required"),"OK")))</f>
      </c>
    </row>
    <row r="1807" spans="1:10" x14ac:dyDescent="0.25">
      <c r="A1807" s="1"/>
      <c r="B1807" s="20"/>
      <c r="C1807" s="1"/>
      <c r="D1807" s="1"/>
      <c r="E1807" s="1"/>
      <c r="F1807" s="1"/>
      <c r="G1807" s="1"/>
      <c r="H1807" s="1"/>
      <c r="I1807" s="1"/>
      <c r="J1807" s="1">
        <f>IF($F1807="","",IF($H1807="","Not rated",IF(OR($H1807=Lists!$B$3,$H1807=Lists!$B$5),IF(AND(LEFT(SUBSTITUTE($I1807," ",""),LEN($F1807)+1)=$F1807&amp;"-",LEN(SUBSTITUTE($I1807," ",""))&gt;LEN($F1807)+1),"OK","Comment required"),"OK")))</f>
      </c>
    </row>
    <row r="1808" spans="1:10" x14ac:dyDescent="0.25">
      <c r="A1808" s="1"/>
      <c r="B1808" s="20"/>
      <c r="C1808" s="1"/>
      <c r="D1808" s="1"/>
      <c r="E1808" s="1"/>
      <c r="F1808" s="1"/>
      <c r="G1808" s="1"/>
      <c r="H1808" s="1"/>
      <c r="I1808" s="1"/>
      <c r="J1808" s="1">
        <f>IF($F1808="","",IF($H1808="","Not rated",IF(OR($H1808=Lists!$B$3,$H1808=Lists!$B$5),IF(AND(LEFT(SUBSTITUTE($I1808," ",""),LEN($F1808)+1)=$F1808&amp;"-",LEN(SUBSTITUTE($I1808," ",""))&gt;LEN($F1808)+1),"OK","Comment required"),"OK")))</f>
      </c>
    </row>
    <row r="1809" spans="1:10" x14ac:dyDescent="0.25">
      <c r="A1809" s="1"/>
      <c r="B1809" s="20"/>
      <c r="C1809" s="1"/>
      <c r="D1809" s="1"/>
      <c r="E1809" s="1"/>
      <c r="F1809" s="1"/>
      <c r="G1809" s="1"/>
      <c r="H1809" s="1"/>
      <c r="I1809" s="1"/>
      <c r="J1809" s="1">
        <f>IF($F1809="","",IF($H1809="","Not rated",IF(OR($H1809=Lists!$B$3,$H1809=Lists!$B$5),IF(AND(LEFT(SUBSTITUTE($I1809," ",""),LEN($F1809)+1)=$F1809&amp;"-",LEN(SUBSTITUTE($I1809," ",""))&gt;LEN($F1809)+1),"OK","Comment required"),"OK")))</f>
      </c>
    </row>
    <row r="1810" spans="1:10" x14ac:dyDescent="0.25">
      <c r="A1810" s="1"/>
      <c r="B1810" s="20"/>
      <c r="C1810" s="1"/>
      <c r="D1810" s="1"/>
      <c r="E1810" s="1"/>
      <c r="F1810" s="1"/>
      <c r="G1810" s="1"/>
      <c r="H1810" s="1"/>
      <c r="I1810" s="1"/>
      <c r="J1810" s="1">
        <f>IF($F1810="","",IF($H1810="","Not rated",IF(OR($H1810=Lists!$B$3,$H1810=Lists!$B$5),IF(AND(LEFT(SUBSTITUTE($I1810," ",""),LEN($F1810)+1)=$F1810&amp;"-",LEN(SUBSTITUTE($I1810," ",""))&gt;LEN($F1810)+1),"OK","Comment required"),"OK")))</f>
      </c>
    </row>
    <row r="1811" spans="1:10" x14ac:dyDescent="0.25">
      <c r="A1811" s="1"/>
      <c r="B1811" s="20"/>
      <c r="C1811" s="1"/>
      <c r="D1811" s="1"/>
      <c r="E1811" s="1"/>
      <c r="F1811" s="1"/>
      <c r="G1811" s="1"/>
      <c r="H1811" s="1"/>
      <c r="I1811" s="1"/>
      <c r="J1811" s="1">
        <f>IF($F1811="","",IF($H1811="","Not rated",IF(OR($H1811=Lists!$B$3,$H1811=Lists!$B$5),IF(AND(LEFT(SUBSTITUTE($I1811," ",""),LEN($F1811)+1)=$F1811&amp;"-",LEN(SUBSTITUTE($I1811," ",""))&gt;LEN($F1811)+1),"OK","Comment required"),"OK")))</f>
      </c>
    </row>
    <row r="1812" spans="1:10" x14ac:dyDescent="0.25">
      <c r="A1812" s="1"/>
      <c r="B1812" s="20"/>
      <c r="C1812" s="1"/>
      <c r="D1812" s="1"/>
      <c r="E1812" s="1"/>
      <c r="F1812" s="1"/>
      <c r="G1812" s="1"/>
      <c r="H1812" s="1"/>
      <c r="I1812" s="1"/>
      <c r="J1812" s="1">
        <f>IF($F1812="","",IF($H1812="","Not rated",IF(OR($H1812=Lists!$B$3,$H1812=Lists!$B$5),IF(AND(LEFT(SUBSTITUTE($I1812," ",""),LEN($F1812)+1)=$F1812&amp;"-",LEN(SUBSTITUTE($I1812," ",""))&gt;LEN($F1812)+1),"OK","Comment required"),"OK")))</f>
      </c>
    </row>
    <row r="1813" spans="1:10" x14ac:dyDescent="0.25">
      <c r="A1813" s="1"/>
      <c r="B1813" s="20"/>
      <c r="C1813" s="1"/>
      <c r="D1813" s="1"/>
      <c r="E1813" s="1"/>
      <c r="F1813" s="1"/>
      <c r="G1813" s="1"/>
      <c r="H1813" s="1"/>
      <c r="I1813" s="1"/>
      <c r="J1813" s="1">
        <f>IF($F1813="","",IF($H1813="","Not rated",IF(OR($H1813=Lists!$B$3,$H1813=Lists!$B$5),IF(AND(LEFT(SUBSTITUTE($I1813," ",""),LEN($F1813)+1)=$F1813&amp;"-",LEN(SUBSTITUTE($I1813," ",""))&gt;LEN($F1813)+1),"OK","Comment required"),"OK")))</f>
      </c>
    </row>
    <row r="1814" spans="1:10" x14ac:dyDescent="0.25">
      <c r="A1814" s="1"/>
      <c r="B1814" s="20"/>
      <c r="C1814" s="1"/>
      <c r="D1814" s="1"/>
      <c r="E1814" s="1"/>
      <c r="F1814" s="1"/>
      <c r="G1814" s="1"/>
      <c r="H1814" s="1"/>
      <c r="I1814" s="1"/>
      <c r="J1814" s="1">
        <f>IF($F1814="","",IF($H1814="","Not rated",IF(OR($H1814=Lists!$B$3,$H1814=Lists!$B$5),IF(AND(LEFT(SUBSTITUTE($I1814," ",""),LEN($F1814)+1)=$F1814&amp;"-",LEN(SUBSTITUTE($I1814," ",""))&gt;LEN($F1814)+1),"OK","Comment required"),"OK")))</f>
      </c>
    </row>
    <row r="1815" spans="1:10" x14ac:dyDescent="0.25">
      <c r="A1815" s="1"/>
      <c r="B1815" s="20"/>
      <c r="C1815" s="1"/>
      <c r="D1815" s="1"/>
      <c r="E1815" s="1"/>
      <c r="F1815" s="1"/>
      <c r="G1815" s="1"/>
      <c r="H1815" s="1"/>
      <c r="I1815" s="1"/>
      <c r="J1815" s="1">
        <f>IF($F1815="","",IF($H1815="","Not rated",IF(OR($H1815=Lists!$B$3,$H1815=Lists!$B$5),IF(AND(LEFT(SUBSTITUTE($I1815," ",""),LEN($F1815)+1)=$F1815&amp;"-",LEN(SUBSTITUTE($I1815," ",""))&gt;LEN($F1815)+1),"OK","Comment required"),"OK")))</f>
      </c>
    </row>
    <row r="1816" spans="1:10" x14ac:dyDescent="0.25">
      <c r="A1816" s="1"/>
      <c r="B1816" s="20"/>
      <c r="C1816" s="1"/>
      <c r="D1816" s="1"/>
      <c r="E1816" s="1"/>
      <c r="F1816" s="1"/>
      <c r="G1816" s="1"/>
      <c r="H1816" s="1"/>
      <c r="I1816" s="1"/>
      <c r="J1816" s="1">
        <f>IF($F1816="","",IF($H1816="","Not rated",IF(OR($H1816=Lists!$B$3,$H1816=Lists!$B$5),IF(AND(LEFT(SUBSTITUTE($I1816," ",""),LEN($F1816)+1)=$F1816&amp;"-",LEN(SUBSTITUTE($I1816," ",""))&gt;LEN($F1816)+1),"OK","Comment required"),"OK")))</f>
      </c>
    </row>
    <row r="1817" spans="1:10" x14ac:dyDescent="0.25">
      <c r="A1817" s="1"/>
      <c r="B1817" s="20"/>
      <c r="C1817" s="1"/>
      <c r="D1817" s="1"/>
      <c r="E1817" s="1"/>
      <c r="F1817" s="1"/>
      <c r="G1817" s="1"/>
      <c r="H1817" s="1"/>
      <c r="I1817" s="1"/>
      <c r="J1817" s="1">
        <f>IF($F1817="","",IF($H1817="","Not rated",IF(OR($H1817=Lists!$B$3,$H1817=Lists!$B$5),IF(AND(LEFT(SUBSTITUTE($I1817," ",""),LEN($F1817)+1)=$F1817&amp;"-",LEN(SUBSTITUTE($I1817," ",""))&gt;LEN($F1817)+1),"OK","Comment required"),"OK")))</f>
      </c>
    </row>
    <row r="1818" spans="1:10" x14ac:dyDescent="0.25">
      <c r="A1818" s="1"/>
      <c r="B1818" s="20"/>
      <c r="C1818" s="1"/>
      <c r="D1818" s="1"/>
      <c r="E1818" s="1"/>
      <c r="F1818" s="1"/>
      <c r="G1818" s="1"/>
      <c r="H1818" s="1"/>
      <c r="I1818" s="1"/>
      <c r="J1818" s="1">
        <f>IF($F1818="","",IF($H1818="","Not rated",IF(OR($H1818=Lists!$B$3,$H1818=Lists!$B$5),IF(AND(LEFT(SUBSTITUTE($I1818," ",""),LEN($F1818)+1)=$F1818&amp;"-",LEN(SUBSTITUTE($I1818," ",""))&gt;LEN($F1818)+1),"OK","Comment required"),"OK")))</f>
      </c>
    </row>
    <row r="1819" spans="1:10" x14ac:dyDescent="0.25">
      <c r="A1819" s="1"/>
      <c r="B1819" s="20"/>
      <c r="C1819" s="1"/>
      <c r="D1819" s="1"/>
      <c r="E1819" s="1"/>
      <c r="F1819" s="1"/>
      <c r="G1819" s="1"/>
      <c r="H1819" s="1"/>
      <c r="I1819" s="1"/>
      <c r="J1819" s="1">
        <f>IF($F1819="","",IF($H1819="","Not rated",IF(OR($H1819=Lists!$B$3,$H1819=Lists!$B$5),IF(AND(LEFT(SUBSTITUTE($I1819," ",""),LEN($F1819)+1)=$F1819&amp;"-",LEN(SUBSTITUTE($I1819," ",""))&gt;LEN($F1819)+1),"OK","Comment required"),"OK")))</f>
      </c>
    </row>
    <row r="1820" spans="1:10" x14ac:dyDescent="0.25">
      <c r="A1820" s="1"/>
      <c r="B1820" s="20"/>
      <c r="C1820" s="1"/>
      <c r="D1820" s="1"/>
      <c r="E1820" s="1"/>
      <c r="F1820" s="1"/>
      <c r="G1820" s="1"/>
      <c r="H1820" s="1"/>
      <c r="I1820" s="1"/>
      <c r="J1820" s="1">
        <f>IF($F1820="","",IF($H1820="","Not rated",IF(OR($H1820=Lists!$B$3,$H1820=Lists!$B$5),IF(AND(LEFT(SUBSTITUTE($I1820," ",""),LEN($F1820)+1)=$F1820&amp;"-",LEN(SUBSTITUTE($I1820," ",""))&gt;LEN($F1820)+1),"OK","Comment required"),"OK")))</f>
      </c>
    </row>
    <row r="1821" spans="1:10" x14ac:dyDescent="0.25">
      <c r="A1821" s="1"/>
      <c r="B1821" s="20"/>
      <c r="C1821" s="1"/>
      <c r="D1821" s="1"/>
      <c r="E1821" s="1"/>
      <c r="F1821" s="1"/>
      <c r="G1821" s="1"/>
      <c r="H1821" s="1"/>
      <c r="I1821" s="1"/>
      <c r="J1821" s="1">
        <f>IF($F1821="","",IF($H1821="","Not rated",IF(OR($H1821=Lists!$B$3,$H1821=Lists!$B$5),IF(AND(LEFT(SUBSTITUTE($I1821," ",""),LEN($F1821)+1)=$F1821&amp;"-",LEN(SUBSTITUTE($I1821," ",""))&gt;LEN($F1821)+1),"OK","Comment required"),"OK")))</f>
      </c>
    </row>
    <row r="1822" spans="1:10" x14ac:dyDescent="0.25">
      <c r="A1822" s="1"/>
      <c r="B1822" s="20"/>
      <c r="C1822" s="1"/>
      <c r="D1822" s="1"/>
      <c r="E1822" s="1"/>
      <c r="F1822" s="1"/>
      <c r="G1822" s="1"/>
      <c r="H1822" s="1"/>
      <c r="I1822" s="1"/>
      <c r="J1822" s="1">
        <f>IF($F1822="","",IF($H1822="","Not rated",IF(OR($H1822=Lists!$B$3,$H1822=Lists!$B$5),IF(AND(LEFT(SUBSTITUTE($I1822," ",""),LEN($F1822)+1)=$F1822&amp;"-",LEN(SUBSTITUTE($I1822," ",""))&gt;LEN($F1822)+1),"OK","Comment required"),"OK")))</f>
      </c>
    </row>
    <row r="1823" spans="1:10" x14ac:dyDescent="0.25">
      <c r="A1823" s="1"/>
      <c r="B1823" s="20"/>
      <c r="C1823" s="1"/>
      <c r="D1823" s="1"/>
      <c r="E1823" s="1"/>
      <c r="F1823" s="1"/>
      <c r="G1823" s="1"/>
      <c r="H1823" s="1"/>
      <c r="I1823" s="1"/>
      <c r="J1823" s="1">
        <f>IF($F1823="","",IF($H1823="","Not rated",IF(OR($H1823=Lists!$B$3,$H1823=Lists!$B$5),IF(AND(LEFT(SUBSTITUTE($I1823," ",""),LEN($F1823)+1)=$F1823&amp;"-",LEN(SUBSTITUTE($I1823," ",""))&gt;LEN($F1823)+1),"OK","Comment required"),"OK")))</f>
      </c>
    </row>
    <row r="1824" spans="1:10" x14ac:dyDescent="0.25">
      <c r="A1824" s="1"/>
      <c r="B1824" s="20"/>
      <c r="C1824" s="1"/>
      <c r="D1824" s="1"/>
      <c r="E1824" s="1"/>
      <c r="F1824" s="1"/>
      <c r="G1824" s="1"/>
      <c r="H1824" s="1"/>
      <c r="I1824" s="1"/>
      <c r="J1824" s="1">
        <f>IF($F1824="","",IF($H1824="","Not rated",IF(OR($H1824=Lists!$B$3,$H1824=Lists!$B$5),IF(AND(LEFT(SUBSTITUTE($I1824," ",""),LEN($F1824)+1)=$F1824&amp;"-",LEN(SUBSTITUTE($I1824," ",""))&gt;LEN($F1824)+1),"OK","Comment required"),"OK")))</f>
      </c>
    </row>
    <row r="1825" spans="1:10" x14ac:dyDescent="0.25">
      <c r="A1825" s="1"/>
      <c r="B1825" s="20"/>
      <c r="C1825" s="1"/>
      <c r="D1825" s="1"/>
      <c r="E1825" s="1"/>
      <c r="F1825" s="1"/>
      <c r="G1825" s="1"/>
      <c r="H1825" s="1"/>
      <c r="I1825" s="1"/>
      <c r="J1825" s="1">
        <f>IF($F1825="","",IF($H1825="","Not rated",IF(OR($H1825=Lists!$B$3,$H1825=Lists!$B$5),IF(AND(LEFT(SUBSTITUTE($I1825," ",""),LEN($F1825)+1)=$F1825&amp;"-",LEN(SUBSTITUTE($I1825," ",""))&gt;LEN($F1825)+1),"OK","Comment required"),"OK")))</f>
      </c>
    </row>
    <row r="1826" spans="1:10" x14ac:dyDescent="0.25">
      <c r="A1826" s="1"/>
      <c r="B1826" s="20"/>
      <c r="C1826" s="1"/>
      <c r="D1826" s="1"/>
      <c r="E1826" s="1"/>
      <c r="F1826" s="1"/>
      <c r="G1826" s="1"/>
      <c r="H1826" s="1"/>
      <c r="I1826" s="1"/>
      <c r="J1826" s="1">
        <f>IF($F1826="","",IF($H1826="","Not rated",IF(OR($H1826=Lists!$B$3,$H1826=Lists!$B$5),IF(AND(LEFT(SUBSTITUTE($I1826," ",""),LEN($F1826)+1)=$F1826&amp;"-",LEN(SUBSTITUTE($I1826," ",""))&gt;LEN($F1826)+1),"OK","Comment required"),"OK")))</f>
      </c>
    </row>
    <row r="1827" spans="1:10" x14ac:dyDescent="0.25">
      <c r="A1827" s="1"/>
      <c r="B1827" s="20"/>
      <c r="C1827" s="1"/>
      <c r="D1827" s="1"/>
      <c r="E1827" s="1"/>
      <c r="F1827" s="1"/>
      <c r="G1827" s="1"/>
      <c r="H1827" s="1"/>
      <c r="I1827" s="1"/>
      <c r="J1827" s="1">
        <f>IF($F1827="","",IF($H1827="","Not rated",IF(OR($H1827=Lists!$B$3,$H1827=Lists!$B$5),IF(AND(LEFT(SUBSTITUTE($I1827," ",""),LEN($F1827)+1)=$F1827&amp;"-",LEN(SUBSTITUTE($I1827," ",""))&gt;LEN($F1827)+1),"OK","Comment required"),"OK")))</f>
      </c>
    </row>
    <row r="1828" spans="1:10" x14ac:dyDescent="0.25">
      <c r="A1828" s="1"/>
      <c r="B1828" s="20"/>
      <c r="C1828" s="1"/>
      <c r="D1828" s="1"/>
      <c r="E1828" s="1"/>
      <c r="F1828" s="1"/>
      <c r="G1828" s="1"/>
      <c r="H1828" s="1"/>
      <c r="I1828" s="1"/>
      <c r="J1828" s="1">
        <f>IF($F1828="","",IF($H1828="","Not rated",IF(OR($H1828=Lists!$B$3,$H1828=Lists!$B$5),IF(AND(LEFT(SUBSTITUTE($I1828," ",""),LEN($F1828)+1)=$F1828&amp;"-",LEN(SUBSTITUTE($I1828," ",""))&gt;LEN($F1828)+1),"OK","Comment required"),"OK")))</f>
      </c>
    </row>
    <row r="1829" spans="1:10" x14ac:dyDescent="0.25">
      <c r="A1829" s="1"/>
      <c r="B1829" s="20"/>
      <c r="C1829" s="1"/>
      <c r="D1829" s="1"/>
      <c r="E1829" s="1"/>
      <c r="F1829" s="1"/>
      <c r="G1829" s="1"/>
      <c r="H1829" s="1"/>
      <c r="I1829" s="1"/>
      <c r="J1829" s="1">
        <f>IF($F1829="","",IF($H1829="","Not rated",IF(OR($H1829=Lists!$B$3,$H1829=Lists!$B$5),IF(AND(LEFT(SUBSTITUTE($I1829," ",""),LEN($F1829)+1)=$F1829&amp;"-",LEN(SUBSTITUTE($I1829," ",""))&gt;LEN($F1829)+1),"OK","Comment required"),"OK")))</f>
      </c>
    </row>
    <row r="1830" spans="1:10" x14ac:dyDescent="0.25">
      <c r="A1830" s="1"/>
      <c r="B1830" s="20"/>
      <c r="C1830" s="1"/>
      <c r="D1830" s="1"/>
      <c r="E1830" s="1"/>
      <c r="F1830" s="1"/>
      <c r="G1830" s="1"/>
      <c r="H1830" s="1"/>
      <c r="I1830" s="1"/>
      <c r="J1830" s="1">
        <f>IF($F1830="","",IF($H1830="","Not rated",IF(OR($H1830=Lists!$B$3,$H1830=Lists!$B$5),IF(AND(LEFT(SUBSTITUTE($I1830," ",""),LEN($F1830)+1)=$F1830&amp;"-",LEN(SUBSTITUTE($I1830," ",""))&gt;LEN($F1830)+1),"OK","Comment required"),"OK")))</f>
      </c>
    </row>
    <row r="1831" spans="1:10" x14ac:dyDescent="0.25">
      <c r="A1831" s="1"/>
      <c r="B1831" s="20"/>
      <c r="C1831" s="1"/>
      <c r="D1831" s="1"/>
      <c r="E1831" s="1"/>
      <c r="F1831" s="1"/>
      <c r="G1831" s="1"/>
      <c r="H1831" s="1"/>
      <c r="I1831" s="1"/>
      <c r="J1831" s="1">
        <f>IF($F1831="","",IF($H1831="","Not rated",IF(OR($H1831=Lists!$B$3,$H1831=Lists!$B$5),IF(AND(LEFT(SUBSTITUTE($I1831," ",""),LEN($F1831)+1)=$F1831&amp;"-",LEN(SUBSTITUTE($I1831," ",""))&gt;LEN($F1831)+1),"OK","Comment required"),"OK")))</f>
      </c>
    </row>
    <row r="1832" spans="1:10" x14ac:dyDescent="0.25">
      <c r="A1832" s="1"/>
      <c r="B1832" s="20"/>
      <c r="C1832" s="1"/>
      <c r="D1832" s="1"/>
      <c r="E1832" s="1"/>
      <c r="F1832" s="1"/>
      <c r="G1832" s="1"/>
      <c r="H1832" s="1"/>
      <c r="I1832" s="1"/>
      <c r="J1832" s="1">
        <f>IF($F1832="","",IF($H1832="","Not rated",IF(OR($H1832=Lists!$B$3,$H1832=Lists!$B$5),IF(AND(LEFT(SUBSTITUTE($I1832," ",""),LEN($F1832)+1)=$F1832&amp;"-",LEN(SUBSTITUTE($I1832," ",""))&gt;LEN($F1832)+1),"OK","Comment required"),"OK")))</f>
      </c>
    </row>
    <row r="1833" spans="1:10" x14ac:dyDescent="0.25">
      <c r="A1833" s="1"/>
      <c r="B1833" s="20"/>
      <c r="C1833" s="1"/>
      <c r="D1833" s="1"/>
      <c r="E1833" s="1"/>
      <c r="F1833" s="1"/>
      <c r="G1833" s="1"/>
      <c r="H1833" s="1"/>
      <c r="I1833" s="1"/>
      <c r="J1833" s="1">
        <f>IF($F1833="","",IF($H1833="","Not rated",IF(OR($H1833=Lists!$B$3,$H1833=Lists!$B$5),IF(AND(LEFT(SUBSTITUTE($I1833," ",""),LEN($F1833)+1)=$F1833&amp;"-",LEN(SUBSTITUTE($I1833," ",""))&gt;LEN($F1833)+1),"OK","Comment required"),"OK")))</f>
      </c>
    </row>
    <row r="1834" spans="1:10" x14ac:dyDescent="0.25">
      <c r="A1834" s="1"/>
      <c r="B1834" s="20"/>
      <c r="C1834" s="1"/>
      <c r="D1834" s="1"/>
      <c r="E1834" s="1"/>
      <c r="F1834" s="1"/>
      <c r="G1834" s="1"/>
      <c r="H1834" s="1"/>
      <c r="I1834" s="1"/>
      <c r="J1834" s="1">
        <f>IF($F1834="","",IF($H1834="","Not rated",IF(OR($H1834=Lists!$B$3,$H1834=Lists!$B$5),IF(AND(LEFT(SUBSTITUTE($I1834," ",""),LEN($F1834)+1)=$F1834&amp;"-",LEN(SUBSTITUTE($I1834," ",""))&gt;LEN($F1834)+1),"OK","Comment required"),"OK")))</f>
      </c>
    </row>
    <row r="1835" spans="1:10" x14ac:dyDescent="0.25">
      <c r="A1835" s="1"/>
      <c r="B1835" s="20"/>
      <c r="C1835" s="1"/>
      <c r="D1835" s="1"/>
      <c r="E1835" s="1"/>
      <c r="F1835" s="1"/>
      <c r="G1835" s="1"/>
      <c r="H1835" s="1"/>
      <c r="I1835" s="1"/>
      <c r="J1835" s="1">
        <f>IF($F1835="","",IF($H1835="","Not rated",IF(OR($H1835=Lists!$B$3,$H1835=Lists!$B$5),IF(AND(LEFT(SUBSTITUTE($I1835," ",""),LEN($F1835)+1)=$F1835&amp;"-",LEN(SUBSTITUTE($I1835," ",""))&gt;LEN($F1835)+1),"OK","Comment required"),"OK")))</f>
      </c>
    </row>
    <row r="1836" spans="1:10" x14ac:dyDescent="0.25">
      <c r="A1836" s="1"/>
      <c r="B1836" s="20"/>
      <c r="C1836" s="1"/>
      <c r="D1836" s="1"/>
      <c r="E1836" s="1"/>
      <c r="F1836" s="1"/>
      <c r="G1836" s="1"/>
      <c r="H1836" s="1"/>
      <c r="I1836" s="1"/>
      <c r="J1836" s="1">
        <f>IF($F1836="","",IF($H1836="","Not rated",IF(OR($H1836=Lists!$B$3,$H1836=Lists!$B$5),IF(AND(LEFT(SUBSTITUTE($I1836," ",""),LEN($F1836)+1)=$F1836&amp;"-",LEN(SUBSTITUTE($I1836," ",""))&gt;LEN($F1836)+1),"OK","Comment required"),"OK")))</f>
      </c>
    </row>
    <row r="1837" spans="1:10" x14ac:dyDescent="0.25">
      <c r="A1837" s="1"/>
      <c r="B1837" s="20"/>
      <c r="C1837" s="1"/>
      <c r="D1837" s="1"/>
      <c r="E1837" s="1"/>
      <c r="F1837" s="1"/>
      <c r="G1837" s="1"/>
      <c r="H1837" s="1"/>
      <c r="I1837" s="1"/>
      <c r="J1837" s="1">
        <f>IF($F1837="","",IF($H1837="","Not rated",IF(OR($H1837=Lists!$B$3,$H1837=Lists!$B$5),IF(AND(LEFT(SUBSTITUTE($I1837," ",""),LEN($F1837)+1)=$F1837&amp;"-",LEN(SUBSTITUTE($I1837," ",""))&gt;LEN($F1837)+1),"OK","Comment required"),"OK")))</f>
      </c>
    </row>
    <row r="1838" spans="1:10" x14ac:dyDescent="0.25">
      <c r="A1838" s="1"/>
      <c r="B1838" s="20"/>
      <c r="C1838" s="1"/>
      <c r="D1838" s="1"/>
      <c r="E1838" s="1"/>
      <c r="F1838" s="1"/>
      <c r="G1838" s="1"/>
      <c r="H1838" s="1"/>
      <c r="I1838" s="1"/>
      <c r="J1838" s="1">
        <f>IF($F1838="","",IF($H1838="","Not rated",IF(OR($H1838=Lists!$B$3,$H1838=Lists!$B$5),IF(AND(LEFT(SUBSTITUTE($I1838," ",""),LEN($F1838)+1)=$F1838&amp;"-",LEN(SUBSTITUTE($I1838," ",""))&gt;LEN($F1838)+1),"OK","Comment required"),"OK")))</f>
      </c>
    </row>
    <row r="1839" spans="1:10" x14ac:dyDescent="0.25">
      <c r="A1839" s="1"/>
      <c r="B1839" s="20"/>
      <c r="C1839" s="1"/>
      <c r="D1839" s="1"/>
      <c r="E1839" s="1"/>
      <c r="F1839" s="1"/>
      <c r="G1839" s="1"/>
      <c r="H1839" s="1"/>
      <c r="I1839" s="1"/>
      <c r="J1839" s="1">
        <f>IF($F1839="","",IF($H1839="","Not rated",IF(OR($H1839=Lists!$B$3,$H1839=Lists!$B$5),IF(AND(LEFT(SUBSTITUTE($I1839," ",""),LEN($F1839)+1)=$F1839&amp;"-",LEN(SUBSTITUTE($I1839," ",""))&gt;LEN($F1839)+1),"OK","Comment required"),"OK")))</f>
      </c>
    </row>
    <row r="1840" spans="1:10" x14ac:dyDescent="0.25">
      <c r="A1840" s="1"/>
      <c r="B1840" s="20"/>
      <c r="C1840" s="1"/>
      <c r="D1840" s="1"/>
      <c r="E1840" s="1"/>
      <c r="F1840" s="1"/>
      <c r="G1840" s="1"/>
      <c r="H1840" s="1"/>
      <c r="I1840" s="1"/>
      <c r="J1840" s="1">
        <f>IF($F1840="","",IF($H1840="","Not rated",IF(OR($H1840=Lists!$B$3,$H1840=Lists!$B$5),IF(AND(LEFT(SUBSTITUTE($I1840," ",""),LEN($F1840)+1)=$F1840&amp;"-",LEN(SUBSTITUTE($I1840," ",""))&gt;LEN($F1840)+1),"OK","Comment required"),"OK")))</f>
      </c>
    </row>
    <row r="1841" spans="1:10" x14ac:dyDescent="0.25">
      <c r="A1841" s="1"/>
      <c r="B1841" s="20"/>
      <c r="C1841" s="1"/>
      <c r="D1841" s="1"/>
      <c r="E1841" s="1"/>
      <c r="F1841" s="1"/>
      <c r="G1841" s="1"/>
      <c r="H1841" s="1"/>
      <c r="I1841" s="1"/>
      <c r="J1841" s="1">
        <f>IF($F1841="","",IF($H1841="","Not rated",IF(OR($H1841=Lists!$B$3,$H1841=Lists!$B$5),IF(AND(LEFT(SUBSTITUTE($I1841," ",""),LEN($F1841)+1)=$F1841&amp;"-",LEN(SUBSTITUTE($I1841," ",""))&gt;LEN($F1841)+1),"OK","Comment required"),"OK")))</f>
      </c>
    </row>
    <row r="1842" spans="1:10" x14ac:dyDescent="0.25">
      <c r="A1842" s="1"/>
      <c r="B1842" s="20"/>
      <c r="C1842" s="1"/>
      <c r="D1842" s="1"/>
      <c r="E1842" s="1"/>
      <c r="F1842" s="1"/>
      <c r="G1842" s="1"/>
      <c r="H1842" s="1"/>
      <c r="I1842" s="1"/>
      <c r="J1842" s="1">
        <f>IF($F1842="","",IF($H1842="","Not rated",IF(OR($H1842=Lists!$B$3,$H1842=Lists!$B$5),IF(AND(LEFT(SUBSTITUTE($I1842," ",""),LEN($F1842)+1)=$F1842&amp;"-",LEN(SUBSTITUTE($I1842," ",""))&gt;LEN($F1842)+1),"OK","Comment required"),"OK")))</f>
      </c>
    </row>
    <row r="1843" spans="1:10" x14ac:dyDescent="0.25">
      <c r="A1843" s="1"/>
      <c r="B1843" s="20"/>
      <c r="C1843" s="1"/>
      <c r="D1843" s="1"/>
      <c r="E1843" s="1"/>
      <c r="F1843" s="1"/>
      <c r="G1843" s="1"/>
      <c r="H1843" s="1"/>
      <c r="I1843" s="1"/>
      <c r="J1843" s="1">
        <f>IF($F1843="","",IF($H1843="","Not rated",IF(OR($H1843=Lists!$B$3,$H1843=Lists!$B$5),IF(AND(LEFT(SUBSTITUTE($I1843," ",""),LEN($F1843)+1)=$F1843&amp;"-",LEN(SUBSTITUTE($I1843," ",""))&gt;LEN($F1843)+1),"OK","Comment required"),"OK")))</f>
      </c>
    </row>
    <row r="1844" spans="1:10" x14ac:dyDescent="0.25">
      <c r="A1844" s="1"/>
      <c r="B1844" s="20"/>
      <c r="C1844" s="1"/>
      <c r="D1844" s="1"/>
      <c r="E1844" s="1"/>
      <c r="F1844" s="1"/>
      <c r="G1844" s="1"/>
      <c r="H1844" s="1"/>
      <c r="I1844" s="1"/>
      <c r="J1844" s="1">
        <f>IF($F1844="","",IF($H1844="","Not rated",IF(OR($H1844=Lists!$B$3,$H1844=Lists!$B$5),IF(AND(LEFT(SUBSTITUTE($I1844," ",""),LEN($F1844)+1)=$F1844&amp;"-",LEN(SUBSTITUTE($I1844," ",""))&gt;LEN($F1844)+1),"OK","Comment required"),"OK")))</f>
      </c>
    </row>
    <row r="1845" spans="1:10" x14ac:dyDescent="0.25">
      <c r="A1845" s="1"/>
      <c r="B1845" s="20"/>
      <c r="C1845" s="1"/>
      <c r="D1845" s="1"/>
      <c r="E1845" s="1"/>
      <c r="F1845" s="1"/>
      <c r="G1845" s="1"/>
      <c r="H1845" s="1"/>
      <c r="I1845" s="1"/>
      <c r="J1845" s="1">
        <f>IF($F1845="","",IF($H1845="","Not rated",IF(OR($H1845=Lists!$B$3,$H1845=Lists!$B$5),IF(AND(LEFT(SUBSTITUTE($I1845," ",""),LEN($F1845)+1)=$F1845&amp;"-",LEN(SUBSTITUTE($I1845," ",""))&gt;LEN($F1845)+1),"OK","Comment required"),"OK")))</f>
      </c>
    </row>
    <row r="1846" spans="1:10" x14ac:dyDescent="0.25">
      <c r="A1846" s="1"/>
      <c r="B1846" s="20"/>
      <c r="C1846" s="1"/>
      <c r="D1846" s="1"/>
      <c r="E1846" s="1"/>
      <c r="F1846" s="1"/>
      <c r="G1846" s="1"/>
      <c r="H1846" s="1"/>
      <c r="I1846" s="1"/>
      <c r="J1846" s="1">
        <f>IF($F1846="","",IF($H1846="","Not rated",IF(OR($H1846=Lists!$B$3,$H1846=Lists!$B$5),IF(AND(LEFT(SUBSTITUTE($I1846," ",""),LEN($F1846)+1)=$F1846&amp;"-",LEN(SUBSTITUTE($I1846," ",""))&gt;LEN($F1846)+1),"OK","Comment required"),"OK")))</f>
      </c>
    </row>
    <row r="1847" spans="1:10" x14ac:dyDescent="0.25">
      <c r="A1847" s="1"/>
      <c r="B1847" s="20"/>
      <c r="C1847" s="1"/>
      <c r="D1847" s="1"/>
      <c r="E1847" s="1"/>
      <c r="F1847" s="1"/>
      <c r="G1847" s="1"/>
      <c r="H1847" s="1"/>
      <c r="I1847" s="1"/>
      <c r="J1847" s="1">
        <f>IF($F1847="","",IF($H1847="","Not rated",IF(OR($H1847=Lists!$B$3,$H1847=Lists!$B$5),IF(AND(LEFT(SUBSTITUTE($I1847," ",""),LEN($F1847)+1)=$F1847&amp;"-",LEN(SUBSTITUTE($I1847," ",""))&gt;LEN($F1847)+1),"OK","Comment required"),"OK")))</f>
      </c>
    </row>
    <row r="1848" spans="1:10" x14ac:dyDescent="0.25">
      <c r="A1848" s="1"/>
      <c r="B1848" s="20"/>
      <c r="C1848" s="1"/>
      <c r="D1848" s="1"/>
      <c r="E1848" s="1"/>
      <c r="F1848" s="1"/>
      <c r="G1848" s="1"/>
      <c r="H1848" s="1"/>
      <c r="I1848" s="1"/>
      <c r="J1848" s="1">
        <f>IF($F1848="","",IF($H1848="","Not rated",IF(OR($H1848=Lists!$B$3,$H1848=Lists!$B$5),IF(AND(LEFT(SUBSTITUTE($I1848," ",""),LEN($F1848)+1)=$F1848&amp;"-",LEN(SUBSTITUTE($I1848," ",""))&gt;LEN($F1848)+1),"OK","Comment required"),"OK")))</f>
      </c>
    </row>
    <row r="1849" spans="1:10" x14ac:dyDescent="0.25">
      <c r="A1849" s="1"/>
      <c r="B1849" s="20"/>
      <c r="C1849" s="1"/>
      <c r="D1849" s="1"/>
      <c r="E1849" s="1"/>
      <c r="F1849" s="1"/>
      <c r="G1849" s="1"/>
      <c r="H1849" s="1"/>
      <c r="I1849" s="1"/>
      <c r="J1849" s="1">
        <f>IF($F1849="","",IF($H1849="","Not rated",IF(OR($H1849=Lists!$B$3,$H1849=Lists!$B$5),IF(AND(LEFT(SUBSTITUTE($I1849," ",""),LEN($F1849)+1)=$F1849&amp;"-",LEN(SUBSTITUTE($I1849," ",""))&gt;LEN($F1849)+1),"OK","Comment required"),"OK")))</f>
      </c>
    </row>
    <row r="1850" spans="1:10" x14ac:dyDescent="0.25">
      <c r="A1850" s="1"/>
      <c r="B1850" s="20"/>
      <c r="C1850" s="1"/>
      <c r="D1850" s="1"/>
      <c r="E1850" s="1"/>
      <c r="F1850" s="1"/>
      <c r="G1850" s="1"/>
      <c r="H1850" s="1"/>
      <c r="I1850" s="1"/>
      <c r="J1850" s="1">
        <f>IF($F1850="","",IF($H1850="","Not rated",IF(OR($H1850=Lists!$B$3,$H1850=Lists!$B$5),IF(AND(LEFT(SUBSTITUTE($I1850," ",""),LEN($F1850)+1)=$F1850&amp;"-",LEN(SUBSTITUTE($I1850," ",""))&gt;LEN($F1850)+1),"OK","Comment required"),"OK")))</f>
      </c>
    </row>
    <row r="1851" spans="1:10" x14ac:dyDescent="0.25">
      <c r="A1851" s="1"/>
      <c r="B1851" s="20"/>
      <c r="C1851" s="1"/>
      <c r="D1851" s="1"/>
      <c r="E1851" s="1"/>
      <c r="F1851" s="1"/>
      <c r="G1851" s="1"/>
      <c r="H1851" s="1"/>
      <c r="I1851" s="1"/>
      <c r="J1851" s="1">
        <f>IF($F1851="","",IF($H1851="","Not rated",IF(OR($H1851=Lists!$B$3,$H1851=Lists!$B$5),IF(AND(LEFT(SUBSTITUTE($I1851," ",""),LEN($F1851)+1)=$F1851&amp;"-",LEN(SUBSTITUTE($I1851," ",""))&gt;LEN($F1851)+1),"OK","Comment required"),"OK")))</f>
      </c>
    </row>
    <row r="1852" spans="1:10" x14ac:dyDescent="0.25">
      <c r="A1852" s="1"/>
      <c r="B1852" s="20"/>
      <c r="C1852" s="1"/>
      <c r="D1852" s="1"/>
      <c r="E1852" s="1"/>
      <c r="F1852" s="1"/>
      <c r="G1852" s="1"/>
      <c r="H1852" s="1"/>
      <c r="I1852" s="1"/>
      <c r="J1852" s="1">
        <f>IF($F1852="","",IF($H1852="","Not rated",IF(OR($H1852=Lists!$B$3,$H1852=Lists!$B$5),IF(AND(LEFT(SUBSTITUTE($I1852," ",""),LEN($F1852)+1)=$F1852&amp;"-",LEN(SUBSTITUTE($I1852," ",""))&gt;LEN($F1852)+1),"OK","Comment required"),"OK")))</f>
      </c>
    </row>
    <row r="1853" spans="1:10" x14ac:dyDescent="0.25">
      <c r="A1853" s="1"/>
      <c r="B1853" s="20"/>
      <c r="C1853" s="1"/>
      <c r="D1853" s="1"/>
      <c r="E1853" s="1"/>
      <c r="F1853" s="1"/>
      <c r="G1853" s="1"/>
      <c r="H1853" s="1"/>
      <c r="I1853" s="1"/>
      <c r="J1853" s="1">
        <f>IF($F1853="","",IF($H1853="","Not rated",IF(OR($H1853=Lists!$B$3,$H1853=Lists!$B$5),IF(AND(LEFT(SUBSTITUTE($I1853," ",""),LEN($F1853)+1)=$F1853&amp;"-",LEN(SUBSTITUTE($I1853," ",""))&gt;LEN($F1853)+1),"OK","Comment required"),"OK")))</f>
      </c>
    </row>
    <row r="1854" spans="1:10" x14ac:dyDescent="0.25">
      <c r="A1854" s="1"/>
      <c r="B1854" s="20"/>
      <c r="C1854" s="1"/>
      <c r="D1854" s="1"/>
      <c r="E1854" s="1"/>
      <c r="F1854" s="1"/>
      <c r="G1854" s="1"/>
      <c r="H1854" s="1"/>
      <c r="I1854" s="1"/>
      <c r="J1854" s="1">
        <f>IF($F1854="","",IF($H1854="","Not rated",IF(OR($H1854=Lists!$B$3,$H1854=Lists!$B$5),IF(AND(LEFT(SUBSTITUTE($I1854," ",""),LEN($F1854)+1)=$F1854&amp;"-",LEN(SUBSTITUTE($I1854," ",""))&gt;LEN($F1854)+1),"OK","Comment required"),"OK")))</f>
      </c>
    </row>
    <row r="1855" spans="1:10" x14ac:dyDescent="0.25">
      <c r="A1855" s="1"/>
      <c r="B1855" s="20"/>
      <c r="C1855" s="1"/>
      <c r="D1855" s="1"/>
      <c r="E1855" s="1"/>
      <c r="F1855" s="1"/>
      <c r="G1855" s="1"/>
      <c r="H1855" s="1"/>
      <c r="I1855" s="1"/>
      <c r="J1855" s="1">
        <f>IF($F1855="","",IF($H1855="","Not rated",IF(OR($H1855=Lists!$B$3,$H1855=Lists!$B$5),IF(AND(LEFT(SUBSTITUTE($I1855," ",""),LEN($F1855)+1)=$F1855&amp;"-",LEN(SUBSTITUTE($I1855," ",""))&gt;LEN($F1855)+1),"OK","Comment required"),"OK")))</f>
      </c>
    </row>
    <row r="1856" spans="1:10" x14ac:dyDescent="0.25">
      <c r="A1856" s="1"/>
      <c r="B1856" s="20"/>
      <c r="C1856" s="1"/>
      <c r="D1856" s="1"/>
      <c r="E1856" s="1"/>
      <c r="F1856" s="1"/>
      <c r="G1856" s="1"/>
      <c r="H1856" s="1"/>
      <c r="I1856" s="1"/>
      <c r="J1856" s="1">
        <f>IF($F1856="","",IF($H1856="","Not rated",IF(OR($H1856=Lists!$B$3,$H1856=Lists!$B$5),IF(AND(LEFT(SUBSTITUTE($I1856," ",""),LEN($F1856)+1)=$F1856&amp;"-",LEN(SUBSTITUTE($I1856," ",""))&gt;LEN($F1856)+1),"OK","Comment required"),"OK")))</f>
      </c>
    </row>
    <row r="1857" spans="1:10" x14ac:dyDescent="0.25">
      <c r="A1857" s="1"/>
      <c r="B1857" s="20"/>
      <c r="C1857" s="1"/>
      <c r="D1857" s="1"/>
      <c r="E1857" s="1"/>
      <c r="F1857" s="1"/>
      <c r="G1857" s="1"/>
      <c r="H1857" s="1"/>
      <c r="I1857" s="1"/>
      <c r="J1857" s="1">
        <f>IF($F1857="","",IF($H1857="","Not rated",IF(OR($H1857=Lists!$B$3,$H1857=Lists!$B$5),IF(AND(LEFT(SUBSTITUTE($I1857," ",""),LEN($F1857)+1)=$F1857&amp;"-",LEN(SUBSTITUTE($I1857," ",""))&gt;LEN($F1857)+1),"OK","Comment required"),"OK")))</f>
      </c>
    </row>
    <row r="1858" spans="1:10" x14ac:dyDescent="0.25">
      <c r="A1858" s="1"/>
      <c r="B1858" s="20"/>
      <c r="C1858" s="1"/>
      <c r="D1858" s="1"/>
      <c r="E1858" s="1"/>
      <c r="F1858" s="1"/>
      <c r="G1858" s="1"/>
      <c r="H1858" s="1"/>
      <c r="I1858" s="1"/>
      <c r="J1858" s="1">
        <f>IF($F1858="","",IF($H1858="","Not rated",IF(OR($H1858=Lists!$B$3,$H1858=Lists!$B$5),IF(AND(LEFT(SUBSTITUTE($I1858," ",""),LEN($F1858)+1)=$F1858&amp;"-",LEN(SUBSTITUTE($I1858," ",""))&gt;LEN($F1858)+1),"OK","Comment required"),"OK")))</f>
      </c>
    </row>
    <row r="1859" spans="1:10" x14ac:dyDescent="0.25">
      <c r="A1859" s="1"/>
      <c r="B1859" s="20"/>
      <c r="C1859" s="1"/>
      <c r="D1859" s="1"/>
      <c r="E1859" s="1"/>
      <c r="F1859" s="1"/>
      <c r="G1859" s="1"/>
      <c r="H1859" s="1"/>
      <c r="I1859" s="1"/>
      <c r="J1859" s="1">
        <f>IF($F1859="","",IF($H1859="","Not rated",IF(OR($H1859=Lists!$B$3,$H1859=Lists!$B$5),IF(AND(LEFT(SUBSTITUTE($I1859," ",""),LEN($F1859)+1)=$F1859&amp;"-",LEN(SUBSTITUTE($I1859," ",""))&gt;LEN($F1859)+1),"OK","Comment required"),"OK")))</f>
      </c>
    </row>
    <row r="1860" spans="1:10" x14ac:dyDescent="0.25">
      <c r="A1860" s="1"/>
      <c r="B1860" s="20"/>
      <c r="C1860" s="1"/>
      <c r="D1860" s="1"/>
      <c r="E1860" s="1"/>
      <c r="F1860" s="1"/>
      <c r="G1860" s="1"/>
      <c r="H1860" s="1"/>
      <c r="I1860" s="1"/>
      <c r="J1860" s="1">
        <f>IF($F1860="","",IF($H1860="","Not rated",IF(OR($H1860=Lists!$B$3,$H1860=Lists!$B$5),IF(AND(LEFT(SUBSTITUTE($I1860," ",""),LEN($F1860)+1)=$F1860&amp;"-",LEN(SUBSTITUTE($I1860," ",""))&gt;LEN($F1860)+1),"OK","Comment required"),"OK")))</f>
      </c>
    </row>
    <row r="1861" spans="1:10" x14ac:dyDescent="0.25">
      <c r="A1861" s="1"/>
      <c r="B1861" s="20"/>
      <c r="C1861" s="1"/>
      <c r="D1861" s="1"/>
      <c r="E1861" s="1"/>
      <c r="F1861" s="1"/>
      <c r="G1861" s="1"/>
      <c r="H1861" s="1"/>
      <c r="I1861" s="1"/>
      <c r="J1861" s="1">
        <f>IF($F1861="","",IF($H1861="","Not rated",IF(OR($H1861=Lists!$B$3,$H1861=Lists!$B$5),IF(AND(LEFT(SUBSTITUTE($I1861," ",""),LEN($F1861)+1)=$F1861&amp;"-",LEN(SUBSTITUTE($I1861," ",""))&gt;LEN($F1861)+1),"OK","Comment required"),"OK")))</f>
      </c>
    </row>
    <row r="1862" spans="1:10" x14ac:dyDescent="0.25">
      <c r="A1862" s="1"/>
      <c r="B1862" s="20"/>
      <c r="C1862" s="1"/>
      <c r="D1862" s="1"/>
      <c r="E1862" s="1"/>
      <c r="F1862" s="1"/>
      <c r="G1862" s="1"/>
      <c r="H1862" s="1"/>
      <c r="I1862" s="1"/>
      <c r="J1862" s="1">
        <f>IF($F1862="","",IF($H1862="","Not rated",IF(OR($H1862=Lists!$B$3,$H1862=Lists!$B$5),IF(AND(LEFT(SUBSTITUTE($I1862," ",""),LEN($F1862)+1)=$F1862&amp;"-",LEN(SUBSTITUTE($I1862," ",""))&gt;LEN($F1862)+1),"OK","Comment required"),"OK")))</f>
      </c>
    </row>
    <row r="1863" spans="1:10" x14ac:dyDescent="0.25">
      <c r="A1863" s="1"/>
      <c r="B1863" s="20"/>
      <c r="C1863" s="1"/>
      <c r="D1863" s="1"/>
      <c r="E1863" s="1"/>
      <c r="F1863" s="1"/>
      <c r="G1863" s="1"/>
      <c r="H1863" s="1"/>
      <c r="I1863" s="1"/>
      <c r="J1863" s="1">
        <f>IF($F1863="","",IF($H1863="","Not rated",IF(OR($H1863=Lists!$B$3,$H1863=Lists!$B$5),IF(AND(LEFT(SUBSTITUTE($I1863," ",""),LEN($F1863)+1)=$F1863&amp;"-",LEN(SUBSTITUTE($I1863," ",""))&gt;LEN($F1863)+1),"OK","Comment required"),"OK")))</f>
      </c>
    </row>
    <row r="1864" spans="1:10" x14ac:dyDescent="0.25">
      <c r="A1864" s="1"/>
      <c r="B1864" s="20"/>
      <c r="C1864" s="1"/>
      <c r="D1864" s="1"/>
      <c r="E1864" s="1"/>
      <c r="F1864" s="1"/>
      <c r="G1864" s="1"/>
      <c r="H1864" s="1"/>
      <c r="I1864" s="1"/>
      <c r="J1864" s="1">
        <f>IF($F1864="","",IF($H1864="","Not rated",IF(OR($H1864=Lists!$B$3,$H1864=Lists!$B$5),IF(AND(LEFT(SUBSTITUTE($I1864," ",""),LEN($F1864)+1)=$F1864&amp;"-",LEN(SUBSTITUTE($I1864," ",""))&gt;LEN($F1864)+1),"OK","Comment required"),"OK")))</f>
      </c>
    </row>
    <row r="1865" spans="1:10" x14ac:dyDescent="0.25">
      <c r="A1865" s="1"/>
      <c r="B1865" s="20"/>
      <c r="C1865" s="1"/>
      <c r="D1865" s="1"/>
      <c r="E1865" s="1"/>
      <c r="F1865" s="1"/>
      <c r="G1865" s="1"/>
      <c r="H1865" s="1"/>
      <c r="I1865" s="1"/>
      <c r="J1865" s="1">
        <f>IF($F1865="","",IF($H1865="","Not rated",IF(OR($H1865=Lists!$B$3,$H1865=Lists!$B$5),IF(AND(LEFT(SUBSTITUTE($I1865," ",""),LEN($F1865)+1)=$F1865&amp;"-",LEN(SUBSTITUTE($I1865," ",""))&gt;LEN($F1865)+1),"OK","Comment required"),"OK")))</f>
      </c>
    </row>
    <row r="1866" spans="1:10" x14ac:dyDescent="0.25">
      <c r="A1866" s="1"/>
      <c r="B1866" s="20"/>
      <c r="C1866" s="1"/>
      <c r="D1866" s="1"/>
      <c r="E1866" s="1"/>
      <c r="F1866" s="1"/>
      <c r="G1866" s="1"/>
      <c r="H1866" s="1"/>
      <c r="I1866" s="1"/>
      <c r="J1866" s="1">
        <f>IF($F1866="","",IF($H1866="","Not rated",IF(OR($H1866=Lists!$B$3,$H1866=Lists!$B$5),IF(AND(LEFT(SUBSTITUTE($I1866," ",""),LEN($F1866)+1)=$F1866&amp;"-",LEN(SUBSTITUTE($I1866," ",""))&gt;LEN($F1866)+1),"OK","Comment required"),"OK")))</f>
      </c>
    </row>
    <row r="1867" spans="1:10" x14ac:dyDescent="0.25">
      <c r="A1867" s="1"/>
      <c r="B1867" s="20"/>
      <c r="C1867" s="1"/>
      <c r="D1867" s="1"/>
      <c r="E1867" s="1"/>
      <c r="F1867" s="1"/>
      <c r="G1867" s="1"/>
      <c r="H1867" s="1"/>
      <c r="I1867" s="1"/>
      <c r="J1867" s="1">
        <f>IF($F1867="","",IF($H1867="","Not rated",IF(OR($H1867=Lists!$B$3,$H1867=Lists!$B$5),IF(AND(LEFT(SUBSTITUTE($I1867," ",""),LEN($F1867)+1)=$F1867&amp;"-",LEN(SUBSTITUTE($I1867," ",""))&gt;LEN($F1867)+1),"OK","Comment required"),"OK")))</f>
      </c>
    </row>
    <row r="1868" spans="1:10" x14ac:dyDescent="0.25">
      <c r="A1868" s="1"/>
      <c r="B1868" s="20"/>
      <c r="C1868" s="1"/>
      <c r="D1868" s="1"/>
      <c r="E1868" s="1"/>
      <c r="F1868" s="1"/>
      <c r="G1868" s="1"/>
      <c r="H1868" s="1"/>
      <c r="I1868" s="1"/>
      <c r="J1868" s="1">
        <f>IF($F1868="","",IF($H1868="","Not rated",IF(OR($H1868=Lists!$B$3,$H1868=Lists!$B$5),IF(AND(LEFT(SUBSTITUTE($I1868," ",""),LEN($F1868)+1)=$F1868&amp;"-",LEN(SUBSTITUTE($I1868," ",""))&gt;LEN($F1868)+1),"OK","Comment required"),"OK")))</f>
      </c>
    </row>
    <row r="1869" spans="1:10" x14ac:dyDescent="0.25">
      <c r="A1869" s="1"/>
      <c r="B1869" s="20"/>
      <c r="C1869" s="1"/>
      <c r="D1869" s="1"/>
      <c r="E1869" s="1"/>
      <c r="F1869" s="1"/>
      <c r="G1869" s="1"/>
      <c r="H1869" s="1"/>
      <c r="I1869" s="1"/>
      <c r="J1869" s="1">
        <f>IF($F1869="","",IF($H1869="","Not rated",IF(OR($H1869=Lists!$B$3,$H1869=Lists!$B$5),IF(AND(LEFT(SUBSTITUTE($I1869," ",""),LEN($F1869)+1)=$F1869&amp;"-",LEN(SUBSTITUTE($I1869," ",""))&gt;LEN($F1869)+1),"OK","Comment required"),"OK")))</f>
      </c>
    </row>
    <row r="1870" spans="1:10" x14ac:dyDescent="0.25">
      <c r="A1870" s="1"/>
      <c r="B1870" s="20"/>
      <c r="C1870" s="1"/>
      <c r="D1870" s="1"/>
      <c r="E1870" s="1"/>
      <c r="F1870" s="1"/>
      <c r="G1870" s="1"/>
      <c r="H1870" s="1"/>
      <c r="I1870" s="1"/>
      <c r="J1870" s="1">
        <f>IF($F1870="","",IF($H1870="","Not rated",IF(OR($H1870=Lists!$B$3,$H1870=Lists!$B$5),IF(AND(LEFT(SUBSTITUTE($I1870," ",""),LEN($F1870)+1)=$F1870&amp;"-",LEN(SUBSTITUTE($I1870," ",""))&gt;LEN($F1870)+1),"OK","Comment required"),"OK")))</f>
      </c>
    </row>
    <row r="1871" spans="1:10" x14ac:dyDescent="0.25">
      <c r="A1871" s="1"/>
      <c r="B1871" s="20"/>
      <c r="C1871" s="1"/>
      <c r="D1871" s="1"/>
      <c r="E1871" s="1"/>
      <c r="F1871" s="1"/>
      <c r="G1871" s="1"/>
      <c r="H1871" s="1"/>
      <c r="I1871" s="1"/>
      <c r="J1871" s="1">
        <f>IF($F1871="","",IF($H1871="","Not rated",IF(OR($H1871=Lists!$B$3,$H1871=Lists!$B$5),IF(AND(LEFT(SUBSTITUTE($I1871," ",""),LEN($F1871)+1)=$F1871&amp;"-",LEN(SUBSTITUTE($I1871," ",""))&gt;LEN($F1871)+1),"OK","Comment required"),"OK")))</f>
      </c>
    </row>
    <row r="1872" spans="1:10" x14ac:dyDescent="0.25">
      <c r="A1872" s="1"/>
      <c r="B1872" s="20"/>
      <c r="C1872" s="1"/>
      <c r="D1872" s="1"/>
      <c r="E1872" s="1"/>
      <c r="F1872" s="1"/>
      <c r="G1872" s="1"/>
      <c r="H1872" s="1"/>
      <c r="I1872" s="1"/>
      <c r="J1872" s="1">
        <f>IF($F1872="","",IF($H1872="","Not rated",IF(OR($H1872=Lists!$B$3,$H1872=Lists!$B$5),IF(AND(LEFT(SUBSTITUTE($I1872," ",""),LEN($F1872)+1)=$F1872&amp;"-",LEN(SUBSTITUTE($I1872," ",""))&gt;LEN($F1872)+1),"OK","Comment required"),"OK")))</f>
      </c>
    </row>
    <row r="1873" spans="1:10" x14ac:dyDescent="0.25">
      <c r="A1873" s="1"/>
      <c r="B1873" s="20"/>
      <c r="C1873" s="1"/>
      <c r="D1873" s="1"/>
      <c r="E1873" s="1"/>
      <c r="F1873" s="1"/>
      <c r="G1873" s="1"/>
      <c r="H1873" s="1"/>
      <c r="I1873" s="1"/>
      <c r="J1873" s="1">
        <f>IF($F1873="","",IF($H1873="","Not rated",IF(OR($H1873=Lists!$B$3,$H1873=Lists!$B$5),IF(AND(LEFT(SUBSTITUTE($I1873," ",""),LEN($F1873)+1)=$F1873&amp;"-",LEN(SUBSTITUTE($I1873," ",""))&gt;LEN($F1873)+1),"OK","Comment required"),"OK")))</f>
      </c>
    </row>
    <row r="1874" spans="1:10" x14ac:dyDescent="0.25">
      <c r="A1874" s="1"/>
      <c r="B1874" s="20"/>
      <c r="C1874" s="1"/>
      <c r="D1874" s="1"/>
      <c r="E1874" s="1"/>
      <c r="F1874" s="1"/>
      <c r="G1874" s="1"/>
      <c r="H1874" s="1"/>
      <c r="I1874" s="1"/>
      <c r="J1874" s="1">
        <f>IF($F1874="","",IF($H1874="","Not rated",IF(OR($H1874=Lists!$B$3,$H1874=Lists!$B$5),IF(AND(LEFT(SUBSTITUTE($I1874," ",""),LEN($F1874)+1)=$F1874&amp;"-",LEN(SUBSTITUTE($I1874," ",""))&gt;LEN($F1874)+1),"OK","Comment required"),"OK")))</f>
      </c>
    </row>
    <row r="1875" spans="1:10" x14ac:dyDescent="0.25">
      <c r="A1875" s="1"/>
      <c r="B1875" s="20"/>
      <c r="C1875" s="1"/>
      <c r="D1875" s="1"/>
      <c r="E1875" s="1"/>
      <c r="F1875" s="1"/>
      <c r="G1875" s="1"/>
      <c r="H1875" s="1"/>
      <c r="I1875" s="1"/>
      <c r="J1875" s="1">
        <f>IF($F1875="","",IF($H1875="","Not rated",IF(OR($H1875=Lists!$B$3,$H1875=Lists!$B$5),IF(AND(LEFT(SUBSTITUTE($I1875," ",""),LEN($F1875)+1)=$F1875&amp;"-",LEN(SUBSTITUTE($I1875," ",""))&gt;LEN($F1875)+1),"OK","Comment required"),"OK")))</f>
      </c>
    </row>
    <row r="1876" spans="1:10" x14ac:dyDescent="0.25">
      <c r="A1876" s="1"/>
      <c r="B1876" s="20"/>
      <c r="C1876" s="1"/>
      <c r="D1876" s="1"/>
      <c r="E1876" s="1"/>
      <c r="F1876" s="1"/>
      <c r="G1876" s="1"/>
      <c r="H1876" s="1"/>
      <c r="I1876" s="1"/>
      <c r="J1876" s="1">
        <f>IF($F1876="","",IF($H1876="","Not rated",IF(OR($H1876=Lists!$B$3,$H1876=Lists!$B$5),IF(AND(LEFT(SUBSTITUTE($I1876," ",""),LEN($F1876)+1)=$F1876&amp;"-",LEN(SUBSTITUTE($I1876," ",""))&gt;LEN($F1876)+1),"OK","Comment required"),"OK")))</f>
      </c>
    </row>
    <row r="1877" spans="1:10" x14ac:dyDescent="0.25">
      <c r="A1877" s="1"/>
      <c r="B1877" s="20"/>
      <c r="C1877" s="1"/>
      <c r="D1877" s="1"/>
      <c r="E1877" s="1"/>
      <c r="F1877" s="1"/>
      <c r="G1877" s="1"/>
      <c r="H1877" s="1"/>
      <c r="I1877" s="1"/>
      <c r="J1877" s="1">
        <f>IF($F1877="","",IF($H1877="","Not rated",IF(OR($H1877=Lists!$B$3,$H1877=Lists!$B$5),IF(AND(LEFT(SUBSTITUTE($I1877," ",""),LEN($F1877)+1)=$F1877&amp;"-",LEN(SUBSTITUTE($I1877," ",""))&gt;LEN($F1877)+1),"OK","Comment required"),"OK")))</f>
      </c>
    </row>
    <row r="1878" spans="1:10" x14ac:dyDescent="0.25">
      <c r="A1878" s="1"/>
      <c r="B1878" s="20"/>
      <c r="C1878" s="1"/>
      <c r="D1878" s="1"/>
      <c r="E1878" s="1"/>
      <c r="F1878" s="1"/>
      <c r="G1878" s="1"/>
      <c r="H1878" s="1"/>
      <c r="I1878" s="1"/>
      <c r="J1878" s="1">
        <f>IF($F1878="","",IF($H1878="","Not rated",IF(OR($H1878=Lists!$B$3,$H1878=Lists!$B$5),IF(AND(LEFT(SUBSTITUTE($I1878," ",""),LEN($F1878)+1)=$F1878&amp;"-",LEN(SUBSTITUTE($I1878," ",""))&gt;LEN($F1878)+1),"OK","Comment required"),"OK")))</f>
      </c>
    </row>
    <row r="1879" spans="1:10" x14ac:dyDescent="0.25">
      <c r="A1879" s="1"/>
      <c r="B1879" s="20"/>
      <c r="C1879" s="1"/>
      <c r="D1879" s="1"/>
      <c r="E1879" s="1"/>
      <c r="F1879" s="1"/>
      <c r="G1879" s="1"/>
      <c r="H1879" s="1"/>
      <c r="I1879" s="1"/>
      <c r="J1879" s="1">
        <f>IF($F1879="","",IF($H1879="","Not rated",IF(OR($H1879=Lists!$B$3,$H1879=Lists!$B$5),IF(AND(LEFT(SUBSTITUTE($I1879," ",""),LEN($F1879)+1)=$F1879&amp;"-",LEN(SUBSTITUTE($I1879," ",""))&gt;LEN($F1879)+1),"OK","Comment required"),"OK")))</f>
      </c>
    </row>
    <row r="1880" spans="1:10" x14ac:dyDescent="0.25">
      <c r="A1880" s="1"/>
      <c r="B1880" s="20"/>
      <c r="C1880" s="1"/>
      <c r="D1880" s="1"/>
      <c r="E1880" s="1"/>
      <c r="F1880" s="1"/>
      <c r="G1880" s="1"/>
      <c r="H1880" s="1"/>
      <c r="I1880" s="1"/>
      <c r="J1880" s="1">
        <f>IF($F1880="","",IF($H1880="","Not rated",IF(OR($H1880=Lists!$B$3,$H1880=Lists!$B$5),IF(AND(LEFT(SUBSTITUTE($I1880," ",""),LEN($F1880)+1)=$F1880&amp;"-",LEN(SUBSTITUTE($I1880," ",""))&gt;LEN($F1880)+1),"OK","Comment required"),"OK")))</f>
      </c>
    </row>
    <row r="1881" spans="1:10" x14ac:dyDescent="0.25">
      <c r="A1881" s="1"/>
      <c r="B1881" s="20"/>
      <c r="C1881" s="1"/>
      <c r="D1881" s="1"/>
      <c r="E1881" s="1"/>
      <c r="F1881" s="1"/>
      <c r="G1881" s="1"/>
      <c r="H1881" s="1"/>
      <c r="I1881" s="1"/>
      <c r="J1881" s="1">
        <f>IF($F1881="","",IF($H1881="","Not rated",IF(OR($H1881=Lists!$B$3,$H1881=Lists!$B$5),IF(AND(LEFT(SUBSTITUTE($I1881," ",""),LEN($F1881)+1)=$F1881&amp;"-",LEN(SUBSTITUTE($I1881," ",""))&gt;LEN($F1881)+1),"OK","Comment required"),"OK")))</f>
      </c>
    </row>
    <row r="1882" spans="1:10" x14ac:dyDescent="0.25">
      <c r="A1882" s="1"/>
      <c r="B1882" s="20"/>
      <c r="C1882" s="1"/>
      <c r="D1882" s="1"/>
      <c r="E1882" s="1"/>
      <c r="F1882" s="1"/>
      <c r="G1882" s="1"/>
      <c r="H1882" s="1"/>
      <c r="I1882" s="1"/>
      <c r="J1882" s="1">
        <f>IF($F1882="","",IF($H1882="","Not rated",IF(OR($H1882=Lists!$B$3,$H1882=Lists!$B$5),IF(AND(LEFT(SUBSTITUTE($I1882," ",""),LEN($F1882)+1)=$F1882&amp;"-",LEN(SUBSTITUTE($I1882," ",""))&gt;LEN($F1882)+1),"OK","Comment required"),"OK")))</f>
      </c>
    </row>
    <row r="1883" spans="1:10" x14ac:dyDescent="0.25">
      <c r="A1883" s="1"/>
      <c r="B1883" s="20"/>
      <c r="C1883" s="1"/>
      <c r="D1883" s="1"/>
      <c r="E1883" s="1"/>
      <c r="F1883" s="1"/>
      <c r="G1883" s="1"/>
      <c r="H1883" s="1"/>
      <c r="I1883" s="1"/>
      <c r="J1883" s="1">
        <f>IF($F1883="","",IF($H1883="","Not rated",IF(OR($H1883=Lists!$B$3,$H1883=Lists!$B$5),IF(AND(LEFT(SUBSTITUTE($I1883," ",""),LEN($F1883)+1)=$F1883&amp;"-",LEN(SUBSTITUTE($I1883," ",""))&gt;LEN($F1883)+1),"OK","Comment required"),"OK")))</f>
      </c>
    </row>
    <row r="1884" spans="1:10" x14ac:dyDescent="0.25">
      <c r="A1884" s="1"/>
      <c r="B1884" s="20"/>
      <c r="C1884" s="1"/>
      <c r="D1884" s="1"/>
      <c r="E1884" s="1"/>
      <c r="F1884" s="1"/>
      <c r="G1884" s="1"/>
      <c r="H1884" s="1"/>
      <c r="I1884" s="1"/>
      <c r="J1884" s="1">
        <f>IF($F1884="","",IF($H1884="","Not rated",IF(OR($H1884=Lists!$B$3,$H1884=Lists!$B$5),IF(AND(LEFT(SUBSTITUTE($I1884," ",""),LEN($F1884)+1)=$F1884&amp;"-",LEN(SUBSTITUTE($I1884," ",""))&gt;LEN($F1884)+1),"OK","Comment required"),"OK")))</f>
      </c>
    </row>
    <row r="1885" spans="1:10" x14ac:dyDescent="0.25">
      <c r="A1885" s="1"/>
      <c r="B1885" s="20"/>
      <c r="C1885" s="1"/>
      <c r="D1885" s="1"/>
      <c r="E1885" s="1"/>
      <c r="F1885" s="1"/>
      <c r="G1885" s="1"/>
      <c r="H1885" s="1"/>
      <c r="I1885" s="1"/>
      <c r="J1885" s="1">
        <f>IF($F1885="","",IF($H1885="","Not rated",IF(OR($H1885=Lists!$B$3,$H1885=Lists!$B$5),IF(AND(LEFT(SUBSTITUTE($I1885," ",""),LEN($F1885)+1)=$F1885&amp;"-",LEN(SUBSTITUTE($I1885," ",""))&gt;LEN($F1885)+1),"OK","Comment required"),"OK")))</f>
      </c>
    </row>
    <row r="1886" spans="1:10" x14ac:dyDescent="0.25">
      <c r="A1886" s="1"/>
      <c r="B1886" s="20"/>
      <c r="C1886" s="1"/>
      <c r="D1886" s="1"/>
      <c r="E1886" s="1"/>
      <c r="F1886" s="1"/>
      <c r="G1886" s="1"/>
      <c r="H1886" s="1"/>
      <c r="I1886" s="1"/>
      <c r="J1886" s="1">
        <f>IF($F1886="","",IF($H1886="","Not rated",IF(OR($H1886=Lists!$B$3,$H1886=Lists!$B$5),IF(AND(LEFT(SUBSTITUTE($I1886," ",""),LEN($F1886)+1)=$F1886&amp;"-",LEN(SUBSTITUTE($I1886," ",""))&gt;LEN($F1886)+1),"OK","Comment required"),"OK")))</f>
      </c>
    </row>
    <row r="1887" spans="1:10" x14ac:dyDescent="0.25">
      <c r="A1887" s="1"/>
      <c r="B1887" s="20"/>
      <c r="C1887" s="1"/>
      <c r="D1887" s="1"/>
      <c r="E1887" s="1"/>
      <c r="F1887" s="1"/>
      <c r="G1887" s="1"/>
      <c r="H1887" s="1"/>
      <c r="I1887" s="1"/>
      <c r="J1887" s="1">
        <f>IF($F1887="","",IF($H1887="","Not rated",IF(OR($H1887=Lists!$B$3,$H1887=Lists!$B$5),IF(AND(LEFT(SUBSTITUTE($I1887," ",""),LEN($F1887)+1)=$F1887&amp;"-",LEN(SUBSTITUTE($I1887," ",""))&gt;LEN($F1887)+1),"OK","Comment required"),"OK")))</f>
      </c>
    </row>
    <row r="1888" spans="1:10" x14ac:dyDescent="0.25">
      <c r="A1888" s="1"/>
      <c r="B1888" s="20"/>
      <c r="C1888" s="1"/>
      <c r="D1888" s="1"/>
      <c r="E1888" s="1"/>
      <c r="F1888" s="1"/>
      <c r="G1888" s="1"/>
      <c r="H1888" s="1"/>
      <c r="I1888" s="1"/>
      <c r="J1888" s="1">
        <f>IF($F1888="","",IF($H1888="","Not rated",IF(OR($H1888=Lists!$B$3,$H1888=Lists!$B$5),IF(AND(LEFT(SUBSTITUTE($I1888," ",""),LEN($F1888)+1)=$F1888&amp;"-",LEN(SUBSTITUTE($I1888," ",""))&gt;LEN($F1888)+1),"OK","Comment required"),"OK")))</f>
      </c>
    </row>
    <row r="1889" spans="1:10" x14ac:dyDescent="0.25">
      <c r="A1889" s="1"/>
      <c r="B1889" s="20"/>
      <c r="C1889" s="1"/>
      <c r="D1889" s="1"/>
      <c r="E1889" s="1"/>
      <c r="F1889" s="1"/>
      <c r="G1889" s="1"/>
      <c r="H1889" s="1"/>
      <c r="I1889" s="1"/>
      <c r="J1889" s="1">
        <f>IF($F1889="","",IF($H1889="","Not rated",IF(OR($H1889=Lists!$B$3,$H1889=Lists!$B$5),IF(AND(LEFT(SUBSTITUTE($I1889," ",""),LEN($F1889)+1)=$F1889&amp;"-",LEN(SUBSTITUTE($I1889," ",""))&gt;LEN($F1889)+1),"OK","Comment required"),"OK")))</f>
      </c>
    </row>
    <row r="1890" spans="1:10" x14ac:dyDescent="0.25">
      <c r="A1890" s="1"/>
      <c r="B1890" s="20"/>
      <c r="C1890" s="1"/>
      <c r="D1890" s="1"/>
      <c r="E1890" s="1"/>
      <c r="F1890" s="1"/>
      <c r="G1890" s="1"/>
      <c r="H1890" s="1"/>
      <c r="I1890" s="1"/>
      <c r="J1890" s="1">
        <f>IF($F1890="","",IF($H1890="","Not rated",IF(OR($H1890=Lists!$B$3,$H1890=Lists!$B$5),IF(AND(LEFT(SUBSTITUTE($I1890," ",""),LEN($F1890)+1)=$F1890&amp;"-",LEN(SUBSTITUTE($I1890," ",""))&gt;LEN($F1890)+1),"OK","Comment required"),"OK")))</f>
      </c>
    </row>
    <row r="1891" spans="1:10" x14ac:dyDescent="0.25">
      <c r="A1891" s="1"/>
      <c r="B1891" s="20"/>
      <c r="C1891" s="1"/>
      <c r="D1891" s="1"/>
      <c r="E1891" s="1"/>
      <c r="F1891" s="1"/>
      <c r="G1891" s="1"/>
      <c r="H1891" s="1"/>
      <c r="I1891" s="1"/>
      <c r="J1891" s="1">
        <f>IF($F1891="","",IF($H1891="","Not rated",IF(OR($H1891=Lists!$B$3,$H1891=Lists!$B$5),IF(AND(LEFT(SUBSTITUTE($I1891," ",""),LEN($F1891)+1)=$F1891&amp;"-",LEN(SUBSTITUTE($I1891," ",""))&gt;LEN($F1891)+1),"OK","Comment required"),"OK")))</f>
      </c>
    </row>
    <row r="1892" spans="1:10" x14ac:dyDescent="0.25">
      <c r="A1892" s="1"/>
      <c r="B1892" s="20"/>
      <c r="C1892" s="1"/>
      <c r="D1892" s="1"/>
      <c r="E1892" s="1"/>
      <c r="F1892" s="1"/>
      <c r="G1892" s="1"/>
      <c r="H1892" s="1"/>
      <c r="I1892" s="1"/>
      <c r="J1892" s="1">
        <f>IF($F1892="","",IF($H1892="","Not rated",IF(OR($H1892=Lists!$B$3,$H1892=Lists!$B$5),IF(AND(LEFT(SUBSTITUTE($I1892," ",""),LEN($F1892)+1)=$F1892&amp;"-",LEN(SUBSTITUTE($I1892," ",""))&gt;LEN($F1892)+1),"OK","Comment required"),"OK")))</f>
      </c>
    </row>
    <row r="1893" spans="1:10" x14ac:dyDescent="0.25">
      <c r="A1893" s="1"/>
      <c r="B1893" s="20"/>
      <c r="C1893" s="1"/>
      <c r="D1893" s="1"/>
      <c r="E1893" s="1"/>
      <c r="F1893" s="1"/>
      <c r="G1893" s="1"/>
      <c r="H1893" s="1"/>
      <c r="I1893" s="1"/>
      <c r="J1893" s="1">
        <f>IF($F1893="","",IF($H1893="","Not rated",IF(OR($H1893=Lists!$B$3,$H1893=Lists!$B$5),IF(AND(LEFT(SUBSTITUTE($I1893," ",""),LEN($F1893)+1)=$F1893&amp;"-",LEN(SUBSTITUTE($I1893," ",""))&gt;LEN($F1893)+1),"OK","Comment required"),"OK")))</f>
      </c>
    </row>
    <row r="1894" spans="1:10" x14ac:dyDescent="0.25">
      <c r="A1894" s="1"/>
      <c r="B1894" s="20"/>
      <c r="C1894" s="1"/>
      <c r="D1894" s="1"/>
      <c r="E1894" s="1"/>
      <c r="F1894" s="1"/>
      <c r="G1894" s="1"/>
      <c r="H1894" s="1"/>
      <c r="I1894" s="1"/>
      <c r="J1894" s="1">
        <f>IF($F1894="","",IF($H1894="","Not rated",IF(OR($H1894=Lists!$B$3,$H1894=Lists!$B$5),IF(AND(LEFT(SUBSTITUTE($I1894," ",""),LEN($F1894)+1)=$F1894&amp;"-",LEN(SUBSTITUTE($I1894," ",""))&gt;LEN($F1894)+1),"OK","Comment required"),"OK")))</f>
      </c>
    </row>
    <row r="1895" spans="1:10" x14ac:dyDescent="0.25">
      <c r="A1895" s="1"/>
      <c r="B1895" s="20"/>
      <c r="C1895" s="1"/>
      <c r="D1895" s="1"/>
      <c r="E1895" s="1"/>
      <c r="F1895" s="1"/>
      <c r="G1895" s="1"/>
      <c r="H1895" s="1"/>
      <c r="I1895" s="1"/>
      <c r="J1895" s="1">
        <f>IF($F1895="","",IF($H1895="","Not rated",IF(OR($H1895=Lists!$B$3,$H1895=Lists!$B$5),IF(AND(LEFT(SUBSTITUTE($I1895," ",""),LEN($F1895)+1)=$F1895&amp;"-",LEN(SUBSTITUTE($I1895," ",""))&gt;LEN($F1895)+1),"OK","Comment required"),"OK")))</f>
      </c>
    </row>
    <row r="1896" spans="1:10" x14ac:dyDescent="0.25">
      <c r="A1896" s="1"/>
      <c r="B1896" s="20"/>
      <c r="C1896" s="1"/>
      <c r="D1896" s="1"/>
      <c r="E1896" s="1"/>
      <c r="F1896" s="1"/>
      <c r="G1896" s="1"/>
      <c r="H1896" s="1"/>
      <c r="I1896" s="1"/>
      <c r="J1896" s="1">
        <f>IF($F1896="","",IF($H1896="","Not rated",IF(OR($H1896=Lists!$B$3,$H1896=Lists!$B$5),IF(AND(LEFT(SUBSTITUTE($I1896," ",""),LEN($F1896)+1)=$F1896&amp;"-",LEN(SUBSTITUTE($I1896," ",""))&gt;LEN($F1896)+1),"OK","Comment required"),"OK")))</f>
      </c>
    </row>
    <row r="1897" spans="1:10" x14ac:dyDescent="0.25">
      <c r="A1897" s="1"/>
      <c r="B1897" s="20"/>
      <c r="C1897" s="1"/>
      <c r="D1897" s="1"/>
      <c r="E1897" s="1"/>
      <c r="F1897" s="1"/>
      <c r="G1897" s="1"/>
      <c r="H1897" s="1"/>
      <c r="I1897" s="1"/>
      <c r="J1897" s="1">
        <f>IF($F1897="","",IF($H1897="","Not rated",IF(OR($H1897=Lists!$B$3,$H1897=Lists!$B$5),IF(AND(LEFT(SUBSTITUTE($I1897," ",""),LEN($F1897)+1)=$F1897&amp;"-",LEN(SUBSTITUTE($I1897," ",""))&gt;LEN($F1897)+1),"OK","Comment required"),"OK")))</f>
      </c>
    </row>
    <row r="1898" spans="1:10" x14ac:dyDescent="0.25">
      <c r="A1898" s="1"/>
      <c r="B1898" s="20"/>
      <c r="C1898" s="1"/>
      <c r="D1898" s="1"/>
      <c r="E1898" s="1"/>
      <c r="F1898" s="1"/>
      <c r="G1898" s="1"/>
      <c r="H1898" s="1"/>
      <c r="I1898" s="1"/>
      <c r="J1898" s="1">
        <f>IF($F1898="","",IF($H1898="","Not rated",IF(OR($H1898=Lists!$B$3,$H1898=Lists!$B$5),IF(AND(LEFT(SUBSTITUTE($I1898," ",""),LEN($F1898)+1)=$F1898&amp;"-",LEN(SUBSTITUTE($I1898," ",""))&gt;LEN($F1898)+1),"OK","Comment required"),"OK")))</f>
      </c>
    </row>
    <row r="1899" spans="1:10" x14ac:dyDescent="0.25">
      <c r="A1899" s="1"/>
      <c r="B1899" s="20"/>
      <c r="C1899" s="1"/>
      <c r="D1899" s="1"/>
      <c r="E1899" s="1"/>
      <c r="F1899" s="1"/>
      <c r="G1899" s="1"/>
      <c r="H1899" s="1"/>
      <c r="I1899" s="1"/>
      <c r="J1899" s="1">
        <f>IF($F1899="","",IF($H1899="","Not rated",IF(OR($H1899=Lists!$B$3,$H1899=Lists!$B$5),IF(AND(LEFT(SUBSTITUTE($I1899," ",""),LEN($F1899)+1)=$F1899&amp;"-",LEN(SUBSTITUTE($I1899," ",""))&gt;LEN($F1899)+1),"OK","Comment required"),"OK")))</f>
      </c>
    </row>
    <row r="1900" spans="1:10" x14ac:dyDescent="0.25">
      <c r="A1900" s="1"/>
      <c r="B1900" s="20"/>
      <c r="C1900" s="1"/>
      <c r="D1900" s="1"/>
      <c r="E1900" s="1"/>
      <c r="F1900" s="1"/>
      <c r="G1900" s="1"/>
      <c r="H1900" s="1"/>
      <c r="I1900" s="1"/>
      <c r="J1900" s="1">
        <f>IF($F1900="","",IF($H1900="","Not rated",IF(OR($H1900=Lists!$B$3,$H1900=Lists!$B$5),IF(AND(LEFT(SUBSTITUTE($I1900," ",""),LEN($F1900)+1)=$F1900&amp;"-",LEN(SUBSTITUTE($I1900," ",""))&gt;LEN($F1900)+1),"OK","Comment required"),"OK")))</f>
      </c>
    </row>
    <row r="1901" spans="1:10" x14ac:dyDescent="0.25">
      <c r="A1901" s="1"/>
      <c r="B1901" s="20"/>
      <c r="C1901" s="1"/>
      <c r="D1901" s="1"/>
      <c r="E1901" s="1"/>
      <c r="F1901" s="1"/>
      <c r="G1901" s="1"/>
      <c r="H1901" s="1"/>
      <c r="I1901" s="1"/>
      <c r="J1901" s="1">
        <f>IF($F1901="","",IF($H1901="","Not rated",IF(OR($H1901=Lists!$B$3,$H1901=Lists!$B$5),IF(AND(LEFT(SUBSTITUTE($I1901," ",""),LEN($F1901)+1)=$F1901&amp;"-",LEN(SUBSTITUTE($I1901," ",""))&gt;LEN($F1901)+1),"OK","Comment required"),"OK")))</f>
      </c>
    </row>
    <row r="1902" spans="1:10" x14ac:dyDescent="0.25">
      <c r="A1902" s="1"/>
      <c r="B1902" s="20"/>
      <c r="C1902" s="1"/>
      <c r="D1902" s="1"/>
      <c r="E1902" s="1"/>
      <c r="F1902" s="1"/>
      <c r="G1902" s="1"/>
      <c r="H1902" s="1"/>
      <c r="I1902" s="1"/>
      <c r="J1902" s="1">
        <f>IF($F1902="","",IF($H1902="","Not rated",IF(OR($H1902=Lists!$B$3,$H1902=Lists!$B$5),IF(AND(LEFT(SUBSTITUTE($I1902," ",""),LEN($F1902)+1)=$F1902&amp;"-",LEN(SUBSTITUTE($I1902," ",""))&gt;LEN($F1902)+1),"OK","Comment required"),"OK")))</f>
      </c>
    </row>
    <row r="1903" spans="1:10" x14ac:dyDescent="0.25">
      <c r="A1903" s="1"/>
      <c r="B1903" s="20"/>
      <c r="C1903" s="1"/>
      <c r="D1903" s="1"/>
      <c r="E1903" s="1"/>
      <c r="F1903" s="1"/>
      <c r="G1903" s="1"/>
      <c r="H1903" s="1"/>
      <c r="I1903" s="1"/>
      <c r="J1903" s="1">
        <f>IF($F1903="","",IF($H1903="","Not rated",IF(OR($H1903=Lists!$B$3,$H1903=Lists!$B$5),IF(AND(LEFT(SUBSTITUTE($I1903," ",""),LEN($F1903)+1)=$F1903&amp;"-",LEN(SUBSTITUTE($I1903," ",""))&gt;LEN($F1903)+1),"OK","Comment required"),"OK")))</f>
      </c>
    </row>
    <row r="1904" spans="1:10" x14ac:dyDescent="0.25">
      <c r="A1904" s="1"/>
      <c r="B1904" s="20"/>
      <c r="C1904" s="1"/>
      <c r="D1904" s="1"/>
      <c r="E1904" s="1"/>
      <c r="F1904" s="1"/>
      <c r="G1904" s="1"/>
      <c r="H1904" s="1"/>
      <c r="I1904" s="1"/>
      <c r="J1904" s="1">
        <f>IF($F1904="","",IF($H1904="","Not rated",IF(OR($H1904=Lists!$B$3,$H1904=Lists!$B$5),IF(AND(LEFT(SUBSTITUTE($I1904," ",""),LEN($F1904)+1)=$F1904&amp;"-",LEN(SUBSTITUTE($I1904," ",""))&gt;LEN($F1904)+1),"OK","Comment required"),"OK")))</f>
      </c>
    </row>
    <row r="1905" spans="1:10" x14ac:dyDescent="0.25">
      <c r="A1905" s="1"/>
      <c r="B1905" s="20"/>
      <c r="C1905" s="1"/>
      <c r="D1905" s="1"/>
      <c r="E1905" s="1"/>
      <c r="F1905" s="1"/>
      <c r="G1905" s="1"/>
      <c r="H1905" s="1"/>
      <c r="I1905" s="1"/>
      <c r="J1905" s="1">
        <f>IF($F1905="","",IF($H1905="","Not rated",IF(OR($H1905=Lists!$B$3,$H1905=Lists!$B$5),IF(AND(LEFT(SUBSTITUTE($I1905," ",""),LEN($F1905)+1)=$F1905&amp;"-",LEN(SUBSTITUTE($I1905," ",""))&gt;LEN($F1905)+1),"OK","Comment required"),"OK")))</f>
      </c>
    </row>
    <row r="1906" spans="1:10" x14ac:dyDescent="0.25">
      <c r="A1906" s="1"/>
      <c r="B1906" s="20"/>
      <c r="C1906" s="1"/>
      <c r="D1906" s="1"/>
      <c r="E1906" s="1"/>
      <c r="F1906" s="1"/>
      <c r="G1906" s="1"/>
      <c r="H1906" s="1"/>
      <c r="I1906" s="1"/>
      <c r="J1906" s="1">
        <f>IF($F1906="","",IF($H1906="","Not rated",IF(OR($H1906=Lists!$B$3,$H1906=Lists!$B$5),IF(AND(LEFT(SUBSTITUTE($I1906," ",""),LEN($F1906)+1)=$F1906&amp;"-",LEN(SUBSTITUTE($I1906," ",""))&gt;LEN($F1906)+1),"OK","Comment required"),"OK")))</f>
      </c>
    </row>
    <row r="1907" spans="1:10" x14ac:dyDescent="0.25">
      <c r="A1907" s="1"/>
      <c r="B1907" s="20"/>
      <c r="C1907" s="1"/>
      <c r="D1907" s="1"/>
      <c r="E1907" s="1"/>
      <c r="F1907" s="1"/>
      <c r="G1907" s="1"/>
      <c r="H1907" s="1"/>
      <c r="I1907" s="1"/>
      <c r="J1907" s="1">
        <f>IF($F1907="","",IF($H1907="","Not rated",IF(OR($H1907=Lists!$B$3,$H1907=Lists!$B$5),IF(AND(LEFT(SUBSTITUTE($I1907," ",""),LEN($F1907)+1)=$F1907&amp;"-",LEN(SUBSTITUTE($I1907," ",""))&gt;LEN($F1907)+1),"OK","Comment required"),"OK")))</f>
      </c>
    </row>
    <row r="1908" spans="1:10" x14ac:dyDescent="0.25">
      <c r="A1908" s="1"/>
      <c r="B1908" s="20"/>
      <c r="C1908" s="1"/>
      <c r="D1908" s="1"/>
      <c r="E1908" s="1"/>
      <c r="F1908" s="1"/>
      <c r="G1908" s="1"/>
      <c r="H1908" s="1"/>
      <c r="I1908" s="1"/>
      <c r="J1908" s="1">
        <f>IF($F1908="","",IF($H1908="","Not rated",IF(OR($H1908=Lists!$B$3,$H1908=Lists!$B$5),IF(AND(LEFT(SUBSTITUTE($I1908," ",""),LEN($F1908)+1)=$F1908&amp;"-",LEN(SUBSTITUTE($I1908," ",""))&gt;LEN($F1908)+1),"OK","Comment required"),"OK")))</f>
      </c>
    </row>
    <row r="1909" spans="1:10" x14ac:dyDescent="0.25">
      <c r="A1909" s="1"/>
      <c r="B1909" s="20"/>
      <c r="C1909" s="1"/>
      <c r="D1909" s="1"/>
      <c r="E1909" s="1"/>
      <c r="F1909" s="1"/>
      <c r="G1909" s="1"/>
      <c r="H1909" s="1"/>
      <c r="I1909" s="1"/>
      <c r="J1909" s="1">
        <f>IF($F1909="","",IF($H1909="","Not rated",IF(OR($H1909=Lists!$B$3,$H1909=Lists!$B$5),IF(AND(LEFT(SUBSTITUTE($I1909," ",""),LEN($F1909)+1)=$F1909&amp;"-",LEN(SUBSTITUTE($I1909," ",""))&gt;LEN($F1909)+1),"OK","Comment required"),"OK")))</f>
      </c>
    </row>
    <row r="1910" spans="1:10" x14ac:dyDescent="0.25">
      <c r="A1910" s="1"/>
      <c r="B1910" s="20"/>
      <c r="C1910" s="1"/>
      <c r="D1910" s="1"/>
      <c r="E1910" s="1"/>
      <c r="F1910" s="1"/>
      <c r="G1910" s="1"/>
      <c r="H1910" s="1"/>
      <c r="I1910" s="1"/>
      <c r="J1910" s="1">
        <f>IF($F1910="","",IF($H1910="","Not rated",IF(OR($H1910=Lists!$B$3,$H1910=Lists!$B$5),IF(AND(LEFT(SUBSTITUTE($I1910," ",""),LEN($F1910)+1)=$F1910&amp;"-",LEN(SUBSTITUTE($I1910," ",""))&gt;LEN($F1910)+1),"OK","Comment required"),"OK")))</f>
      </c>
    </row>
    <row r="1911" spans="1:10" x14ac:dyDescent="0.25">
      <c r="A1911" s="1"/>
      <c r="B1911" s="20"/>
      <c r="C1911" s="1"/>
      <c r="D1911" s="1"/>
      <c r="E1911" s="1"/>
      <c r="F1911" s="1"/>
      <c r="G1911" s="1"/>
      <c r="H1911" s="1"/>
      <c r="I1911" s="1"/>
      <c r="J1911" s="1">
        <f>IF($F1911="","",IF($H1911="","Not rated",IF(OR($H1911=Lists!$B$3,$H1911=Lists!$B$5),IF(AND(LEFT(SUBSTITUTE($I1911," ",""),LEN($F1911)+1)=$F1911&amp;"-",LEN(SUBSTITUTE($I1911," ",""))&gt;LEN($F1911)+1),"OK","Comment required"),"OK")))</f>
      </c>
    </row>
    <row r="1912" spans="1:10" x14ac:dyDescent="0.25">
      <c r="A1912" s="1"/>
      <c r="B1912" s="20"/>
      <c r="C1912" s="1"/>
      <c r="D1912" s="1"/>
      <c r="E1912" s="1"/>
      <c r="F1912" s="1"/>
      <c r="G1912" s="1"/>
      <c r="H1912" s="1"/>
      <c r="I1912" s="1"/>
      <c r="J1912" s="1">
        <f>IF($F1912="","",IF($H1912="","Not rated",IF(OR($H1912=Lists!$B$3,$H1912=Lists!$B$5),IF(AND(LEFT(SUBSTITUTE($I1912," ",""),LEN($F1912)+1)=$F1912&amp;"-",LEN(SUBSTITUTE($I1912," ",""))&gt;LEN($F1912)+1),"OK","Comment required"),"OK")))</f>
      </c>
    </row>
    <row r="1913" spans="1:10" x14ac:dyDescent="0.25">
      <c r="A1913" s="1"/>
      <c r="B1913" s="20"/>
      <c r="C1913" s="1"/>
      <c r="D1913" s="1"/>
      <c r="E1913" s="1"/>
      <c r="F1913" s="1"/>
      <c r="G1913" s="1"/>
      <c r="H1913" s="1"/>
      <c r="I1913" s="1"/>
      <c r="J1913" s="1">
        <f>IF($F1913="","",IF($H1913="","Not rated",IF(OR($H1913=Lists!$B$3,$H1913=Lists!$B$5),IF(AND(LEFT(SUBSTITUTE($I1913," ",""),LEN($F1913)+1)=$F1913&amp;"-",LEN(SUBSTITUTE($I1913," ",""))&gt;LEN($F1913)+1),"OK","Comment required"),"OK")))</f>
      </c>
    </row>
    <row r="1914" spans="1:10" x14ac:dyDescent="0.25">
      <c r="A1914" s="1"/>
      <c r="B1914" s="20"/>
      <c r="C1914" s="1"/>
      <c r="D1914" s="1"/>
      <c r="E1914" s="1"/>
      <c r="F1914" s="1"/>
      <c r="G1914" s="1"/>
      <c r="H1914" s="1"/>
      <c r="I1914" s="1"/>
      <c r="J1914" s="1">
        <f>IF($F1914="","",IF($H1914="","Not rated",IF(OR($H1914=Lists!$B$3,$H1914=Lists!$B$5),IF(AND(LEFT(SUBSTITUTE($I1914," ",""),LEN($F1914)+1)=$F1914&amp;"-",LEN(SUBSTITUTE($I1914," ",""))&gt;LEN($F1914)+1),"OK","Comment required"),"OK")))</f>
      </c>
    </row>
    <row r="1915" spans="1:10" x14ac:dyDescent="0.25">
      <c r="A1915" s="1"/>
      <c r="B1915" s="20"/>
      <c r="C1915" s="1"/>
      <c r="D1915" s="1"/>
      <c r="E1915" s="1"/>
      <c r="F1915" s="1"/>
      <c r="G1915" s="1"/>
      <c r="H1915" s="1"/>
      <c r="I1915" s="1"/>
      <c r="J1915" s="1">
        <f>IF($F1915="","",IF($H1915="","Not rated",IF(OR($H1915=Lists!$B$3,$H1915=Lists!$B$5),IF(AND(LEFT(SUBSTITUTE($I1915," ",""),LEN($F1915)+1)=$F1915&amp;"-",LEN(SUBSTITUTE($I1915," ",""))&gt;LEN($F1915)+1),"OK","Comment required"),"OK")))</f>
      </c>
    </row>
    <row r="1916" spans="1:10" x14ac:dyDescent="0.25">
      <c r="A1916" s="1"/>
      <c r="B1916" s="20"/>
      <c r="C1916" s="1"/>
      <c r="D1916" s="1"/>
      <c r="E1916" s="1"/>
      <c r="F1916" s="1"/>
      <c r="G1916" s="1"/>
      <c r="H1916" s="1"/>
      <c r="I1916" s="1"/>
      <c r="J1916" s="1">
        <f>IF($F1916="","",IF($H1916="","Not rated",IF(OR($H1916=Lists!$B$3,$H1916=Lists!$B$5),IF(AND(LEFT(SUBSTITUTE($I1916," ",""),LEN($F1916)+1)=$F1916&amp;"-",LEN(SUBSTITUTE($I1916," ",""))&gt;LEN($F1916)+1),"OK","Comment required"),"OK")))</f>
      </c>
    </row>
    <row r="1917" spans="1:10" x14ac:dyDescent="0.25">
      <c r="A1917" s="1"/>
      <c r="B1917" s="20"/>
      <c r="C1917" s="1"/>
      <c r="D1917" s="1"/>
      <c r="E1917" s="1"/>
      <c r="F1917" s="1"/>
      <c r="G1917" s="1"/>
      <c r="H1917" s="1"/>
      <c r="I1917" s="1"/>
      <c r="J1917" s="1">
        <f>IF($F1917="","",IF($H1917="","Not rated",IF(OR($H1917=Lists!$B$3,$H1917=Lists!$B$5),IF(AND(LEFT(SUBSTITUTE($I1917," ",""),LEN($F1917)+1)=$F1917&amp;"-",LEN(SUBSTITUTE($I1917," ",""))&gt;LEN($F1917)+1),"OK","Comment required"),"OK")))</f>
      </c>
    </row>
    <row r="1918" spans="1:10" x14ac:dyDescent="0.25">
      <c r="A1918" s="1"/>
      <c r="B1918" s="20"/>
      <c r="C1918" s="1"/>
      <c r="D1918" s="1"/>
      <c r="E1918" s="1"/>
      <c r="F1918" s="1"/>
      <c r="G1918" s="1"/>
      <c r="H1918" s="1"/>
      <c r="I1918" s="1"/>
      <c r="J1918" s="1">
        <f>IF($F1918="","",IF($H1918="","Not rated",IF(OR($H1918=Lists!$B$3,$H1918=Lists!$B$5),IF(AND(LEFT(SUBSTITUTE($I1918," ",""),LEN($F1918)+1)=$F1918&amp;"-",LEN(SUBSTITUTE($I1918," ",""))&gt;LEN($F1918)+1),"OK","Comment required"),"OK")))</f>
      </c>
    </row>
    <row r="1919" spans="1:10" x14ac:dyDescent="0.25">
      <c r="A1919" s="1"/>
      <c r="B1919" s="20"/>
      <c r="C1919" s="1"/>
      <c r="D1919" s="1"/>
      <c r="E1919" s="1"/>
      <c r="F1919" s="1"/>
      <c r="G1919" s="1"/>
      <c r="H1919" s="1"/>
      <c r="I1919" s="1"/>
      <c r="J1919" s="1">
        <f>IF($F1919="","",IF($H1919="","Not rated",IF(OR($H1919=Lists!$B$3,$H1919=Lists!$B$5),IF(AND(LEFT(SUBSTITUTE($I1919," ",""),LEN($F1919)+1)=$F1919&amp;"-",LEN(SUBSTITUTE($I1919," ",""))&gt;LEN($F1919)+1),"OK","Comment required"),"OK")))</f>
      </c>
    </row>
    <row r="1920" spans="1:10" x14ac:dyDescent="0.25">
      <c r="A1920" s="1"/>
      <c r="B1920" s="20"/>
      <c r="C1920" s="1"/>
      <c r="D1920" s="1"/>
      <c r="E1920" s="1"/>
      <c r="F1920" s="1"/>
      <c r="G1920" s="1"/>
      <c r="H1920" s="1"/>
      <c r="I1920" s="1"/>
      <c r="J1920" s="1">
        <f>IF($F1920="","",IF($H1920="","Not rated",IF(OR($H1920=Lists!$B$3,$H1920=Lists!$B$5),IF(AND(LEFT(SUBSTITUTE($I1920," ",""),LEN($F1920)+1)=$F1920&amp;"-",LEN(SUBSTITUTE($I1920," ",""))&gt;LEN($F1920)+1),"OK","Comment required"),"OK")))</f>
      </c>
    </row>
    <row r="1921" spans="1:10" x14ac:dyDescent="0.25">
      <c r="A1921" s="1"/>
      <c r="B1921" s="20"/>
      <c r="C1921" s="1"/>
      <c r="D1921" s="1"/>
      <c r="E1921" s="1"/>
      <c r="F1921" s="1"/>
      <c r="G1921" s="1"/>
      <c r="H1921" s="1"/>
      <c r="I1921" s="1"/>
      <c r="J1921" s="1">
        <f>IF($F1921="","",IF($H1921="","Not rated",IF(OR($H1921=Lists!$B$3,$H1921=Lists!$B$5),IF(AND(LEFT(SUBSTITUTE($I1921," ",""),LEN($F1921)+1)=$F1921&amp;"-",LEN(SUBSTITUTE($I1921," ",""))&gt;LEN($F1921)+1),"OK","Comment required"),"OK")))</f>
      </c>
    </row>
    <row r="1922" spans="1:10" x14ac:dyDescent="0.25">
      <c r="A1922" s="1"/>
      <c r="B1922" s="20"/>
      <c r="C1922" s="1"/>
      <c r="D1922" s="1"/>
      <c r="E1922" s="1"/>
      <c r="F1922" s="1"/>
      <c r="G1922" s="1"/>
      <c r="H1922" s="1"/>
      <c r="I1922" s="1"/>
      <c r="J1922" s="1">
        <f>IF($F1922="","",IF($H1922="","Not rated",IF(OR($H1922=Lists!$B$3,$H1922=Lists!$B$5),IF(AND(LEFT(SUBSTITUTE($I1922," ",""),LEN($F1922)+1)=$F1922&amp;"-",LEN(SUBSTITUTE($I1922," ",""))&gt;LEN($F1922)+1),"OK","Comment required"),"OK")))</f>
      </c>
    </row>
    <row r="1923" spans="1:10" x14ac:dyDescent="0.25">
      <c r="A1923" s="1"/>
      <c r="B1923" s="20"/>
      <c r="C1923" s="1"/>
      <c r="D1923" s="1"/>
      <c r="E1923" s="1"/>
      <c r="F1923" s="1"/>
      <c r="G1923" s="1"/>
      <c r="H1923" s="1"/>
      <c r="I1923" s="1"/>
      <c r="J1923" s="1">
        <f>IF($F1923="","",IF($H1923="","Not rated",IF(OR($H1923=Lists!$B$3,$H1923=Lists!$B$5),IF(AND(LEFT(SUBSTITUTE($I1923," ",""),LEN($F1923)+1)=$F1923&amp;"-",LEN(SUBSTITUTE($I1923," ",""))&gt;LEN($F1923)+1),"OK","Comment required"),"OK")))</f>
      </c>
    </row>
    <row r="1924" spans="1:10" x14ac:dyDescent="0.25">
      <c r="A1924" s="1"/>
      <c r="B1924" s="20"/>
      <c r="C1924" s="1"/>
      <c r="D1924" s="1"/>
      <c r="E1924" s="1"/>
      <c r="F1924" s="1"/>
      <c r="G1924" s="1"/>
      <c r="H1924" s="1"/>
      <c r="I1924" s="1"/>
      <c r="J1924" s="1">
        <f>IF($F1924="","",IF($H1924="","Not rated",IF(OR($H1924=Lists!$B$3,$H1924=Lists!$B$5),IF(AND(LEFT(SUBSTITUTE($I1924," ",""),LEN($F1924)+1)=$F1924&amp;"-",LEN(SUBSTITUTE($I1924," ",""))&gt;LEN($F1924)+1),"OK","Comment required"),"OK")))</f>
      </c>
    </row>
    <row r="1925" spans="1:10" x14ac:dyDescent="0.25">
      <c r="A1925" s="1"/>
      <c r="B1925" s="20"/>
      <c r="C1925" s="1"/>
      <c r="D1925" s="1"/>
      <c r="E1925" s="1"/>
      <c r="F1925" s="1"/>
      <c r="G1925" s="1"/>
      <c r="H1925" s="1"/>
      <c r="I1925" s="1"/>
      <c r="J1925" s="1">
        <f>IF($F1925="","",IF($H1925="","Not rated",IF(OR($H1925=Lists!$B$3,$H1925=Lists!$B$5),IF(AND(LEFT(SUBSTITUTE($I1925," ",""),LEN($F1925)+1)=$F1925&amp;"-",LEN(SUBSTITUTE($I1925," ",""))&gt;LEN($F1925)+1),"OK","Comment required"),"OK")))</f>
      </c>
    </row>
    <row r="1926" spans="1:10" x14ac:dyDescent="0.25">
      <c r="A1926" s="1"/>
      <c r="B1926" s="20"/>
      <c r="C1926" s="1"/>
      <c r="D1926" s="1"/>
      <c r="E1926" s="1"/>
      <c r="F1926" s="1"/>
      <c r="G1926" s="1"/>
      <c r="H1926" s="1"/>
      <c r="I1926" s="1"/>
      <c r="J1926" s="1">
        <f>IF($F1926="","",IF($H1926="","Not rated",IF(OR($H1926=Lists!$B$3,$H1926=Lists!$B$5),IF(AND(LEFT(SUBSTITUTE($I1926," ",""),LEN($F1926)+1)=$F1926&amp;"-",LEN(SUBSTITUTE($I1926," ",""))&gt;LEN($F1926)+1),"OK","Comment required"),"OK")))</f>
      </c>
    </row>
    <row r="1927" spans="1:10" x14ac:dyDescent="0.25">
      <c r="A1927" s="1"/>
      <c r="B1927" s="20"/>
      <c r="C1927" s="1"/>
      <c r="D1927" s="1"/>
      <c r="E1927" s="1"/>
      <c r="F1927" s="1"/>
      <c r="G1927" s="1"/>
      <c r="H1927" s="1"/>
      <c r="I1927" s="1"/>
      <c r="J1927" s="1">
        <f>IF($F1927="","",IF($H1927="","Not rated",IF(OR($H1927=Lists!$B$3,$H1927=Lists!$B$5),IF(AND(LEFT(SUBSTITUTE($I1927," ",""),LEN($F1927)+1)=$F1927&amp;"-",LEN(SUBSTITUTE($I1927," ",""))&gt;LEN($F1927)+1),"OK","Comment required"),"OK")))</f>
      </c>
    </row>
    <row r="1928" spans="1:10" x14ac:dyDescent="0.25">
      <c r="A1928" s="1"/>
      <c r="B1928" s="20"/>
      <c r="C1928" s="1"/>
      <c r="D1928" s="1"/>
      <c r="E1928" s="1"/>
      <c r="F1928" s="1"/>
      <c r="G1928" s="1"/>
      <c r="H1928" s="1"/>
      <c r="I1928" s="1"/>
      <c r="J1928" s="1">
        <f>IF($F1928="","",IF($H1928="","Not rated",IF(OR($H1928=Lists!$B$3,$H1928=Lists!$B$5),IF(AND(LEFT(SUBSTITUTE($I1928," ",""),LEN($F1928)+1)=$F1928&amp;"-",LEN(SUBSTITUTE($I1928," ",""))&gt;LEN($F1928)+1),"OK","Comment required"),"OK")))</f>
      </c>
    </row>
    <row r="1929" spans="1:10" x14ac:dyDescent="0.25">
      <c r="A1929" s="1"/>
      <c r="B1929" s="20"/>
      <c r="C1929" s="1"/>
      <c r="D1929" s="1"/>
      <c r="E1929" s="1"/>
      <c r="F1929" s="1"/>
      <c r="G1929" s="1"/>
      <c r="H1929" s="1"/>
      <c r="I1929" s="1"/>
      <c r="J1929" s="1">
        <f>IF($F1929="","",IF($H1929="","Not rated",IF(OR($H1929=Lists!$B$3,$H1929=Lists!$B$5),IF(AND(LEFT(SUBSTITUTE($I1929," ",""),LEN($F1929)+1)=$F1929&amp;"-",LEN(SUBSTITUTE($I1929," ",""))&gt;LEN($F1929)+1),"OK","Comment required"),"OK")))</f>
      </c>
    </row>
    <row r="1930" spans="1:10" x14ac:dyDescent="0.25">
      <c r="A1930" s="1"/>
      <c r="B1930" s="20"/>
      <c r="C1930" s="1"/>
      <c r="D1930" s="1"/>
      <c r="E1930" s="1"/>
      <c r="F1930" s="1"/>
      <c r="G1930" s="1"/>
      <c r="H1930" s="1"/>
      <c r="I1930" s="1"/>
      <c r="J1930" s="1">
        <f>IF($F1930="","",IF($H1930="","Not rated",IF(OR($H1930=Lists!$B$3,$H1930=Lists!$B$5),IF(AND(LEFT(SUBSTITUTE($I1930," ",""),LEN($F1930)+1)=$F1930&amp;"-",LEN(SUBSTITUTE($I1930," ",""))&gt;LEN($F1930)+1),"OK","Comment required"),"OK")))</f>
      </c>
    </row>
    <row r="1931" spans="1:10" x14ac:dyDescent="0.25">
      <c r="A1931" s="1"/>
      <c r="B1931" s="20"/>
      <c r="C1931" s="1"/>
      <c r="D1931" s="1"/>
      <c r="E1931" s="1"/>
      <c r="F1931" s="1"/>
      <c r="G1931" s="1"/>
      <c r="H1931" s="1"/>
      <c r="I1931" s="1"/>
      <c r="J1931" s="1">
        <f>IF($F1931="","",IF($H1931="","Not rated",IF(OR($H1931=Lists!$B$3,$H1931=Lists!$B$5),IF(AND(LEFT(SUBSTITUTE($I1931," ",""),LEN($F1931)+1)=$F1931&amp;"-",LEN(SUBSTITUTE($I1931," ",""))&gt;LEN($F1931)+1),"OK","Comment required"),"OK")))</f>
      </c>
    </row>
    <row r="1932" spans="1:10" x14ac:dyDescent="0.25">
      <c r="A1932" s="1"/>
      <c r="B1932" s="20"/>
      <c r="C1932" s="1"/>
      <c r="D1932" s="1"/>
      <c r="E1932" s="1"/>
      <c r="F1932" s="1"/>
      <c r="G1932" s="1"/>
      <c r="H1932" s="1"/>
      <c r="I1932" s="1"/>
      <c r="J1932" s="1">
        <f>IF($F1932="","",IF($H1932="","Not rated",IF(OR($H1932=Lists!$B$3,$H1932=Lists!$B$5),IF(AND(LEFT(SUBSTITUTE($I1932," ",""),LEN($F1932)+1)=$F1932&amp;"-",LEN(SUBSTITUTE($I1932," ",""))&gt;LEN($F1932)+1),"OK","Comment required"),"OK")))</f>
      </c>
    </row>
    <row r="1933" spans="1:10" x14ac:dyDescent="0.25">
      <c r="A1933" s="1"/>
      <c r="B1933" s="20"/>
      <c r="C1933" s="1"/>
      <c r="D1933" s="1"/>
      <c r="E1933" s="1"/>
      <c r="F1933" s="1"/>
      <c r="G1933" s="1"/>
      <c r="H1933" s="1"/>
      <c r="I1933" s="1"/>
      <c r="J1933" s="1">
        <f>IF($F1933="","",IF($H1933="","Not rated",IF(OR($H1933=Lists!$B$3,$H1933=Lists!$B$5),IF(AND(LEFT(SUBSTITUTE($I1933," ",""),LEN($F1933)+1)=$F1933&amp;"-",LEN(SUBSTITUTE($I1933," ",""))&gt;LEN($F1933)+1),"OK","Comment required"),"OK")))</f>
      </c>
    </row>
    <row r="1934" spans="1:10" x14ac:dyDescent="0.25">
      <c r="A1934" s="1"/>
      <c r="B1934" s="20"/>
      <c r="C1934" s="1"/>
      <c r="D1934" s="1"/>
      <c r="E1934" s="1"/>
      <c r="F1934" s="1"/>
      <c r="G1934" s="1"/>
      <c r="H1934" s="1"/>
      <c r="I1934" s="1"/>
      <c r="J1934" s="1">
        <f>IF($F1934="","",IF($H1934="","Not rated",IF(OR($H1934=Lists!$B$3,$H1934=Lists!$B$5),IF(AND(LEFT(SUBSTITUTE($I1934," ",""),LEN($F1934)+1)=$F1934&amp;"-",LEN(SUBSTITUTE($I1934," ",""))&gt;LEN($F1934)+1),"OK","Comment required"),"OK")))</f>
      </c>
    </row>
    <row r="1935" spans="1:10" x14ac:dyDescent="0.25">
      <c r="A1935" s="1"/>
      <c r="B1935" s="20"/>
      <c r="C1935" s="1"/>
      <c r="D1935" s="1"/>
      <c r="E1935" s="1"/>
      <c r="F1935" s="1"/>
      <c r="G1935" s="1"/>
      <c r="H1935" s="1"/>
      <c r="I1935" s="1"/>
      <c r="J1935" s="1">
        <f>IF($F1935="","",IF($H1935="","Not rated",IF(OR($H1935=Lists!$B$3,$H1935=Lists!$B$5),IF(AND(LEFT(SUBSTITUTE($I1935," ",""),LEN($F1935)+1)=$F1935&amp;"-",LEN(SUBSTITUTE($I1935," ",""))&gt;LEN($F1935)+1),"OK","Comment required"),"OK")))</f>
      </c>
    </row>
    <row r="1936" spans="1:10" x14ac:dyDescent="0.25">
      <c r="A1936" s="1"/>
      <c r="B1936" s="20"/>
      <c r="C1936" s="1"/>
      <c r="D1936" s="1"/>
      <c r="E1936" s="1"/>
      <c r="F1936" s="1"/>
      <c r="G1936" s="1"/>
      <c r="H1936" s="1"/>
      <c r="I1936" s="1"/>
      <c r="J1936" s="1">
        <f>IF($F1936="","",IF($H1936="","Not rated",IF(OR($H1936=Lists!$B$3,$H1936=Lists!$B$5),IF(AND(LEFT(SUBSTITUTE($I1936," ",""),LEN($F1936)+1)=$F1936&amp;"-",LEN(SUBSTITUTE($I1936," ",""))&gt;LEN($F1936)+1),"OK","Comment required"),"OK")))</f>
      </c>
    </row>
    <row r="1937" spans="1:10" x14ac:dyDescent="0.25">
      <c r="A1937" s="1"/>
      <c r="B1937" s="20"/>
      <c r="C1937" s="1"/>
      <c r="D1937" s="1"/>
      <c r="E1937" s="1"/>
      <c r="F1937" s="1"/>
      <c r="G1937" s="1"/>
      <c r="H1937" s="1"/>
      <c r="I1937" s="1"/>
      <c r="J1937" s="1">
        <f>IF($F1937="","",IF($H1937="","Not rated",IF(OR($H1937=Lists!$B$3,$H1937=Lists!$B$5),IF(AND(LEFT(SUBSTITUTE($I1937," ",""),LEN($F1937)+1)=$F1937&amp;"-",LEN(SUBSTITUTE($I1937," ",""))&gt;LEN($F1937)+1),"OK","Comment required"),"OK")))</f>
      </c>
    </row>
    <row r="1938" spans="1:10" x14ac:dyDescent="0.25">
      <c r="A1938" s="1"/>
      <c r="B1938" s="20"/>
      <c r="C1938" s="1"/>
      <c r="D1938" s="1"/>
      <c r="E1938" s="1"/>
      <c r="F1938" s="1"/>
      <c r="G1938" s="1"/>
      <c r="H1938" s="1"/>
      <c r="I1938" s="1"/>
      <c r="J1938" s="1">
        <f>IF($F1938="","",IF($H1938="","Not rated",IF(OR($H1938=Lists!$B$3,$H1938=Lists!$B$5),IF(AND(LEFT(SUBSTITUTE($I1938," ",""),LEN($F1938)+1)=$F1938&amp;"-",LEN(SUBSTITUTE($I1938," ",""))&gt;LEN($F1938)+1),"OK","Comment required"),"OK")))</f>
      </c>
    </row>
    <row r="1939" spans="1:10" x14ac:dyDescent="0.25">
      <c r="A1939" s="1"/>
      <c r="B1939" s="20"/>
      <c r="C1939" s="1"/>
      <c r="D1939" s="1"/>
      <c r="E1939" s="1"/>
      <c r="F1939" s="1"/>
      <c r="G1939" s="1"/>
      <c r="H1939" s="1"/>
      <c r="I1939" s="1"/>
      <c r="J1939" s="1">
        <f>IF($F1939="","",IF($H1939="","Not rated",IF(OR($H1939=Lists!$B$3,$H1939=Lists!$B$5),IF(AND(LEFT(SUBSTITUTE($I1939," ",""),LEN($F1939)+1)=$F1939&amp;"-",LEN(SUBSTITUTE($I1939," ",""))&gt;LEN($F1939)+1),"OK","Comment required"),"OK")))</f>
      </c>
    </row>
    <row r="1940" spans="1:10" x14ac:dyDescent="0.25">
      <c r="A1940" s="1"/>
      <c r="B1940" s="20"/>
      <c r="C1940" s="1"/>
      <c r="D1940" s="1"/>
      <c r="E1940" s="1"/>
      <c r="F1940" s="1"/>
      <c r="G1940" s="1"/>
      <c r="H1940" s="1"/>
      <c r="I1940" s="1"/>
      <c r="J1940" s="1">
        <f>IF($F1940="","",IF($H1940="","Not rated",IF(OR($H1940=Lists!$B$3,$H1940=Lists!$B$5),IF(AND(LEFT(SUBSTITUTE($I1940," ",""),LEN($F1940)+1)=$F1940&amp;"-",LEN(SUBSTITUTE($I1940," ",""))&gt;LEN($F1940)+1),"OK","Comment required"),"OK")))</f>
      </c>
    </row>
    <row r="1941" spans="1:10" x14ac:dyDescent="0.25">
      <c r="A1941" s="1"/>
      <c r="B1941" s="20"/>
      <c r="C1941" s="1"/>
      <c r="D1941" s="1"/>
      <c r="E1941" s="1"/>
      <c r="F1941" s="1"/>
      <c r="G1941" s="1"/>
      <c r="H1941" s="1"/>
      <c r="I1941" s="1"/>
      <c r="J1941" s="1">
        <f>IF($F1941="","",IF($H1941="","Not rated",IF(OR($H1941=Lists!$B$3,$H1941=Lists!$B$5),IF(AND(LEFT(SUBSTITUTE($I1941," ",""),LEN($F1941)+1)=$F1941&amp;"-",LEN(SUBSTITUTE($I1941," ",""))&gt;LEN($F1941)+1),"OK","Comment required"),"OK")))</f>
      </c>
    </row>
    <row r="1942" spans="1:10" x14ac:dyDescent="0.25">
      <c r="A1942" s="1"/>
      <c r="B1942" s="20"/>
      <c r="C1942" s="1"/>
      <c r="D1942" s="1"/>
      <c r="E1942" s="1"/>
      <c r="F1942" s="1"/>
      <c r="G1942" s="1"/>
      <c r="H1942" s="1"/>
      <c r="I1942" s="1"/>
      <c r="J1942" s="1">
        <f>IF($F1942="","",IF($H1942="","Not rated",IF(OR($H1942=Lists!$B$3,$H1942=Lists!$B$5),IF(AND(LEFT(SUBSTITUTE($I1942," ",""),LEN($F1942)+1)=$F1942&amp;"-",LEN(SUBSTITUTE($I1942," ",""))&gt;LEN($F1942)+1),"OK","Comment required"),"OK")))</f>
      </c>
    </row>
    <row r="1943" spans="1:10" x14ac:dyDescent="0.25">
      <c r="A1943" s="1"/>
      <c r="B1943" s="20"/>
      <c r="C1943" s="1"/>
      <c r="D1943" s="1"/>
      <c r="E1943" s="1"/>
      <c r="F1943" s="1"/>
      <c r="G1943" s="1"/>
      <c r="H1943" s="1"/>
      <c r="I1943" s="1"/>
      <c r="J1943" s="1">
        <f>IF($F1943="","",IF($H1943="","Not rated",IF(OR($H1943=Lists!$B$3,$H1943=Lists!$B$5),IF(AND(LEFT(SUBSTITUTE($I1943," ",""),LEN($F1943)+1)=$F1943&amp;"-",LEN(SUBSTITUTE($I1943," ",""))&gt;LEN($F1943)+1),"OK","Comment required"),"OK")))</f>
      </c>
    </row>
    <row r="1944" spans="1:10" x14ac:dyDescent="0.25">
      <c r="A1944" s="1"/>
      <c r="B1944" s="20"/>
      <c r="C1944" s="1"/>
      <c r="D1944" s="1"/>
      <c r="E1944" s="1"/>
      <c r="F1944" s="1"/>
      <c r="G1944" s="1"/>
      <c r="H1944" s="1"/>
      <c r="I1944" s="1"/>
      <c r="J1944" s="1">
        <f>IF($F1944="","",IF($H1944="","Not rated",IF(OR($H1944=Lists!$B$3,$H1944=Lists!$B$5),IF(AND(LEFT(SUBSTITUTE($I1944," ",""),LEN($F1944)+1)=$F1944&amp;"-",LEN(SUBSTITUTE($I1944," ",""))&gt;LEN($F1944)+1),"OK","Comment required"),"OK")))</f>
      </c>
    </row>
    <row r="1945" spans="1:10" x14ac:dyDescent="0.25">
      <c r="A1945" s="1"/>
      <c r="B1945" s="20"/>
      <c r="C1945" s="1"/>
      <c r="D1945" s="1"/>
      <c r="E1945" s="1"/>
      <c r="F1945" s="1"/>
      <c r="G1945" s="1"/>
      <c r="H1945" s="1"/>
      <c r="I1945" s="1"/>
      <c r="J1945" s="1">
        <f>IF($F1945="","",IF($H1945="","Not rated",IF(OR($H1945=Lists!$B$3,$H1945=Lists!$B$5),IF(AND(LEFT(SUBSTITUTE($I1945," ",""),LEN($F1945)+1)=$F1945&amp;"-",LEN(SUBSTITUTE($I1945," ",""))&gt;LEN($F1945)+1),"OK","Comment required"),"OK")))</f>
      </c>
    </row>
    <row r="1946" spans="1:10" x14ac:dyDescent="0.25">
      <c r="A1946" s="1"/>
      <c r="B1946" s="20"/>
      <c r="C1946" s="1"/>
      <c r="D1946" s="1"/>
      <c r="E1946" s="1"/>
      <c r="F1946" s="1"/>
      <c r="G1946" s="1"/>
      <c r="H1946" s="1"/>
      <c r="I1946" s="1"/>
      <c r="J1946" s="1">
        <f>IF($F1946="","",IF($H1946="","Not rated",IF(OR($H1946=Lists!$B$3,$H1946=Lists!$B$5),IF(AND(LEFT(SUBSTITUTE($I1946," ",""),LEN($F1946)+1)=$F1946&amp;"-",LEN(SUBSTITUTE($I1946," ",""))&gt;LEN($F1946)+1),"OK","Comment required"),"OK")))</f>
      </c>
    </row>
    <row r="1947" spans="1:10" x14ac:dyDescent="0.25">
      <c r="A1947" s="1"/>
      <c r="B1947" s="20"/>
      <c r="C1947" s="1"/>
      <c r="D1947" s="1"/>
      <c r="E1947" s="1"/>
      <c r="F1947" s="1"/>
      <c r="G1947" s="1"/>
      <c r="H1947" s="1"/>
      <c r="I1947" s="1"/>
      <c r="J1947" s="1">
        <f>IF($F1947="","",IF($H1947="","Not rated",IF(OR($H1947=Lists!$B$3,$H1947=Lists!$B$5),IF(AND(LEFT(SUBSTITUTE($I1947," ",""),LEN($F1947)+1)=$F1947&amp;"-",LEN(SUBSTITUTE($I1947," ",""))&gt;LEN($F1947)+1),"OK","Comment required"),"OK")))</f>
      </c>
    </row>
    <row r="1948" spans="1:10" x14ac:dyDescent="0.25">
      <c r="A1948" s="1"/>
      <c r="B1948" s="20"/>
      <c r="C1948" s="1"/>
      <c r="D1948" s="1"/>
      <c r="E1948" s="1"/>
      <c r="F1948" s="1"/>
      <c r="G1948" s="1"/>
      <c r="H1948" s="1"/>
      <c r="I1948" s="1"/>
      <c r="J1948" s="1">
        <f>IF($F1948="","",IF($H1948="","Not rated",IF(OR($H1948=Lists!$B$3,$H1948=Lists!$B$5),IF(AND(LEFT(SUBSTITUTE($I1948," ",""),LEN($F1948)+1)=$F1948&amp;"-",LEN(SUBSTITUTE($I1948," ",""))&gt;LEN($F1948)+1),"OK","Comment required"),"OK")))</f>
      </c>
    </row>
    <row r="1949" spans="1:10" x14ac:dyDescent="0.25">
      <c r="A1949" s="1"/>
      <c r="B1949" s="20"/>
      <c r="C1949" s="1"/>
      <c r="D1949" s="1"/>
      <c r="E1949" s="1"/>
      <c r="F1949" s="1"/>
      <c r="G1949" s="1"/>
      <c r="H1949" s="1"/>
      <c r="I1949" s="1"/>
      <c r="J1949" s="1">
        <f>IF($F1949="","",IF($H1949="","Not rated",IF(OR($H1949=Lists!$B$3,$H1949=Lists!$B$5),IF(AND(LEFT(SUBSTITUTE($I1949," ",""),LEN($F1949)+1)=$F1949&amp;"-",LEN(SUBSTITUTE($I1949," ",""))&gt;LEN($F1949)+1),"OK","Comment required"),"OK")))</f>
      </c>
    </row>
    <row r="1950" spans="1:10" x14ac:dyDescent="0.25">
      <c r="A1950" s="1"/>
      <c r="B1950" s="20"/>
      <c r="C1950" s="1"/>
      <c r="D1950" s="1"/>
      <c r="E1950" s="1"/>
      <c r="F1950" s="1"/>
      <c r="G1950" s="1"/>
      <c r="H1950" s="1"/>
      <c r="I1950" s="1"/>
      <c r="J1950" s="1">
        <f>IF($F1950="","",IF($H1950="","Not rated",IF(OR($H1950=Lists!$B$3,$H1950=Lists!$B$5),IF(AND(LEFT(SUBSTITUTE($I1950," ",""),LEN($F1950)+1)=$F1950&amp;"-",LEN(SUBSTITUTE($I1950," ",""))&gt;LEN($F1950)+1),"OK","Comment required"),"OK")))</f>
      </c>
    </row>
    <row r="1951" spans="1:10" x14ac:dyDescent="0.25">
      <c r="A1951" s="1"/>
      <c r="B1951" s="20"/>
      <c r="C1951" s="1"/>
      <c r="D1951" s="1"/>
      <c r="E1951" s="1"/>
      <c r="F1951" s="1"/>
      <c r="G1951" s="1"/>
      <c r="H1951" s="1"/>
      <c r="I1951" s="1"/>
      <c r="J1951" s="1">
        <f>IF($F1951="","",IF($H1951="","Not rated",IF(OR($H1951=Lists!$B$3,$H1951=Lists!$B$5),IF(AND(LEFT(SUBSTITUTE($I1951," ",""),LEN($F1951)+1)=$F1951&amp;"-",LEN(SUBSTITUTE($I1951," ",""))&gt;LEN($F1951)+1),"OK","Comment required"),"OK")))</f>
      </c>
    </row>
    <row r="1952" spans="1:10" x14ac:dyDescent="0.25">
      <c r="A1952" s="1"/>
      <c r="B1952" s="20"/>
      <c r="C1952" s="1"/>
      <c r="D1952" s="1"/>
      <c r="E1952" s="1"/>
      <c r="F1952" s="1"/>
      <c r="G1952" s="1"/>
      <c r="H1952" s="1"/>
      <c r="I1952" s="1"/>
      <c r="J1952" s="1">
        <f>IF($F1952="","",IF($H1952="","Not rated",IF(OR($H1952=Lists!$B$3,$H1952=Lists!$B$5),IF(AND(LEFT(SUBSTITUTE($I1952," ",""),LEN($F1952)+1)=$F1952&amp;"-",LEN(SUBSTITUTE($I1952," ",""))&gt;LEN($F1952)+1),"OK","Comment required"),"OK")))</f>
      </c>
    </row>
    <row r="1953" spans="1:10" x14ac:dyDescent="0.25">
      <c r="A1953" s="1"/>
      <c r="B1953" s="20"/>
      <c r="C1953" s="1"/>
      <c r="D1953" s="1"/>
      <c r="E1953" s="1"/>
      <c r="F1953" s="1"/>
      <c r="G1953" s="1"/>
      <c r="H1953" s="1"/>
      <c r="I1953" s="1"/>
      <c r="J1953" s="1">
        <f>IF($F1953="","",IF($H1953="","Not rated",IF(OR($H1953=Lists!$B$3,$H1953=Lists!$B$5),IF(AND(LEFT(SUBSTITUTE($I1953," ",""),LEN($F1953)+1)=$F1953&amp;"-",LEN(SUBSTITUTE($I1953," ",""))&gt;LEN($F1953)+1),"OK","Comment required"),"OK")))</f>
      </c>
    </row>
    <row r="1954" spans="1:10" x14ac:dyDescent="0.25">
      <c r="A1954" s="1"/>
      <c r="B1954" s="20"/>
      <c r="C1954" s="1"/>
      <c r="D1954" s="1"/>
      <c r="E1954" s="1"/>
      <c r="F1954" s="1"/>
      <c r="G1954" s="1"/>
      <c r="H1954" s="1"/>
      <c r="I1954" s="1"/>
      <c r="J1954" s="1">
        <f>IF($F1954="","",IF($H1954="","Not rated",IF(OR($H1954=Lists!$B$3,$H1954=Lists!$B$5),IF(AND(LEFT(SUBSTITUTE($I1954," ",""),LEN($F1954)+1)=$F1954&amp;"-",LEN(SUBSTITUTE($I1954," ",""))&gt;LEN($F1954)+1),"OK","Comment required"),"OK")))</f>
      </c>
    </row>
    <row r="1955" spans="1:10" x14ac:dyDescent="0.25">
      <c r="A1955" s="1"/>
      <c r="B1955" s="20"/>
      <c r="C1955" s="1"/>
      <c r="D1955" s="1"/>
      <c r="E1955" s="1"/>
      <c r="F1955" s="1"/>
      <c r="G1955" s="1"/>
      <c r="H1955" s="1"/>
      <c r="I1955" s="1"/>
      <c r="J1955" s="1">
        <f>IF($F1955="","",IF($H1955="","Not rated",IF(OR($H1955=Lists!$B$3,$H1955=Lists!$B$5),IF(AND(LEFT(SUBSTITUTE($I1955," ",""),LEN($F1955)+1)=$F1955&amp;"-",LEN(SUBSTITUTE($I1955," ",""))&gt;LEN($F1955)+1),"OK","Comment required"),"OK")))</f>
      </c>
    </row>
    <row r="1956" spans="1:10" x14ac:dyDescent="0.25">
      <c r="A1956" s="1"/>
      <c r="B1956" s="20"/>
      <c r="C1956" s="1"/>
      <c r="D1956" s="1"/>
      <c r="E1956" s="1"/>
      <c r="F1956" s="1"/>
      <c r="G1956" s="1"/>
      <c r="H1956" s="1"/>
      <c r="I1956" s="1"/>
      <c r="J1956" s="1">
        <f>IF($F1956="","",IF($H1956="","Not rated",IF(OR($H1956=Lists!$B$3,$H1956=Lists!$B$5),IF(AND(LEFT(SUBSTITUTE($I1956," ",""),LEN($F1956)+1)=$F1956&amp;"-",LEN(SUBSTITUTE($I1956," ",""))&gt;LEN($F1956)+1),"OK","Comment required"),"OK")))</f>
      </c>
    </row>
    <row r="1957" spans="1:10" x14ac:dyDescent="0.25">
      <c r="A1957" s="1"/>
      <c r="B1957" s="20"/>
      <c r="C1957" s="1"/>
      <c r="D1957" s="1"/>
      <c r="E1957" s="1"/>
      <c r="F1957" s="1"/>
      <c r="G1957" s="1"/>
      <c r="H1957" s="1"/>
      <c r="I1957" s="1"/>
      <c r="J1957" s="1">
        <f>IF($F1957="","",IF($H1957="","Not rated",IF(OR($H1957=Lists!$B$3,$H1957=Lists!$B$5),IF(AND(LEFT(SUBSTITUTE($I1957," ",""),LEN($F1957)+1)=$F1957&amp;"-",LEN(SUBSTITUTE($I1957," ",""))&gt;LEN($F1957)+1),"OK","Comment required"),"OK")))</f>
      </c>
    </row>
    <row r="1958" spans="1:10" x14ac:dyDescent="0.25">
      <c r="A1958" s="1"/>
      <c r="B1958" s="20"/>
      <c r="C1958" s="1"/>
      <c r="D1958" s="1"/>
      <c r="E1958" s="1"/>
      <c r="F1958" s="1"/>
      <c r="G1958" s="1"/>
      <c r="H1958" s="1"/>
      <c r="I1958" s="1"/>
      <c r="J1958" s="1">
        <f>IF($F1958="","",IF($H1958="","Not rated",IF(OR($H1958=Lists!$B$3,$H1958=Lists!$B$5),IF(AND(LEFT(SUBSTITUTE($I1958," ",""),LEN($F1958)+1)=$F1958&amp;"-",LEN(SUBSTITUTE($I1958," ",""))&gt;LEN($F1958)+1),"OK","Comment required"),"OK")))</f>
      </c>
    </row>
    <row r="1959" spans="1:10" x14ac:dyDescent="0.25">
      <c r="A1959" s="1"/>
      <c r="B1959" s="20"/>
      <c r="C1959" s="1"/>
      <c r="D1959" s="1"/>
      <c r="E1959" s="1"/>
      <c r="F1959" s="1"/>
      <c r="G1959" s="1"/>
      <c r="H1959" s="1"/>
      <c r="I1959" s="1"/>
      <c r="J1959" s="1">
        <f>IF($F1959="","",IF($H1959="","Not rated",IF(OR($H1959=Lists!$B$3,$H1959=Lists!$B$5),IF(AND(LEFT(SUBSTITUTE($I1959," ",""),LEN($F1959)+1)=$F1959&amp;"-",LEN(SUBSTITUTE($I1959," ",""))&gt;LEN($F1959)+1),"OK","Comment required"),"OK")))</f>
      </c>
    </row>
    <row r="1960" spans="1:10" x14ac:dyDescent="0.25">
      <c r="A1960" s="1"/>
      <c r="B1960" s="20"/>
      <c r="C1960" s="1"/>
      <c r="D1960" s="1"/>
      <c r="E1960" s="1"/>
      <c r="F1960" s="1"/>
      <c r="G1960" s="1"/>
      <c r="H1960" s="1"/>
      <c r="I1960" s="1"/>
      <c r="J1960" s="1">
        <f>IF($F1960="","",IF($H1960="","Not rated",IF(OR($H1960=Lists!$B$3,$H1960=Lists!$B$5),IF(AND(LEFT(SUBSTITUTE($I1960," ",""),LEN($F1960)+1)=$F1960&amp;"-",LEN(SUBSTITUTE($I1960," ",""))&gt;LEN($F1960)+1),"OK","Comment required"),"OK")))</f>
      </c>
    </row>
    <row r="1961" spans="1:10" x14ac:dyDescent="0.25">
      <c r="A1961" s="1"/>
      <c r="B1961" s="20"/>
      <c r="C1961" s="1"/>
      <c r="D1961" s="1"/>
      <c r="E1961" s="1"/>
      <c r="F1961" s="1"/>
      <c r="G1961" s="1"/>
      <c r="H1961" s="1"/>
      <c r="I1961" s="1"/>
      <c r="J1961" s="1">
        <f>IF($F1961="","",IF($H1961="","Not rated",IF(OR($H1961=Lists!$B$3,$H1961=Lists!$B$5),IF(AND(LEFT(SUBSTITUTE($I1961," ",""),LEN($F1961)+1)=$F1961&amp;"-",LEN(SUBSTITUTE($I1961," ",""))&gt;LEN($F1961)+1),"OK","Comment required"),"OK")))</f>
      </c>
    </row>
    <row r="1962" spans="1:10" x14ac:dyDescent="0.25">
      <c r="A1962" s="1"/>
      <c r="B1962" s="20"/>
      <c r="C1962" s="1"/>
      <c r="D1962" s="1"/>
      <c r="E1962" s="1"/>
      <c r="F1962" s="1"/>
      <c r="G1962" s="1"/>
      <c r="H1962" s="1"/>
      <c r="I1962" s="1"/>
      <c r="J1962" s="1">
        <f>IF($F1962="","",IF($H1962="","Not rated",IF(OR($H1962=Lists!$B$3,$H1962=Lists!$B$5),IF(AND(LEFT(SUBSTITUTE($I1962," ",""),LEN($F1962)+1)=$F1962&amp;"-",LEN(SUBSTITUTE($I1962," ",""))&gt;LEN($F1962)+1),"OK","Comment required"),"OK")))</f>
      </c>
    </row>
    <row r="1963" spans="1:10" x14ac:dyDescent="0.25">
      <c r="A1963" s="1"/>
      <c r="B1963" s="20"/>
      <c r="C1963" s="1"/>
      <c r="D1963" s="1"/>
      <c r="E1963" s="1"/>
      <c r="F1963" s="1"/>
      <c r="G1963" s="1"/>
      <c r="H1963" s="1"/>
      <c r="I1963" s="1"/>
      <c r="J1963" s="1">
        <f>IF($F1963="","",IF($H1963="","Not rated",IF(OR($H1963=Lists!$B$3,$H1963=Lists!$B$5),IF(AND(LEFT(SUBSTITUTE($I1963," ",""),LEN($F1963)+1)=$F1963&amp;"-",LEN(SUBSTITUTE($I1963," ",""))&gt;LEN($F1963)+1),"OK","Comment required"),"OK")))</f>
      </c>
    </row>
    <row r="1964" spans="1:10" x14ac:dyDescent="0.25">
      <c r="A1964" s="1"/>
      <c r="B1964" s="20"/>
      <c r="C1964" s="1"/>
      <c r="D1964" s="1"/>
      <c r="E1964" s="1"/>
      <c r="F1964" s="1"/>
      <c r="G1964" s="1"/>
      <c r="H1964" s="1"/>
      <c r="I1964" s="1"/>
      <c r="J1964" s="1">
        <f>IF($F1964="","",IF($H1964="","Not rated",IF(OR($H1964=Lists!$B$3,$H1964=Lists!$B$5),IF(AND(LEFT(SUBSTITUTE($I1964," ",""),LEN($F1964)+1)=$F1964&amp;"-",LEN(SUBSTITUTE($I1964," ",""))&gt;LEN($F1964)+1),"OK","Comment required"),"OK")))</f>
      </c>
    </row>
    <row r="1965" spans="1:10" x14ac:dyDescent="0.25">
      <c r="A1965" s="1"/>
      <c r="B1965" s="20"/>
      <c r="C1965" s="1"/>
      <c r="D1965" s="1"/>
      <c r="E1965" s="1"/>
      <c r="F1965" s="1"/>
      <c r="G1965" s="1"/>
      <c r="H1965" s="1"/>
      <c r="I1965" s="1"/>
      <c r="J1965" s="1">
        <f>IF($F1965="","",IF($H1965="","Not rated",IF(OR($H1965=Lists!$B$3,$H1965=Lists!$B$5),IF(AND(LEFT(SUBSTITUTE($I1965," ",""),LEN($F1965)+1)=$F1965&amp;"-",LEN(SUBSTITUTE($I1965," ",""))&gt;LEN($F1965)+1),"OK","Comment required"),"OK")))</f>
      </c>
    </row>
    <row r="1966" spans="1:10" x14ac:dyDescent="0.25">
      <c r="A1966" s="1"/>
      <c r="B1966" s="20"/>
      <c r="C1966" s="1"/>
      <c r="D1966" s="1"/>
      <c r="E1966" s="1"/>
      <c r="F1966" s="1"/>
      <c r="G1966" s="1"/>
      <c r="H1966" s="1"/>
      <c r="I1966" s="1"/>
      <c r="J1966" s="1">
        <f>IF($F1966="","",IF($H1966="","Not rated",IF(OR($H1966=Lists!$B$3,$H1966=Lists!$B$5),IF(AND(LEFT(SUBSTITUTE($I1966," ",""),LEN($F1966)+1)=$F1966&amp;"-",LEN(SUBSTITUTE($I1966," ",""))&gt;LEN($F1966)+1),"OK","Comment required"),"OK")))</f>
      </c>
    </row>
    <row r="1967" spans="1:10" x14ac:dyDescent="0.25">
      <c r="A1967" s="1"/>
      <c r="B1967" s="20"/>
      <c r="C1967" s="1"/>
      <c r="D1967" s="1"/>
      <c r="E1967" s="1"/>
      <c r="F1967" s="1"/>
      <c r="G1967" s="1"/>
      <c r="H1967" s="1"/>
      <c r="I1967" s="1"/>
      <c r="J1967" s="1">
        <f>IF($F1967="","",IF($H1967="","Not rated",IF(OR($H1967=Lists!$B$3,$H1967=Lists!$B$5),IF(AND(LEFT(SUBSTITUTE($I1967," ",""),LEN($F1967)+1)=$F1967&amp;"-",LEN(SUBSTITUTE($I1967," ",""))&gt;LEN($F1967)+1),"OK","Comment required"),"OK")))</f>
      </c>
    </row>
    <row r="1968" spans="1:10" x14ac:dyDescent="0.25">
      <c r="A1968" s="1"/>
      <c r="B1968" s="20"/>
      <c r="C1968" s="1"/>
      <c r="D1968" s="1"/>
      <c r="E1968" s="1"/>
      <c r="F1968" s="1"/>
      <c r="G1968" s="1"/>
      <c r="H1968" s="1"/>
      <c r="I1968" s="1"/>
      <c r="J1968" s="1">
        <f>IF($F1968="","",IF($H1968="","Not rated",IF(OR($H1968=Lists!$B$3,$H1968=Lists!$B$5),IF(AND(LEFT(SUBSTITUTE($I1968," ",""),LEN($F1968)+1)=$F1968&amp;"-",LEN(SUBSTITUTE($I1968," ",""))&gt;LEN($F1968)+1),"OK","Comment required"),"OK")))</f>
      </c>
    </row>
    <row r="1969" spans="1:10" x14ac:dyDescent="0.25">
      <c r="A1969" s="1"/>
      <c r="B1969" s="20"/>
      <c r="C1969" s="1"/>
      <c r="D1969" s="1"/>
      <c r="E1969" s="1"/>
      <c r="F1969" s="1"/>
      <c r="G1969" s="1"/>
      <c r="H1969" s="1"/>
      <c r="I1969" s="1"/>
      <c r="J1969" s="1">
        <f>IF($F1969="","",IF($H1969="","Not rated",IF(OR($H1969=Lists!$B$3,$H1969=Lists!$B$5),IF(AND(LEFT(SUBSTITUTE($I1969," ",""),LEN($F1969)+1)=$F1969&amp;"-",LEN(SUBSTITUTE($I1969," ",""))&gt;LEN($F1969)+1),"OK","Comment required"),"OK")))</f>
      </c>
    </row>
    <row r="1970" spans="1:10" x14ac:dyDescent="0.25">
      <c r="A1970" s="1"/>
      <c r="B1970" s="20"/>
      <c r="C1970" s="1"/>
      <c r="D1970" s="1"/>
      <c r="E1970" s="1"/>
      <c r="F1970" s="1"/>
      <c r="G1970" s="1"/>
      <c r="H1970" s="1"/>
      <c r="I1970" s="1"/>
      <c r="J1970" s="1">
        <f>IF($F1970="","",IF($H1970="","Not rated",IF(OR($H1970=Lists!$B$3,$H1970=Lists!$B$5),IF(AND(LEFT(SUBSTITUTE($I1970," ",""),LEN($F1970)+1)=$F1970&amp;"-",LEN(SUBSTITUTE($I1970," ",""))&gt;LEN($F1970)+1),"OK","Comment required"),"OK")))</f>
      </c>
    </row>
    <row r="1971" spans="1:10" x14ac:dyDescent="0.25">
      <c r="A1971" s="1"/>
      <c r="B1971" s="20"/>
      <c r="C1971" s="1"/>
      <c r="D1971" s="1"/>
      <c r="E1971" s="1"/>
      <c r="F1971" s="1"/>
      <c r="G1971" s="1"/>
      <c r="H1971" s="1"/>
      <c r="I1971" s="1"/>
      <c r="J1971" s="1">
        <f>IF($F1971="","",IF($H1971="","Not rated",IF(OR($H1971=Lists!$B$3,$H1971=Lists!$B$5),IF(AND(LEFT(SUBSTITUTE($I1971," ",""),LEN($F1971)+1)=$F1971&amp;"-",LEN(SUBSTITUTE($I1971," ",""))&gt;LEN($F1971)+1),"OK","Comment required"),"OK")))</f>
      </c>
    </row>
    <row r="1972" spans="1:10" x14ac:dyDescent="0.25">
      <c r="A1972" s="1"/>
      <c r="B1972" s="20"/>
      <c r="C1972" s="1"/>
      <c r="D1972" s="1"/>
      <c r="E1972" s="1"/>
      <c r="F1972" s="1"/>
      <c r="G1972" s="1"/>
      <c r="H1972" s="1"/>
      <c r="I1972" s="1"/>
      <c r="J1972" s="1">
        <f>IF($F1972="","",IF($H1972="","Not rated",IF(OR($H1972=Lists!$B$3,$H1972=Lists!$B$5),IF(AND(LEFT(SUBSTITUTE($I1972," ",""),LEN($F1972)+1)=$F1972&amp;"-",LEN(SUBSTITUTE($I1972," ",""))&gt;LEN($F1972)+1),"OK","Comment required"),"OK")))</f>
      </c>
    </row>
    <row r="1973" spans="1:10" x14ac:dyDescent="0.25">
      <c r="A1973" s="1"/>
      <c r="B1973" s="20"/>
      <c r="C1973" s="1"/>
      <c r="D1973" s="1"/>
      <c r="E1973" s="1"/>
      <c r="F1973" s="1"/>
      <c r="G1973" s="1"/>
      <c r="H1973" s="1"/>
      <c r="I1973" s="1"/>
      <c r="J1973" s="1">
        <f>IF($F1973="","",IF($H1973="","Not rated",IF(OR($H1973=Lists!$B$3,$H1973=Lists!$B$5),IF(AND(LEFT(SUBSTITUTE($I1973," ",""),LEN($F1973)+1)=$F1973&amp;"-",LEN(SUBSTITUTE($I1973," ",""))&gt;LEN($F1973)+1),"OK","Comment required"),"OK")))</f>
      </c>
    </row>
    <row r="1974" spans="1:10" x14ac:dyDescent="0.25">
      <c r="A1974" s="1"/>
      <c r="B1974" s="20"/>
      <c r="C1974" s="1"/>
      <c r="D1974" s="1"/>
      <c r="E1974" s="1"/>
      <c r="F1974" s="1"/>
      <c r="G1974" s="1"/>
      <c r="H1974" s="1"/>
      <c r="I1974" s="1"/>
      <c r="J1974" s="1">
        <f>IF($F1974="","",IF($H1974="","Not rated",IF(OR($H1974=Lists!$B$3,$H1974=Lists!$B$5),IF(AND(LEFT(SUBSTITUTE($I1974," ",""),LEN($F1974)+1)=$F1974&amp;"-",LEN(SUBSTITUTE($I1974," ",""))&gt;LEN($F1974)+1),"OK","Comment required"),"OK")))</f>
      </c>
    </row>
    <row r="1975" spans="1:10" x14ac:dyDescent="0.25">
      <c r="A1975" s="1"/>
      <c r="B1975" s="20"/>
      <c r="C1975" s="1"/>
      <c r="D1975" s="1"/>
      <c r="E1975" s="1"/>
      <c r="F1975" s="1"/>
      <c r="G1975" s="1"/>
      <c r="H1975" s="1"/>
      <c r="I1975" s="1"/>
      <c r="J1975" s="1">
        <f>IF($F1975="","",IF($H1975="","Not rated",IF(OR($H1975=Lists!$B$3,$H1975=Lists!$B$5),IF(AND(LEFT(SUBSTITUTE($I1975," ",""),LEN($F1975)+1)=$F1975&amp;"-",LEN(SUBSTITUTE($I1975," ",""))&gt;LEN($F1975)+1),"OK","Comment required"),"OK")))</f>
      </c>
    </row>
    <row r="1976" spans="1:10" x14ac:dyDescent="0.25">
      <c r="A1976" s="1"/>
      <c r="B1976" s="20"/>
      <c r="C1976" s="1"/>
      <c r="D1976" s="1"/>
      <c r="E1976" s="1"/>
      <c r="F1976" s="1"/>
      <c r="G1976" s="1"/>
      <c r="H1976" s="1"/>
      <c r="I1976" s="1"/>
      <c r="J1976" s="1">
        <f>IF($F1976="","",IF($H1976="","Not rated",IF(OR($H1976=Lists!$B$3,$H1976=Lists!$B$5),IF(AND(LEFT(SUBSTITUTE($I1976," ",""),LEN($F1976)+1)=$F1976&amp;"-",LEN(SUBSTITUTE($I1976," ",""))&gt;LEN($F1976)+1),"OK","Comment required"),"OK")))</f>
      </c>
    </row>
    <row r="1977" spans="1:10" x14ac:dyDescent="0.25">
      <c r="A1977" s="1"/>
      <c r="B1977" s="20"/>
      <c r="C1977" s="1"/>
      <c r="D1977" s="1"/>
      <c r="E1977" s="1"/>
      <c r="F1977" s="1"/>
      <c r="G1977" s="1"/>
      <c r="H1977" s="1"/>
      <c r="I1977" s="1"/>
      <c r="J1977" s="1">
        <f>IF($F1977="","",IF($H1977="","Not rated",IF(OR($H1977=Lists!$B$3,$H1977=Lists!$B$5),IF(AND(LEFT(SUBSTITUTE($I1977," ",""),LEN($F1977)+1)=$F1977&amp;"-",LEN(SUBSTITUTE($I1977," ",""))&gt;LEN($F1977)+1),"OK","Comment required"),"OK")))</f>
      </c>
    </row>
    <row r="1978" spans="1:10" x14ac:dyDescent="0.25">
      <c r="A1978" s="1"/>
      <c r="B1978" s="20"/>
      <c r="C1978" s="1"/>
      <c r="D1978" s="1"/>
      <c r="E1978" s="1"/>
      <c r="F1978" s="1"/>
      <c r="G1978" s="1"/>
      <c r="H1978" s="1"/>
      <c r="I1978" s="1"/>
      <c r="J1978" s="1">
        <f>IF($F1978="","",IF($H1978="","Not rated",IF(OR($H1978=Lists!$B$3,$H1978=Lists!$B$5),IF(AND(LEFT(SUBSTITUTE($I1978," ",""),LEN($F1978)+1)=$F1978&amp;"-",LEN(SUBSTITUTE($I1978," ",""))&gt;LEN($F1978)+1),"OK","Comment required"),"OK")))</f>
      </c>
    </row>
    <row r="1979" spans="1:10" x14ac:dyDescent="0.25">
      <c r="A1979" s="1"/>
      <c r="B1979" s="20"/>
      <c r="C1979" s="1"/>
      <c r="D1979" s="1"/>
      <c r="E1979" s="1"/>
      <c r="F1979" s="1"/>
      <c r="G1979" s="1"/>
      <c r="H1979" s="1"/>
      <c r="I1979" s="1"/>
      <c r="J1979" s="1">
        <f>IF($F1979="","",IF($H1979="","Not rated",IF(OR($H1979=Lists!$B$3,$H1979=Lists!$B$5),IF(AND(LEFT(SUBSTITUTE($I1979," ",""),LEN($F1979)+1)=$F1979&amp;"-",LEN(SUBSTITUTE($I1979," ",""))&gt;LEN($F1979)+1),"OK","Comment required"),"OK")))</f>
      </c>
    </row>
    <row r="1980" spans="1:10" x14ac:dyDescent="0.25">
      <c r="A1980" s="1"/>
      <c r="B1980" s="20"/>
      <c r="C1980" s="1"/>
      <c r="D1980" s="1"/>
      <c r="E1980" s="1"/>
      <c r="F1980" s="1"/>
      <c r="G1980" s="1"/>
      <c r="H1980" s="1"/>
      <c r="I1980" s="1"/>
      <c r="J1980" s="1">
        <f>IF($F1980="","",IF($H1980="","Not rated",IF(OR($H1980=Lists!$B$3,$H1980=Lists!$B$5),IF(AND(LEFT(SUBSTITUTE($I1980," ",""),LEN($F1980)+1)=$F1980&amp;"-",LEN(SUBSTITUTE($I1980," ",""))&gt;LEN($F1980)+1),"OK","Comment required"),"OK")))</f>
      </c>
    </row>
    <row r="1981" spans="1:10" x14ac:dyDescent="0.25">
      <c r="A1981" s="1"/>
      <c r="B1981" s="20"/>
      <c r="C1981" s="1"/>
      <c r="D1981" s="1"/>
      <c r="E1981" s="1"/>
      <c r="F1981" s="1"/>
      <c r="G1981" s="1"/>
      <c r="H1981" s="1"/>
      <c r="I1981" s="1"/>
      <c r="J1981" s="1">
        <f>IF($F1981="","",IF($H1981="","Not rated",IF(OR($H1981=Lists!$B$3,$H1981=Lists!$B$5),IF(AND(LEFT(SUBSTITUTE($I1981," ",""),LEN($F1981)+1)=$F1981&amp;"-",LEN(SUBSTITUTE($I1981," ",""))&gt;LEN($F1981)+1),"OK","Comment required"),"OK")))</f>
      </c>
    </row>
    <row r="1982" spans="1:10" x14ac:dyDescent="0.25">
      <c r="A1982" s="1"/>
      <c r="B1982" s="20"/>
      <c r="C1982" s="1"/>
      <c r="D1982" s="1"/>
      <c r="E1982" s="1"/>
      <c r="F1982" s="1"/>
      <c r="G1982" s="1"/>
      <c r="H1982" s="1"/>
      <c r="I1982" s="1"/>
      <c r="J1982" s="1">
        <f>IF($F1982="","",IF($H1982="","Not rated",IF(OR($H1982=Lists!$B$3,$H1982=Lists!$B$5),IF(AND(LEFT(SUBSTITUTE($I1982," ",""),LEN($F1982)+1)=$F1982&amp;"-",LEN(SUBSTITUTE($I1982," ",""))&gt;LEN($F1982)+1),"OK","Comment required"),"OK")))</f>
      </c>
    </row>
    <row r="1983" spans="1:10" x14ac:dyDescent="0.25">
      <c r="A1983" s="1"/>
      <c r="B1983" s="20"/>
      <c r="C1983" s="1"/>
      <c r="D1983" s="1"/>
      <c r="E1983" s="1"/>
      <c r="F1983" s="1"/>
      <c r="G1983" s="1"/>
      <c r="H1983" s="1"/>
      <c r="I1983" s="1"/>
      <c r="J1983" s="1">
        <f>IF($F1983="","",IF($H1983="","Not rated",IF(OR($H1983=Lists!$B$3,$H1983=Lists!$B$5),IF(AND(LEFT(SUBSTITUTE($I1983," ",""),LEN($F1983)+1)=$F1983&amp;"-",LEN(SUBSTITUTE($I1983," ",""))&gt;LEN($F1983)+1),"OK","Comment required"),"OK")))</f>
      </c>
    </row>
    <row r="1984" spans="1:10" x14ac:dyDescent="0.25">
      <c r="A1984" s="1"/>
      <c r="B1984" s="20"/>
      <c r="C1984" s="1"/>
      <c r="D1984" s="1"/>
      <c r="E1984" s="1"/>
      <c r="F1984" s="1"/>
      <c r="G1984" s="1"/>
      <c r="H1984" s="1"/>
      <c r="I1984" s="1"/>
      <c r="J1984" s="1">
        <f>IF($F1984="","",IF($H1984="","Not rated",IF(OR($H1984=Lists!$B$3,$H1984=Lists!$B$5),IF(AND(LEFT(SUBSTITUTE($I1984," ",""),LEN($F1984)+1)=$F1984&amp;"-",LEN(SUBSTITUTE($I1984," ",""))&gt;LEN($F1984)+1),"OK","Comment required"),"OK")))</f>
      </c>
    </row>
    <row r="1985" spans="1:10" x14ac:dyDescent="0.25">
      <c r="A1985" s="1"/>
      <c r="B1985" s="20"/>
      <c r="C1985" s="1"/>
      <c r="D1985" s="1"/>
      <c r="E1985" s="1"/>
      <c r="F1985" s="1"/>
      <c r="G1985" s="1"/>
      <c r="H1985" s="1"/>
      <c r="I1985" s="1"/>
      <c r="J1985" s="1">
        <f>IF($F1985="","",IF($H1985="","Not rated",IF(OR($H1985=Lists!$B$3,$H1985=Lists!$B$5),IF(AND(LEFT(SUBSTITUTE($I1985," ",""),LEN($F1985)+1)=$F1985&amp;"-",LEN(SUBSTITUTE($I1985," ",""))&gt;LEN($F1985)+1),"OK","Comment required"),"OK")))</f>
      </c>
    </row>
    <row r="1986" spans="1:10" x14ac:dyDescent="0.25">
      <c r="A1986" s="1"/>
      <c r="B1986" s="20"/>
      <c r="C1986" s="1"/>
      <c r="D1986" s="1"/>
      <c r="E1986" s="1"/>
      <c r="F1986" s="1"/>
      <c r="G1986" s="1"/>
      <c r="H1986" s="1"/>
      <c r="I1986" s="1"/>
      <c r="J1986" s="1">
        <f>IF($F1986="","",IF($H1986="","Not rated",IF(OR($H1986=Lists!$B$3,$H1986=Lists!$B$5),IF(AND(LEFT(SUBSTITUTE($I1986," ",""),LEN($F1986)+1)=$F1986&amp;"-",LEN(SUBSTITUTE($I1986," ",""))&gt;LEN($F1986)+1),"OK","Comment required"),"OK")))</f>
      </c>
    </row>
    <row r="1987" spans="1:10" x14ac:dyDescent="0.25">
      <c r="A1987" s="1"/>
      <c r="B1987" s="20"/>
      <c r="C1987" s="1"/>
      <c r="D1987" s="1"/>
      <c r="E1987" s="1"/>
      <c r="F1987" s="1"/>
      <c r="G1987" s="1"/>
      <c r="H1987" s="1"/>
      <c r="I1987" s="1"/>
      <c r="J1987" s="1">
        <f>IF($F1987="","",IF($H1987="","Not rated",IF(OR($H1987=Lists!$B$3,$H1987=Lists!$B$5),IF(AND(LEFT(SUBSTITUTE($I1987," ",""),LEN($F1987)+1)=$F1987&amp;"-",LEN(SUBSTITUTE($I1987," ",""))&gt;LEN($F1987)+1),"OK","Comment required"),"OK")))</f>
      </c>
    </row>
    <row r="1988" spans="1:10" x14ac:dyDescent="0.25">
      <c r="A1988" s="1"/>
      <c r="B1988" s="20"/>
      <c r="C1988" s="1"/>
      <c r="D1988" s="1"/>
      <c r="E1988" s="1"/>
      <c r="F1988" s="1"/>
      <c r="G1988" s="1"/>
      <c r="H1988" s="1"/>
      <c r="I1988" s="1"/>
      <c r="J1988" s="1">
        <f>IF($F1988="","",IF($H1988="","Not rated",IF(OR($H1988=Lists!$B$3,$H1988=Lists!$B$5),IF(AND(LEFT(SUBSTITUTE($I1988," ",""),LEN($F1988)+1)=$F1988&amp;"-",LEN(SUBSTITUTE($I1988," ",""))&gt;LEN($F1988)+1),"OK","Comment required"),"OK")))</f>
      </c>
    </row>
    <row r="1989" spans="1:10" x14ac:dyDescent="0.25">
      <c r="A1989" s="1"/>
      <c r="B1989" s="20"/>
      <c r="C1989" s="1"/>
      <c r="D1989" s="1"/>
      <c r="E1989" s="1"/>
      <c r="F1989" s="1"/>
      <c r="G1989" s="1"/>
      <c r="H1989" s="1"/>
      <c r="I1989" s="1"/>
      <c r="J1989" s="1">
        <f>IF($F1989="","",IF($H1989="","Not rated",IF(OR($H1989=Lists!$B$3,$H1989=Lists!$B$5),IF(AND(LEFT(SUBSTITUTE($I1989," ",""),LEN($F1989)+1)=$F1989&amp;"-",LEN(SUBSTITUTE($I1989," ",""))&gt;LEN($F1989)+1),"OK","Comment required"),"OK")))</f>
      </c>
    </row>
    <row r="1990" spans="1:10" x14ac:dyDescent="0.25">
      <c r="A1990" s="1"/>
      <c r="B1990" s="20"/>
      <c r="C1990" s="1"/>
      <c r="D1990" s="1"/>
      <c r="E1990" s="1"/>
      <c r="F1990" s="1"/>
      <c r="G1990" s="1"/>
      <c r="H1990" s="1"/>
      <c r="I1990" s="1"/>
      <c r="J1990" s="1">
        <f>IF($F1990="","",IF($H1990="","Not rated",IF(OR($H1990=Lists!$B$3,$H1990=Lists!$B$5),IF(AND(LEFT(SUBSTITUTE($I1990," ",""),LEN($F1990)+1)=$F1990&amp;"-",LEN(SUBSTITUTE($I1990," ",""))&gt;LEN($F1990)+1),"OK","Comment required"),"OK")))</f>
      </c>
    </row>
    <row r="1991" spans="1:10" x14ac:dyDescent="0.25">
      <c r="A1991" s="1"/>
      <c r="B1991" s="20"/>
      <c r="C1991" s="1"/>
      <c r="D1991" s="1"/>
      <c r="E1991" s="1"/>
      <c r="F1991" s="1"/>
      <c r="G1991" s="1"/>
      <c r="H1991" s="1"/>
      <c r="I1991" s="1"/>
      <c r="J1991" s="1">
        <f>IF($F1991="","",IF($H1991="","Not rated",IF(OR($H1991=Lists!$B$3,$H1991=Lists!$B$5),IF(AND(LEFT(SUBSTITUTE($I1991," ",""),LEN($F1991)+1)=$F1991&amp;"-",LEN(SUBSTITUTE($I1991," ",""))&gt;LEN($F1991)+1),"OK","Comment required"),"OK")))</f>
      </c>
    </row>
    <row r="1992" spans="1:10" x14ac:dyDescent="0.25">
      <c r="A1992" s="1"/>
      <c r="B1992" s="20"/>
      <c r="C1992" s="1"/>
      <c r="D1992" s="1"/>
      <c r="E1992" s="1"/>
      <c r="F1992" s="1"/>
      <c r="G1992" s="1"/>
      <c r="H1992" s="1"/>
      <c r="I1992" s="1"/>
      <c r="J1992" s="1">
        <f>IF($F1992="","",IF($H1992="","Not rated",IF(OR($H1992=Lists!$B$3,$H1992=Lists!$B$5),IF(AND(LEFT(SUBSTITUTE($I1992," ",""),LEN($F1992)+1)=$F1992&amp;"-",LEN(SUBSTITUTE($I1992," ",""))&gt;LEN($F1992)+1),"OK","Comment required"),"OK")))</f>
      </c>
    </row>
    <row r="1993" spans="1:10" x14ac:dyDescent="0.25">
      <c r="A1993" s="1"/>
      <c r="B1993" s="20"/>
      <c r="C1993" s="1"/>
      <c r="D1993" s="1"/>
      <c r="E1993" s="1"/>
      <c r="F1993" s="1"/>
      <c r="G1993" s="1"/>
      <c r="H1993" s="1"/>
      <c r="I1993" s="1"/>
      <c r="J1993" s="1">
        <f>IF($F1993="","",IF($H1993="","Not rated",IF(OR($H1993=Lists!$B$3,$H1993=Lists!$B$5),IF(AND(LEFT(SUBSTITUTE($I1993," ",""),LEN($F1993)+1)=$F1993&amp;"-",LEN(SUBSTITUTE($I1993," ",""))&gt;LEN($F1993)+1),"OK","Comment required"),"OK")))</f>
      </c>
    </row>
    <row r="1994" spans="1:10" x14ac:dyDescent="0.25">
      <c r="A1994" s="1"/>
      <c r="B1994" s="20"/>
      <c r="C1994" s="1"/>
      <c r="D1994" s="1"/>
      <c r="E1994" s="1"/>
      <c r="F1994" s="1"/>
      <c r="G1994" s="1"/>
      <c r="H1994" s="1"/>
      <c r="I1994" s="1"/>
      <c r="J1994" s="1">
        <f>IF($F1994="","",IF($H1994="","Not rated",IF(OR($H1994=Lists!$B$3,$H1994=Lists!$B$5),IF(AND(LEFT(SUBSTITUTE($I1994," ",""),LEN($F1994)+1)=$F1994&amp;"-",LEN(SUBSTITUTE($I1994," ",""))&gt;LEN($F1994)+1),"OK","Comment required"),"OK")))</f>
      </c>
    </row>
    <row r="1995" spans="1:10" x14ac:dyDescent="0.25">
      <c r="A1995" s="1"/>
      <c r="B1995" s="20"/>
      <c r="C1995" s="1"/>
      <c r="D1995" s="1"/>
      <c r="E1995" s="1"/>
      <c r="F1995" s="1"/>
      <c r="G1995" s="1"/>
      <c r="H1995" s="1"/>
      <c r="I1995" s="1"/>
      <c r="J1995" s="1">
        <f>IF($F1995="","",IF($H1995="","Not rated",IF(OR($H1995=Lists!$B$3,$H1995=Lists!$B$5),IF(AND(LEFT(SUBSTITUTE($I1995," ",""),LEN($F1995)+1)=$F1995&amp;"-",LEN(SUBSTITUTE($I1995," ",""))&gt;LEN($F1995)+1),"OK","Comment required"),"OK")))</f>
      </c>
    </row>
    <row r="1996" spans="1:10" x14ac:dyDescent="0.25">
      <c r="A1996" s="1"/>
      <c r="B1996" s="20"/>
      <c r="C1996" s="1"/>
      <c r="D1996" s="1"/>
      <c r="E1996" s="1"/>
      <c r="F1996" s="1"/>
      <c r="G1996" s="1"/>
      <c r="H1996" s="1"/>
      <c r="I1996" s="1"/>
      <c r="J1996" s="1">
        <f>IF($F1996="","",IF($H1996="","Not rated",IF(OR($H1996=Lists!$B$3,$H1996=Lists!$B$5),IF(AND(LEFT(SUBSTITUTE($I1996," ",""),LEN($F1996)+1)=$F1996&amp;"-",LEN(SUBSTITUTE($I1996," ",""))&gt;LEN($F1996)+1),"OK","Comment required"),"OK")))</f>
      </c>
    </row>
    <row r="1997" spans="1:10" x14ac:dyDescent="0.25">
      <c r="A1997" s="1"/>
      <c r="B1997" s="20"/>
      <c r="C1997" s="1"/>
      <c r="D1997" s="1"/>
      <c r="E1997" s="1"/>
      <c r="F1997" s="1"/>
      <c r="G1997" s="1"/>
      <c r="H1997" s="1"/>
      <c r="I1997" s="1"/>
      <c r="J1997" s="1">
        <f>IF($F1997="","",IF($H1997="","Not rated",IF(OR($H1997=Lists!$B$3,$H1997=Lists!$B$5),IF(AND(LEFT(SUBSTITUTE($I1997," ",""),LEN($F1997)+1)=$F1997&amp;"-",LEN(SUBSTITUTE($I1997," ",""))&gt;LEN($F1997)+1),"OK","Comment required"),"OK")))</f>
      </c>
    </row>
    <row r="1998" spans="1:10" x14ac:dyDescent="0.25">
      <c r="A1998" s="1"/>
      <c r="B1998" s="20"/>
      <c r="C1998" s="1"/>
      <c r="D1998" s="1"/>
      <c r="E1998" s="1"/>
      <c r="F1998" s="1"/>
      <c r="G1998" s="1"/>
      <c r="H1998" s="1"/>
      <c r="I1998" s="1"/>
      <c r="J1998" s="1">
        <f>IF($F1998="","",IF($H1998="","Not rated",IF(OR($H1998=Lists!$B$3,$H1998=Lists!$B$5),IF(AND(LEFT(SUBSTITUTE($I1998," ",""),LEN($F1998)+1)=$F1998&amp;"-",LEN(SUBSTITUTE($I1998," ",""))&gt;LEN($F1998)+1),"OK","Comment required"),"OK")))</f>
      </c>
    </row>
    <row r="1999" spans="1:10" x14ac:dyDescent="0.25">
      <c r="A1999" s="1"/>
      <c r="B1999" s="20"/>
      <c r="C1999" s="1"/>
      <c r="D1999" s="1"/>
      <c r="E1999" s="1"/>
      <c r="F1999" s="1"/>
      <c r="G1999" s="1"/>
      <c r="H1999" s="1"/>
      <c r="I1999" s="1"/>
      <c r="J1999" s="1">
        <f>IF($F1999="","",IF($H1999="","Not rated",IF(OR($H1999=Lists!$B$3,$H1999=Lists!$B$5),IF(AND(LEFT(SUBSTITUTE($I1999," ",""),LEN($F1999)+1)=$F1999&amp;"-",LEN(SUBSTITUTE($I1999," ",""))&gt;LEN($F1999)+1),"OK","Comment required"),"OK")))</f>
      </c>
    </row>
    <row r="2000" spans="1:10" x14ac:dyDescent="0.25">
      <c r="A2000" s="1"/>
      <c r="B2000" s="20"/>
      <c r="C2000" s="1"/>
      <c r="D2000" s="1"/>
      <c r="E2000" s="1"/>
      <c r="F2000" s="1"/>
      <c r="G2000" s="1"/>
      <c r="H2000" s="1"/>
      <c r="I2000" s="1"/>
      <c r="J2000" s="1">
        <f>IF($F2000="","",IF($H2000="","Not rated",IF(OR($H2000=Lists!$B$3,$H2000=Lists!$B$5),IF(AND(LEFT(SUBSTITUTE($I2000," ",""),LEN($F2000)+1)=$F2000&amp;"-",LEN(SUBSTITUTE($I2000," ",""))&gt;LEN($F2000)+1),"OK","Comment required"),"OK")))</f>
      </c>
    </row>
    <row r="2001" spans="1:10" x14ac:dyDescent="0.25">
      <c r="A2001" s="1"/>
      <c r="B2001" s="20"/>
      <c r="C2001" s="1"/>
      <c r="D2001" s="1"/>
      <c r="E2001" s="1"/>
      <c r="F2001" s="1"/>
      <c r="G2001" s="1"/>
      <c r="H2001" s="1"/>
      <c r="I2001" s="1"/>
      <c r="J2001" s="1">
        <f>IF($F2001="","",IF($H2001="","Not rated",IF(OR($H2001=Lists!$B$3,$H2001=Lists!$B$5),IF(AND(LEFT(SUBSTITUTE($I2001," ",""),LEN($F2001)+1)=$F2001&amp;"-",LEN(SUBSTITUTE($I2001," ",""))&gt;LEN($F2001)+1),"OK","Comment required"),"OK")))</f>
      </c>
    </row>
  </sheetData>
  <autoFilter ref="A1:J1"/>
  <conditionalFormatting sqref="J2:J2001">
    <cfRule type="cellIs" dxfId="7" priority="1" operator="equal">
      <formula>"Comment required"</formula>
    </cfRule>
    <cfRule type="cellIs" dxfId="8" priority="2" operator="equal">
      <formula>"Not rated"</formula>
    </cfRule>
  </conditionalFormatting>
  <dataValidations count="2">
    <dataValidation type="list" allowBlank="1" sqref="D2:D2001">
      <formula1>RoleList</formula1>
    </dataValidation>
    <dataValidation type="list" allowBlank="1" sqref="H2:H2001">
      <formula1>LevelList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11" customWidth="1"/>
    <col min="4" max="4" width="10" customWidth="1"/>
    <col min="5" max="5" width="14" customWidth="1"/>
    <col min="6" max="7" width="10" customWidth="1"/>
    <col min="8" max="8" width="14" customWidth="1"/>
    <col min="9" max="9" width="11" customWidth="1"/>
    <col min="10" max="10" width="14" customWidth="1"/>
  </cols>
  <sheetData>
    <row r="1" spans="1:1" x14ac:dyDescent="0.25">
      <c r="A1" s="2" t="s">
        <v>994</v>
      </c>
    </row>
    <row r="2" spans="1:1" x14ac:dyDescent="0.25">
      <c r="A2" s="1" t="s">
        <v>995</v>
      </c>
    </row>
    <row r="3" ht="30" customHeight="1" spans="1:10" x14ac:dyDescent="0.25">
      <c r="A3" s="15" t="s">
        <v>64</v>
      </c>
      <c r="B3" s="15" t="s">
        <v>62</v>
      </c>
      <c r="C3" s="15" t="s">
        <v>36</v>
      </c>
      <c r="D3" s="15" t="s">
        <v>996</v>
      </c>
      <c r="E3" s="15" t="s">
        <v>997</v>
      </c>
      <c r="F3" s="15" t="s">
        <v>998</v>
      </c>
      <c r="G3" s="15" t="s">
        <v>999</v>
      </c>
      <c r="H3" s="15" t="s">
        <v>1000</v>
      </c>
      <c r="I3" s="15" t="s">
        <v>1001</v>
      </c>
      <c r="J3" s="15" t="s">
        <v>1002</v>
      </c>
    </row>
    <row r="4" spans="1:10" x14ac:dyDescent="0.25">
      <c r="A4" s="21" t="s">
        <v>67</v>
      </c>
      <c r="B4" s="21" t="s">
        <v>1003</v>
      </c>
      <c r="C4" s="21">
        <f>COUNTIF('Test Cases'!$A:$A,$A4)</f>
      </c>
      <c r="D4" s="21">
        <f>COUNTIFS(Responses!$D:$D,$A4,Responses!$H:$H,Lists!$B$2)</f>
      </c>
      <c r="E4" s="21">
        <f>COUNTIFS(Responses!$D:$D,$A4,Responses!$H:$H,Lists!$B$3)</f>
      </c>
      <c r="F4" s="21">
        <f>COUNTIFS(Responses!$D:$D,$A4,Responses!$H:$H,Lists!$B$4)</f>
      </c>
      <c r="G4" s="21">
        <f>COUNTIFS(Responses!$D:$D,$A4,Responses!$H:$H,Lists!$B$5)</f>
      </c>
      <c r="H4" s="22">
        <f>SUM(D4:G4)</f>
      </c>
      <c r="I4" s="23">
        <f>IF(H4=0,"-",D4/H4)</f>
      </c>
      <c r="J4" s="21">
        <f>COUNTIFS(Responses!$D:$D,$A4,Responses!$J:$J,"Comment required")</f>
      </c>
    </row>
    <row r="5" spans="1:10" x14ac:dyDescent="0.25">
      <c r="A5" s="22" t="s">
        <v>67</v>
      </c>
      <c r="B5" s="22" t="s">
        <v>69</v>
      </c>
      <c r="C5" s="22">
        <f>COUNTIF('Test Cases'!$C:$C,$B5)</f>
      </c>
      <c r="D5" s="22">
        <f>COUNTIFS(Responses!$E:$E,$B5,Responses!$H:$H,Lists!$B$2)</f>
      </c>
      <c r="E5" s="22">
        <f>COUNTIFS(Responses!$E:$E,$B5,Responses!$H:$H,Lists!$B$3)</f>
      </c>
      <c r="F5" s="22">
        <f>COUNTIFS(Responses!$E:$E,$B5,Responses!$H:$H,Lists!$B$4)</f>
      </c>
      <c r="G5" s="22">
        <f>COUNTIFS(Responses!$E:$E,$B5,Responses!$H:$H,Lists!$B$5)</f>
      </c>
      <c r="H5" s="22">
        <f>SUM(D5:G5)</f>
      </c>
      <c r="I5" s="23">
        <f>IF(H5=0,"-",D5/H5)</f>
      </c>
      <c r="J5" s="22">
        <f>COUNTIFS(Responses!$E:$E,$B5,Responses!$J:$J,"Comment required")</f>
      </c>
    </row>
    <row r="6" spans="1:10" x14ac:dyDescent="0.25">
      <c r="A6" s="22" t="s">
        <v>67</v>
      </c>
      <c r="B6" s="22" t="s">
        <v>92</v>
      </c>
      <c r="C6" s="22">
        <f>COUNTIF('Test Cases'!$C:$C,$B6)</f>
      </c>
      <c r="D6" s="22">
        <f>COUNTIFS(Responses!$E:$E,$B6,Responses!$H:$H,Lists!$B$2)</f>
      </c>
      <c r="E6" s="22">
        <f>COUNTIFS(Responses!$E:$E,$B6,Responses!$H:$H,Lists!$B$3)</f>
      </c>
      <c r="F6" s="22">
        <f>COUNTIFS(Responses!$E:$E,$B6,Responses!$H:$H,Lists!$B$4)</f>
      </c>
      <c r="G6" s="22">
        <f>COUNTIFS(Responses!$E:$E,$B6,Responses!$H:$H,Lists!$B$5)</f>
      </c>
      <c r="H6" s="22">
        <f>SUM(D6:G6)</f>
      </c>
      <c r="I6" s="23">
        <f>IF(H6=0,"-",D6/H6)</f>
      </c>
      <c r="J6" s="22">
        <f>COUNTIFS(Responses!$E:$E,$B6,Responses!$J:$J,"Comment required")</f>
      </c>
    </row>
    <row r="7" spans="1:10" x14ac:dyDescent="0.25">
      <c r="A7" s="22" t="s">
        <v>67</v>
      </c>
      <c r="B7" s="22" t="s">
        <v>119</v>
      </c>
      <c r="C7" s="22">
        <f>COUNTIF('Test Cases'!$C:$C,$B7)</f>
      </c>
      <c r="D7" s="22">
        <f>COUNTIFS(Responses!$E:$E,$B7,Responses!$H:$H,Lists!$B$2)</f>
      </c>
      <c r="E7" s="22">
        <f>COUNTIFS(Responses!$E:$E,$B7,Responses!$H:$H,Lists!$B$3)</f>
      </c>
      <c r="F7" s="22">
        <f>COUNTIFS(Responses!$E:$E,$B7,Responses!$H:$H,Lists!$B$4)</f>
      </c>
      <c r="G7" s="22">
        <f>COUNTIFS(Responses!$E:$E,$B7,Responses!$H:$H,Lists!$B$5)</f>
      </c>
      <c r="H7" s="22">
        <f>SUM(D7:G7)</f>
      </c>
      <c r="I7" s="23">
        <f>IF(H7=0,"-",D7/H7)</f>
      </c>
      <c r="J7" s="22">
        <f>COUNTIFS(Responses!$E:$E,$B7,Responses!$J:$J,"Comment required")</f>
      </c>
    </row>
    <row r="8" spans="1:10" x14ac:dyDescent="0.25">
      <c r="A8" s="22" t="s">
        <v>67</v>
      </c>
      <c r="B8" s="22" t="s">
        <v>138</v>
      </c>
      <c r="C8" s="22">
        <f>COUNTIF('Test Cases'!$C:$C,$B8)</f>
      </c>
      <c r="D8" s="22">
        <f>COUNTIFS(Responses!$E:$E,$B8,Responses!$H:$H,Lists!$B$2)</f>
      </c>
      <c r="E8" s="22">
        <f>COUNTIFS(Responses!$E:$E,$B8,Responses!$H:$H,Lists!$B$3)</f>
      </c>
      <c r="F8" s="22">
        <f>COUNTIFS(Responses!$E:$E,$B8,Responses!$H:$H,Lists!$B$4)</f>
      </c>
      <c r="G8" s="22">
        <f>COUNTIFS(Responses!$E:$E,$B8,Responses!$H:$H,Lists!$B$5)</f>
      </c>
      <c r="H8" s="22">
        <f>SUM(D8:G8)</f>
      </c>
      <c r="I8" s="23">
        <f>IF(H8=0,"-",D8/H8)</f>
      </c>
      <c r="J8" s="22">
        <f>COUNTIFS(Responses!$E:$E,$B8,Responses!$J:$J,"Comment required")</f>
      </c>
    </row>
    <row r="9" spans="1:10" x14ac:dyDescent="0.25">
      <c r="A9" s="22" t="s">
        <v>67</v>
      </c>
      <c r="B9" s="22" t="s">
        <v>157</v>
      </c>
      <c r="C9" s="22">
        <f>COUNTIF('Test Cases'!$C:$C,$B9)</f>
      </c>
      <c r="D9" s="22">
        <f>COUNTIFS(Responses!$E:$E,$B9,Responses!$H:$H,Lists!$B$2)</f>
      </c>
      <c r="E9" s="22">
        <f>COUNTIFS(Responses!$E:$E,$B9,Responses!$H:$H,Lists!$B$3)</f>
      </c>
      <c r="F9" s="22">
        <f>COUNTIFS(Responses!$E:$E,$B9,Responses!$H:$H,Lists!$B$4)</f>
      </c>
      <c r="G9" s="22">
        <f>COUNTIFS(Responses!$E:$E,$B9,Responses!$H:$H,Lists!$B$5)</f>
      </c>
      <c r="H9" s="22">
        <f>SUM(D9:G9)</f>
      </c>
      <c r="I9" s="23">
        <f>IF(H9=0,"-",D9/H9)</f>
      </c>
      <c r="J9" s="22">
        <f>COUNTIFS(Responses!$E:$E,$B9,Responses!$J:$J,"Comment required")</f>
      </c>
    </row>
    <row r="10" spans="1:10" x14ac:dyDescent="0.25">
      <c r="A10" s="22" t="s">
        <v>67</v>
      </c>
      <c r="B10" s="22" t="s">
        <v>168</v>
      </c>
      <c r="C10" s="22">
        <f>COUNTIF('Test Cases'!$C:$C,$B10)</f>
      </c>
      <c r="D10" s="22">
        <f>COUNTIFS(Responses!$E:$E,$B10,Responses!$H:$H,Lists!$B$2)</f>
      </c>
      <c r="E10" s="22">
        <f>COUNTIFS(Responses!$E:$E,$B10,Responses!$H:$H,Lists!$B$3)</f>
      </c>
      <c r="F10" s="22">
        <f>COUNTIFS(Responses!$E:$E,$B10,Responses!$H:$H,Lists!$B$4)</f>
      </c>
      <c r="G10" s="22">
        <f>COUNTIFS(Responses!$E:$E,$B10,Responses!$H:$H,Lists!$B$5)</f>
      </c>
      <c r="H10" s="22">
        <f>SUM(D10:G10)</f>
      </c>
      <c r="I10" s="23">
        <f>IF(H10=0,"-",D10/H10)</f>
      </c>
      <c r="J10" s="22">
        <f>COUNTIFS(Responses!$E:$E,$B10,Responses!$J:$J,"Comment required")</f>
      </c>
    </row>
    <row r="11" spans="1:10" x14ac:dyDescent="0.25">
      <c r="A11" s="22" t="s">
        <v>67</v>
      </c>
      <c r="B11" s="22" t="s">
        <v>195</v>
      </c>
      <c r="C11" s="22">
        <f>COUNTIF('Test Cases'!$C:$C,$B11)</f>
      </c>
      <c r="D11" s="22">
        <f>COUNTIFS(Responses!$E:$E,$B11,Responses!$H:$H,Lists!$B$2)</f>
      </c>
      <c r="E11" s="22">
        <f>COUNTIFS(Responses!$E:$E,$B11,Responses!$H:$H,Lists!$B$3)</f>
      </c>
      <c r="F11" s="22">
        <f>COUNTIFS(Responses!$E:$E,$B11,Responses!$H:$H,Lists!$B$4)</f>
      </c>
      <c r="G11" s="22">
        <f>COUNTIFS(Responses!$E:$E,$B11,Responses!$H:$H,Lists!$B$5)</f>
      </c>
      <c r="H11" s="22">
        <f>SUM(D11:G11)</f>
      </c>
      <c r="I11" s="23">
        <f>IF(H11=0,"-",D11/H11)</f>
      </c>
      <c r="J11" s="22">
        <f>COUNTIFS(Responses!$E:$E,$B11,Responses!$J:$J,"Comment required")</f>
      </c>
    </row>
    <row r="12" spans="1:10" x14ac:dyDescent="0.25">
      <c r="A12" s="22" t="s">
        <v>67</v>
      </c>
      <c r="B12" s="22" t="s">
        <v>218</v>
      </c>
      <c r="C12" s="22">
        <f>COUNTIF('Test Cases'!$C:$C,$B12)</f>
      </c>
      <c r="D12" s="22">
        <f>COUNTIFS(Responses!$E:$E,$B12,Responses!$H:$H,Lists!$B$2)</f>
      </c>
      <c r="E12" s="22">
        <f>COUNTIFS(Responses!$E:$E,$B12,Responses!$H:$H,Lists!$B$3)</f>
      </c>
      <c r="F12" s="22">
        <f>COUNTIFS(Responses!$E:$E,$B12,Responses!$H:$H,Lists!$B$4)</f>
      </c>
      <c r="G12" s="22">
        <f>COUNTIFS(Responses!$E:$E,$B12,Responses!$H:$H,Lists!$B$5)</f>
      </c>
      <c r="H12" s="22">
        <f>SUM(D12:G12)</f>
      </c>
      <c r="I12" s="23">
        <f>IF(H12=0,"-",D12/H12)</f>
      </c>
      <c r="J12" s="22">
        <f>COUNTIFS(Responses!$E:$E,$B12,Responses!$J:$J,"Comment required")</f>
      </c>
    </row>
    <row r="13" spans="1:10" x14ac:dyDescent="0.25">
      <c r="A13" s="22" t="s">
        <v>67</v>
      </c>
      <c r="B13" s="22" t="s">
        <v>241</v>
      </c>
      <c r="C13" s="22">
        <f>COUNTIF('Test Cases'!$C:$C,$B13)</f>
      </c>
      <c r="D13" s="22">
        <f>COUNTIFS(Responses!$E:$E,$B13,Responses!$H:$H,Lists!$B$2)</f>
      </c>
      <c r="E13" s="22">
        <f>COUNTIFS(Responses!$E:$E,$B13,Responses!$H:$H,Lists!$B$3)</f>
      </c>
      <c r="F13" s="22">
        <f>COUNTIFS(Responses!$E:$E,$B13,Responses!$H:$H,Lists!$B$4)</f>
      </c>
      <c r="G13" s="22">
        <f>COUNTIFS(Responses!$E:$E,$B13,Responses!$H:$H,Lists!$B$5)</f>
      </c>
      <c r="H13" s="22">
        <f>SUM(D13:G13)</f>
      </c>
      <c r="I13" s="23">
        <f>IF(H13=0,"-",D13/H13)</f>
      </c>
      <c r="J13" s="22">
        <f>COUNTIFS(Responses!$E:$E,$B13,Responses!$J:$J,"Comment required")</f>
      </c>
    </row>
    <row r="14" spans="1:10" x14ac:dyDescent="0.25">
      <c r="A14" s="22" t="s">
        <v>67</v>
      </c>
      <c r="B14" s="22" t="s">
        <v>260</v>
      </c>
      <c r="C14" s="22">
        <f>COUNTIF('Test Cases'!$C:$C,$B14)</f>
      </c>
      <c r="D14" s="22">
        <f>COUNTIFS(Responses!$E:$E,$B14,Responses!$H:$H,Lists!$B$2)</f>
      </c>
      <c r="E14" s="22">
        <f>COUNTIFS(Responses!$E:$E,$B14,Responses!$H:$H,Lists!$B$3)</f>
      </c>
      <c r="F14" s="22">
        <f>COUNTIFS(Responses!$E:$E,$B14,Responses!$H:$H,Lists!$B$4)</f>
      </c>
      <c r="G14" s="22">
        <f>COUNTIFS(Responses!$E:$E,$B14,Responses!$H:$H,Lists!$B$5)</f>
      </c>
      <c r="H14" s="22">
        <f>SUM(D14:G14)</f>
      </c>
      <c r="I14" s="23">
        <f>IF(H14=0,"-",D14/H14)</f>
      </c>
      <c r="J14" s="22">
        <f>COUNTIFS(Responses!$E:$E,$B14,Responses!$J:$J,"Comment required")</f>
      </c>
    </row>
    <row r="15" spans="1:10" x14ac:dyDescent="0.25">
      <c r="A15" s="22" t="s">
        <v>67</v>
      </c>
      <c r="B15" s="22" t="s">
        <v>271</v>
      </c>
      <c r="C15" s="22">
        <f>COUNTIF('Test Cases'!$C:$C,$B15)</f>
      </c>
      <c r="D15" s="22">
        <f>COUNTIFS(Responses!$E:$E,$B15,Responses!$H:$H,Lists!$B$2)</f>
      </c>
      <c r="E15" s="22">
        <f>COUNTIFS(Responses!$E:$E,$B15,Responses!$H:$H,Lists!$B$3)</f>
      </c>
      <c r="F15" s="22">
        <f>COUNTIFS(Responses!$E:$E,$B15,Responses!$H:$H,Lists!$B$4)</f>
      </c>
      <c r="G15" s="22">
        <f>COUNTIFS(Responses!$E:$E,$B15,Responses!$H:$H,Lists!$B$5)</f>
      </c>
      <c r="H15" s="22">
        <f>SUM(D15:G15)</f>
      </c>
      <c r="I15" s="23">
        <f>IF(H15=0,"-",D15/H15)</f>
      </c>
      <c r="J15" s="22">
        <f>COUNTIFS(Responses!$E:$E,$B15,Responses!$J:$J,"Comment required")</f>
      </c>
    </row>
    <row r="16" spans="1:10" x14ac:dyDescent="0.25">
      <c r="A16" s="22" t="s">
        <v>67</v>
      </c>
      <c r="B16" s="22" t="s">
        <v>282</v>
      </c>
      <c r="C16" s="22">
        <f>COUNTIF('Test Cases'!$C:$C,$B16)</f>
      </c>
      <c r="D16" s="22">
        <f>COUNTIFS(Responses!$E:$E,$B16,Responses!$H:$H,Lists!$B$2)</f>
      </c>
      <c r="E16" s="22">
        <f>COUNTIFS(Responses!$E:$E,$B16,Responses!$H:$H,Lists!$B$3)</f>
      </c>
      <c r="F16" s="22">
        <f>COUNTIFS(Responses!$E:$E,$B16,Responses!$H:$H,Lists!$B$4)</f>
      </c>
      <c r="G16" s="22">
        <f>COUNTIFS(Responses!$E:$E,$B16,Responses!$H:$H,Lists!$B$5)</f>
      </c>
      <c r="H16" s="22">
        <f>SUM(D16:G16)</f>
      </c>
      <c r="I16" s="23">
        <f>IF(H16=0,"-",D16/H16)</f>
      </c>
      <c r="J16" s="22">
        <f>COUNTIFS(Responses!$E:$E,$B16,Responses!$J:$J,"Comment required")</f>
      </c>
    </row>
    <row r="17" spans="1:10" x14ac:dyDescent="0.25">
      <c r="A17" s="22" t="s">
        <v>67</v>
      </c>
      <c r="B17" s="22" t="s">
        <v>293</v>
      </c>
      <c r="C17" s="22">
        <f>COUNTIF('Test Cases'!$C:$C,$B17)</f>
      </c>
      <c r="D17" s="22">
        <f>COUNTIFS(Responses!$E:$E,$B17,Responses!$H:$H,Lists!$B$2)</f>
      </c>
      <c r="E17" s="22">
        <f>COUNTIFS(Responses!$E:$E,$B17,Responses!$H:$H,Lists!$B$3)</f>
      </c>
      <c r="F17" s="22">
        <f>COUNTIFS(Responses!$E:$E,$B17,Responses!$H:$H,Lists!$B$4)</f>
      </c>
      <c r="G17" s="22">
        <f>COUNTIFS(Responses!$E:$E,$B17,Responses!$H:$H,Lists!$B$5)</f>
      </c>
      <c r="H17" s="22">
        <f>SUM(D17:G17)</f>
      </c>
      <c r="I17" s="23">
        <f>IF(H17=0,"-",D17/H17)</f>
      </c>
      <c r="J17" s="22">
        <f>COUNTIFS(Responses!$E:$E,$B17,Responses!$J:$J,"Comment required")</f>
      </c>
    </row>
    <row r="18" spans="1:10" x14ac:dyDescent="0.25">
      <c r="A18" s="21" t="s">
        <v>311</v>
      </c>
      <c r="B18" s="21" t="s">
        <v>1004</v>
      </c>
      <c r="C18" s="21">
        <f>COUNTIF('Test Cases'!$A:$A,$A18)</f>
      </c>
      <c r="D18" s="21">
        <f>COUNTIFS(Responses!$D:$D,$A18,Responses!$H:$H,Lists!$B$2)</f>
      </c>
      <c r="E18" s="21">
        <f>COUNTIFS(Responses!$D:$D,$A18,Responses!$H:$H,Lists!$B$3)</f>
      </c>
      <c r="F18" s="21">
        <f>COUNTIFS(Responses!$D:$D,$A18,Responses!$H:$H,Lists!$B$4)</f>
      </c>
      <c r="G18" s="21">
        <f>COUNTIFS(Responses!$D:$D,$A18,Responses!$H:$H,Lists!$B$5)</f>
      </c>
      <c r="H18" s="22">
        <f>SUM(D18:G18)</f>
      </c>
      <c r="I18" s="23">
        <f>IF(H18=0,"-",D18/H18)</f>
      </c>
      <c r="J18" s="21">
        <f>COUNTIFS(Responses!$D:$D,$A18,Responses!$J:$J,"Comment required")</f>
      </c>
    </row>
    <row r="19" spans="1:10" x14ac:dyDescent="0.25">
      <c r="A19" s="22" t="s">
        <v>311</v>
      </c>
      <c r="B19" s="22" t="s">
        <v>313</v>
      </c>
      <c r="C19" s="22">
        <f>COUNTIF('Test Cases'!$C:$C,$B19)</f>
      </c>
      <c r="D19" s="22">
        <f>COUNTIFS(Responses!$E:$E,$B19,Responses!$H:$H,Lists!$B$2)</f>
      </c>
      <c r="E19" s="22">
        <f>COUNTIFS(Responses!$E:$E,$B19,Responses!$H:$H,Lists!$B$3)</f>
      </c>
      <c r="F19" s="22">
        <f>COUNTIFS(Responses!$E:$E,$B19,Responses!$H:$H,Lists!$B$4)</f>
      </c>
      <c r="G19" s="22">
        <f>COUNTIFS(Responses!$E:$E,$B19,Responses!$H:$H,Lists!$B$5)</f>
      </c>
      <c r="H19" s="22">
        <f>SUM(D19:G19)</f>
      </c>
      <c r="I19" s="23">
        <f>IF(H19=0,"-",D19/H19)</f>
      </c>
      <c r="J19" s="22">
        <f>COUNTIFS(Responses!$E:$E,$B19,Responses!$J:$J,"Comment required")</f>
      </c>
    </row>
    <row r="20" spans="1:10" x14ac:dyDescent="0.25">
      <c r="A20" s="22" t="s">
        <v>311</v>
      </c>
      <c r="B20" s="22" t="s">
        <v>336</v>
      </c>
      <c r="C20" s="22">
        <f>COUNTIF('Test Cases'!$C:$C,$B20)</f>
      </c>
      <c r="D20" s="22">
        <f>COUNTIFS(Responses!$E:$E,$B20,Responses!$H:$H,Lists!$B$2)</f>
      </c>
      <c r="E20" s="22">
        <f>COUNTIFS(Responses!$E:$E,$B20,Responses!$H:$H,Lists!$B$3)</f>
      </c>
      <c r="F20" s="22">
        <f>COUNTIFS(Responses!$E:$E,$B20,Responses!$H:$H,Lists!$B$4)</f>
      </c>
      <c r="G20" s="22">
        <f>COUNTIFS(Responses!$E:$E,$B20,Responses!$H:$H,Lists!$B$5)</f>
      </c>
      <c r="H20" s="22">
        <f>SUM(D20:G20)</f>
      </c>
      <c r="I20" s="23">
        <f>IF(H20=0,"-",D20/H20)</f>
      </c>
      <c r="J20" s="22">
        <f>COUNTIFS(Responses!$E:$E,$B20,Responses!$J:$J,"Comment required")</f>
      </c>
    </row>
    <row r="21" spans="1:10" x14ac:dyDescent="0.25">
      <c r="A21" s="22" t="s">
        <v>311</v>
      </c>
      <c r="B21" s="22" t="s">
        <v>357</v>
      </c>
      <c r="C21" s="22">
        <f>COUNTIF('Test Cases'!$C:$C,$B21)</f>
      </c>
      <c r="D21" s="22">
        <f>COUNTIFS(Responses!$E:$E,$B21,Responses!$H:$H,Lists!$B$2)</f>
      </c>
      <c r="E21" s="22">
        <f>COUNTIFS(Responses!$E:$E,$B21,Responses!$H:$H,Lists!$B$3)</f>
      </c>
      <c r="F21" s="22">
        <f>COUNTIFS(Responses!$E:$E,$B21,Responses!$H:$H,Lists!$B$4)</f>
      </c>
      <c r="G21" s="22">
        <f>COUNTIFS(Responses!$E:$E,$B21,Responses!$H:$H,Lists!$B$5)</f>
      </c>
      <c r="H21" s="22">
        <f>SUM(D21:G21)</f>
      </c>
      <c r="I21" s="23">
        <f>IF(H21=0,"-",D21/H21)</f>
      </c>
      <c r="J21" s="22">
        <f>COUNTIFS(Responses!$E:$E,$B21,Responses!$J:$J,"Comment required")</f>
      </c>
    </row>
    <row r="22" spans="1:10" x14ac:dyDescent="0.25">
      <c r="A22" s="22" t="s">
        <v>311</v>
      </c>
      <c r="B22" s="22" t="s">
        <v>371</v>
      </c>
      <c r="C22" s="22">
        <f>COUNTIF('Test Cases'!$C:$C,$B22)</f>
      </c>
      <c r="D22" s="22">
        <f>COUNTIFS(Responses!$E:$E,$B22,Responses!$H:$H,Lists!$B$2)</f>
      </c>
      <c r="E22" s="22">
        <f>COUNTIFS(Responses!$E:$E,$B22,Responses!$H:$H,Lists!$B$3)</f>
      </c>
      <c r="F22" s="22">
        <f>COUNTIFS(Responses!$E:$E,$B22,Responses!$H:$H,Lists!$B$4)</f>
      </c>
      <c r="G22" s="22">
        <f>COUNTIFS(Responses!$E:$E,$B22,Responses!$H:$H,Lists!$B$5)</f>
      </c>
      <c r="H22" s="22">
        <f>SUM(D22:G22)</f>
      </c>
      <c r="I22" s="23">
        <f>IF(H22=0,"-",D22/H22)</f>
      </c>
      <c r="J22" s="22">
        <f>COUNTIFS(Responses!$E:$E,$B22,Responses!$J:$J,"Comment required")</f>
      </c>
    </row>
    <row r="23" spans="1:10" x14ac:dyDescent="0.25">
      <c r="A23" s="22" t="s">
        <v>311</v>
      </c>
      <c r="B23" s="22" t="s">
        <v>394</v>
      </c>
      <c r="C23" s="22">
        <f>COUNTIF('Test Cases'!$C:$C,$B23)</f>
      </c>
      <c r="D23" s="22">
        <f>COUNTIFS(Responses!$E:$E,$B23,Responses!$H:$H,Lists!$B$2)</f>
      </c>
      <c r="E23" s="22">
        <f>COUNTIFS(Responses!$E:$E,$B23,Responses!$H:$H,Lists!$B$3)</f>
      </c>
      <c r="F23" s="22">
        <f>COUNTIFS(Responses!$E:$E,$B23,Responses!$H:$H,Lists!$B$4)</f>
      </c>
      <c r="G23" s="22">
        <f>COUNTIFS(Responses!$E:$E,$B23,Responses!$H:$H,Lists!$B$5)</f>
      </c>
      <c r="H23" s="22">
        <f>SUM(D23:G23)</f>
      </c>
      <c r="I23" s="23">
        <f>IF(H23=0,"-",D23/H23)</f>
      </c>
      <c r="J23" s="22">
        <f>COUNTIFS(Responses!$E:$E,$B23,Responses!$J:$J,"Comment required")</f>
      </c>
    </row>
    <row r="24" spans="1:10" x14ac:dyDescent="0.25">
      <c r="A24" s="22" t="s">
        <v>311</v>
      </c>
      <c r="B24" s="22" t="s">
        <v>421</v>
      </c>
      <c r="C24" s="22">
        <f>COUNTIF('Test Cases'!$C:$C,$B24)</f>
      </c>
      <c r="D24" s="22">
        <f>COUNTIFS(Responses!$E:$E,$B24,Responses!$H:$H,Lists!$B$2)</f>
      </c>
      <c r="E24" s="22">
        <f>COUNTIFS(Responses!$E:$E,$B24,Responses!$H:$H,Lists!$B$3)</f>
      </c>
      <c r="F24" s="22">
        <f>COUNTIFS(Responses!$E:$E,$B24,Responses!$H:$H,Lists!$B$4)</f>
      </c>
      <c r="G24" s="22">
        <f>COUNTIFS(Responses!$E:$E,$B24,Responses!$H:$H,Lists!$B$5)</f>
      </c>
      <c r="H24" s="22">
        <f>SUM(D24:G24)</f>
      </c>
      <c r="I24" s="23">
        <f>IF(H24=0,"-",D24/H24)</f>
      </c>
      <c r="J24" s="22">
        <f>COUNTIFS(Responses!$E:$E,$B24,Responses!$J:$J,"Comment required")</f>
      </c>
    </row>
    <row r="25" spans="1:10" x14ac:dyDescent="0.25">
      <c r="A25" s="22" t="s">
        <v>311</v>
      </c>
      <c r="B25" s="22" t="s">
        <v>436</v>
      </c>
      <c r="C25" s="22">
        <f>COUNTIF('Test Cases'!$C:$C,$B25)</f>
      </c>
      <c r="D25" s="22">
        <f>COUNTIFS(Responses!$E:$E,$B25,Responses!$H:$H,Lists!$B$2)</f>
      </c>
      <c r="E25" s="22">
        <f>COUNTIFS(Responses!$E:$E,$B25,Responses!$H:$H,Lists!$B$3)</f>
      </c>
      <c r="F25" s="22">
        <f>COUNTIFS(Responses!$E:$E,$B25,Responses!$H:$H,Lists!$B$4)</f>
      </c>
      <c r="G25" s="22">
        <f>COUNTIFS(Responses!$E:$E,$B25,Responses!$H:$H,Lists!$B$5)</f>
      </c>
      <c r="H25" s="22">
        <f>SUM(D25:G25)</f>
      </c>
      <c r="I25" s="23">
        <f>IF(H25=0,"-",D25/H25)</f>
      </c>
      <c r="J25" s="22">
        <f>COUNTIFS(Responses!$E:$E,$B25,Responses!$J:$J,"Comment required")</f>
      </c>
    </row>
    <row r="26" spans="1:10" x14ac:dyDescent="0.25">
      <c r="A26" s="21" t="s">
        <v>445</v>
      </c>
      <c r="B26" s="21" t="s">
        <v>1005</v>
      </c>
      <c r="C26" s="21">
        <f>COUNTIF('Test Cases'!$A:$A,$A26)</f>
      </c>
      <c r="D26" s="21">
        <f>COUNTIFS(Responses!$D:$D,$A26,Responses!$H:$H,Lists!$B$2)</f>
      </c>
      <c r="E26" s="21">
        <f>COUNTIFS(Responses!$D:$D,$A26,Responses!$H:$H,Lists!$B$3)</f>
      </c>
      <c r="F26" s="21">
        <f>COUNTIFS(Responses!$D:$D,$A26,Responses!$H:$H,Lists!$B$4)</f>
      </c>
      <c r="G26" s="21">
        <f>COUNTIFS(Responses!$D:$D,$A26,Responses!$H:$H,Lists!$B$5)</f>
      </c>
      <c r="H26" s="22">
        <f>SUM(D26:G26)</f>
      </c>
      <c r="I26" s="23">
        <f>IF(H26=0,"-",D26/H26)</f>
      </c>
      <c r="J26" s="21">
        <f>COUNTIFS(Responses!$D:$D,$A26,Responses!$J:$J,"Comment required")</f>
      </c>
    </row>
    <row r="27" spans="1:10" x14ac:dyDescent="0.25">
      <c r="A27" s="22" t="s">
        <v>445</v>
      </c>
      <c r="B27" s="22" t="s">
        <v>447</v>
      </c>
      <c r="C27" s="22">
        <f>COUNTIF('Test Cases'!$C:$C,$B27)</f>
      </c>
      <c r="D27" s="22">
        <f>COUNTIFS(Responses!$E:$E,$B27,Responses!$H:$H,Lists!$B$2)</f>
      </c>
      <c r="E27" s="22">
        <f>COUNTIFS(Responses!$E:$E,$B27,Responses!$H:$H,Lists!$B$3)</f>
      </c>
      <c r="F27" s="22">
        <f>COUNTIFS(Responses!$E:$E,$B27,Responses!$H:$H,Lists!$B$4)</f>
      </c>
      <c r="G27" s="22">
        <f>COUNTIFS(Responses!$E:$E,$B27,Responses!$H:$H,Lists!$B$5)</f>
      </c>
      <c r="H27" s="22">
        <f>SUM(D27:G27)</f>
      </c>
      <c r="I27" s="23">
        <f>IF(H27=0,"-",D27/H27)</f>
      </c>
      <c r="J27" s="22">
        <f>COUNTIFS(Responses!$E:$E,$B27,Responses!$J:$J,"Comment required")</f>
      </c>
    </row>
    <row r="28" spans="1:10" x14ac:dyDescent="0.25">
      <c r="A28" s="22" t="s">
        <v>445</v>
      </c>
      <c r="B28" s="22" t="s">
        <v>470</v>
      </c>
      <c r="C28" s="22">
        <f>COUNTIF('Test Cases'!$C:$C,$B28)</f>
      </c>
      <c r="D28" s="22">
        <f>COUNTIFS(Responses!$E:$E,$B28,Responses!$H:$H,Lists!$B$2)</f>
      </c>
      <c r="E28" s="22">
        <f>COUNTIFS(Responses!$E:$E,$B28,Responses!$H:$H,Lists!$B$3)</f>
      </c>
      <c r="F28" s="22">
        <f>COUNTIFS(Responses!$E:$E,$B28,Responses!$H:$H,Lists!$B$4)</f>
      </c>
      <c r="G28" s="22">
        <f>COUNTIFS(Responses!$E:$E,$B28,Responses!$H:$H,Lists!$B$5)</f>
      </c>
      <c r="H28" s="22">
        <f>SUM(D28:G28)</f>
      </c>
      <c r="I28" s="23">
        <f>IF(H28=0,"-",D28/H28)</f>
      </c>
      <c r="J28" s="22">
        <f>COUNTIFS(Responses!$E:$E,$B28,Responses!$J:$J,"Comment required")</f>
      </c>
    </row>
    <row r="29" spans="1:10" x14ac:dyDescent="0.25">
      <c r="A29" s="22" t="s">
        <v>445</v>
      </c>
      <c r="B29" s="22" t="s">
        <v>481</v>
      </c>
      <c r="C29" s="22">
        <f>COUNTIF('Test Cases'!$C:$C,$B29)</f>
      </c>
      <c r="D29" s="22">
        <f>COUNTIFS(Responses!$E:$E,$B29,Responses!$H:$H,Lists!$B$2)</f>
      </c>
      <c r="E29" s="22">
        <f>COUNTIFS(Responses!$E:$E,$B29,Responses!$H:$H,Lists!$B$3)</f>
      </c>
      <c r="F29" s="22">
        <f>COUNTIFS(Responses!$E:$E,$B29,Responses!$H:$H,Lists!$B$4)</f>
      </c>
      <c r="G29" s="22">
        <f>COUNTIFS(Responses!$E:$E,$B29,Responses!$H:$H,Lists!$B$5)</f>
      </c>
      <c r="H29" s="22">
        <f>SUM(D29:G29)</f>
      </c>
      <c r="I29" s="23">
        <f>IF(H29=0,"-",D29/H29)</f>
      </c>
      <c r="J29" s="22">
        <f>COUNTIFS(Responses!$E:$E,$B29,Responses!$J:$J,"Comment required")</f>
      </c>
    </row>
    <row r="30" spans="1:10" x14ac:dyDescent="0.25">
      <c r="A30" s="22" t="s">
        <v>445</v>
      </c>
      <c r="B30" s="22" t="s">
        <v>496</v>
      </c>
      <c r="C30" s="22">
        <f>COUNTIF('Test Cases'!$C:$C,$B30)</f>
      </c>
      <c r="D30" s="22">
        <f>COUNTIFS(Responses!$E:$E,$B30,Responses!$H:$H,Lists!$B$2)</f>
      </c>
      <c r="E30" s="22">
        <f>COUNTIFS(Responses!$E:$E,$B30,Responses!$H:$H,Lists!$B$3)</f>
      </c>
      <c r="F30" s="22">
        <f>COUNTIFS(Responses!$E:$E,$B30,Responses!$H:$H,Lists!$B$4)</f>
      </c>
      <c r="G30" s="22">
        <f>COUNTIFS(Responses!$E:$E,$B30,Responses!$H:$H,Lists!$B$5)</f>
      </c>
      <c r="H30" s="22">
        <f>SUM(D30:G30)</f>
      </c>
      <c r="I30" s="23">
        <f>IF(H30=0,"-",D30/H30)</f>
      </c>
      <c r="J30" s="22">
        <f>COUNTIFS(Responses!$E:$E,$B30,Responses!$J:$J,"Comment required")</f>
      </c>
    </row>
    <row r="31" spans="1:10" x14ac:dyDescent="0.25">
      <c r="A31" s="22" t="s">
        <v>445</v>
      </c>
      <c r="B31" s="22" t="s">
        <v>510</v>
      </c>
      <c r="C31" s="22">
        <f>COUNTIF('Test Cases'!$C:$C,$B31)</f>
      </c>
      <c r="D31" s="22">
        <f>COUNTIFS(Responses!$E:$E,$B31,Responses!$H:$H,Lists!$B$2)</f>
      </c>
      <c r="E31" s="22">
        <f>COUNTIFS(Responses!$E:$E,$B31,Responses!$H:$H,Lists!$B$3)</f>
      </c>
      <c r="F31" s="22">
        <f>COUNTIFS(Responses!$E:$E,$B31,Responses!$H:$H,Lists!$B$4)</f>
      </c>
      <c r="G31" s="22">
        <f>COUNTIFS(Responses!$E:$E,$B31,Responses!$H:$H,Lists!$B$5)</f>
      </c>
      <c r="H31" s="22">
        <f>SUM(D31:G31)</f>
      </c>
      <c r="I31" s="23">
        <f>IF(H31=0,"-",D31/H31)</f>
      </c>
      <c r="J31" s="22">
        <f>COUNTIFS(Responses!$E:$E,$B31,Responses!$J:$J,"Comment required")</f>
      </c>
    </row>
    <row r="32" spans="1:10" x14ac:dyDescent="0.25">
      <c r="A32" s="21" t="s">
        <v>528</v>
      </c>
      <c r="B32" s="21" t="s">
        <v>1006</v>
      </c>
      <c r="C32" s="21">
        <f>COUNTIF('Test Cases'!$A:$A,$A32)</f>
      </c>
      <c r="D32" s="21">
        <f>COUNTIFS(Responses!$D:$D,$A32,Responses!$H:$H,Lists!$B$2)</f>
      </c>
      <c r="E32" s="21">
        <f>COUNTIFS(Responses!$D:$D,$A32,Responses!$H:$H,Lists!$B$3)</f>
      </c>
      <c r="F32" s="21">
        <f>COUNTIFS(Responses!$D:$D,$A32,Responses!$H:$H,Lists!$B$4)</f>
      </c>
      <c r="G32" s="21">
        <f>COUNTIFS(Responses!$D:$D,$A32,Responses!$H:$H,Lists!$B$5)</f>
      </c>
      <c r="H32" s="22">
        <f>SUM(D32:G32)</f>
      </c>
      <c r="I32" s="23">
        <f>IF(H32=0,"-",D32/H32)</f>
      </c>
      <c r="J32" s="21">
        <f>COUNTIFS(Responses!$D:$D,$A32,Responses!$J:$J,"Comment required")</f>
      </c>
    </row>
    <row r="33" spans="1:10" x14ac:dyDescent="0.25">
      <c r="A33" s="22" t="s">
        <v>528</v>
      </c>
      <c r="B33" s="22" t="s">
        <v>530</v>
      </c>
      <c r="C33" s="22">
        <f>COUNTIF('Test Cases'!$C:$C,$B33)</f>
      </c>
      <c r="D33" s="22">
        <f>COUNTIFS(Responses!$E:$E,$B33,Responses!$H:$H,Lists!$B$2)</f>
      </c>
      <c r="E33" s="22">
        <f>COUNTIFS(Responses!$E:$E,$B33,Responses!$H:$H,Lists!$B$3)</f>
      </c>
      <c r="F33" s="22">
        <f>COUNTIFS(Responses!$E:$E,$B33,Responses!$H:$H,Lists!$B$4)</f>
      </c>
      <c r="G33" s="22">
        <f>COUNTIFS(Responses!$E:$E,$B33,Responses!$H:$H,Lists!$B$5)</f>
      </c>
      <c r="H33" s="22">
        <f>SUM(D33:G33)</f>
      </c>
      <c r="I33" s="23">
        <f>IF(H33=0,"-",D33/H33)</f>
      </c>
      <c r="J33" s="22">
        <f>COUNTIFS(Responses!$E:$E,$B33,Responses!$J:$J,"Comment required")</f>
      </c>
    </row>
    <row r="34" spans="1:10" x14ac:dyDescent="0.25">
      <c r="A34" s="22" t="s">
        <v>528</v>
      </c>
      <c r="B34" s="22" t="s">
        <v>546</v>
      </c>
      <c r="C34" s="22">
        <f>COUNTIF('Test Cases'!$C:$C,$B34)</f>
      </c>
      <c r="D34" s="22">
        <f>COUNTIFS(Responses!$E:$E,$B34,Responses!$H:$H,Lists!$B$2)</f>
      </c>
      <c r="E34" s="22">
        <f>COUNTIFS(Responses!$E:$E,$B34,Responses!$H:$H,Lists!$B$3)</f>
      </c>
      <c r="F34" s="22">
        <f>COUNTIFS(Responses!$E:$E,$B34,Responses!$H:$H,Lists!$B$4)</f>
      </c>
      <c r="G34" s="22">
        <f>COUNTIFS(Responses!$E:$E,$B34,Responses!$H:$H,Lists!$B$5)</f>
      </c>
      <c r="H34" s="22">
        <f>SUM(D34:G34)</f>
      </c>
      <c r="I34" s="23">
        <f>IF(H34=0,"-",D34/H34)</f>
      </c>
      <c r="J34" s="22">
        <f>COUNTIFS(Responses!$E:$E,$B34,Responses!$J:$J,"Comment required")</f>
      </c>
    </row>
    <row r="35" spans="1:10" x14ac:dyDescent="0.25">
      <c r="A35" s="22" t="s">
        <v>528</v>
      </c>
      <c r="B35" s="22" t="s">
        <v>561</v>
      </c>
      <c r="C35" s="22">
        <f>COUNTIF('Test Cases'!$C:$C,$B35)</f>
      </c>
      <c r="D35" s="22">
        <f>COUNTIFS(Responses!$E:$E,$B35,Responses!$H:$H,Lists!$B$2)</f>
      </c>
      <c r="E35" s="22">
        <f>COUNTIFS(Responses!$E:$E,$B35,Responses!$H:$H,Lists!$B$3)</f>
      </c>
      <c r="F35" s="22">
        <f>COUNTIFS(Responses!$E:$E,$B35,Responses!$H:$H,Lists!$B$4)</f>
      </c>
      <c r="G35" s="22">
        <f>COUNTIFS(Responses!$E:$E,$B35,Responses!$H:$H,Lists!$B$5)</f>
      </c>
      <c r="H35" s="22">
        <f>SUM(D35:G35)</f>
      </c>
      <c r="I35" s="23">
        <f>IF(H35=0,"-",D35/H35)</f>
      </c>
      <c r="J35" s="22">
        <f>COUNTIFS(Responses!$E:$E,$B35,Responses!$J:$J,"Comment required")</f>
      </c>
    </row>
    <row r="36" spans="1:10" x14ac:dyDescent="0.25">
      <c r="A36" s="22" t="s">
        <v>528</v>
      </c>
      <c r="B36" s="22" t="s">
        <v>588</v>
      </c>
      <c r="C36" s="22">
        <f>COUNTIF('Test Cases'!$C:$C,$B36)</f>
      </c>
      <c r="D36" s="22">
        <f>COUNTIFS(Responses!$E:$E,$B36,Responses!$H:$H,Lists!$B$2)</f>
      </c>
      <c r="E36" s="22">
        <f>COUNTIFS(Responses!$E:$E,$B36,Responses!$H:$H,Lists!$B$3)</f>
      </c>
      <c r="F36" s="22">
        <f>COUNTIFS(Responses!$E:$E,$B36,Responses!$H:$H,Lists!$B$4)</f>
      </c>
      <c r="G36" s="22">
        <f>COUNTIFS(Responses!$E:$E,$B36,Responses!$H:$H,Lists!$B$5)</f>
      </c>
      <c r="H36" s="22">
        <f>SUM(D36:G36)</f>
      </c>
      <c r="I36" s="23">
        <f>IF(H36=0,"-",D36/H36)</f>
      </c>
      <c r="J36" s="22">
        <f>COUNTIFS(Responses!$E:$E,$B36,Responses!$J:$J,"Comment required")</f>
      </c>
    </row>
    <row r="37" spans="1:10" x14ac:dyDescent="0.25">
      <c r="A37" s="22" t="s">
        <v>528</v>
      </c>
      <c r="B37" s="22" t="s">
        <v>602</v>
      </c>
      <c r="C37" s="22">
        <f>COUNTIF('Test Cases'!$C:$C,$B37)</f>
      </c>
      <c r="D37" s="22">
        <f>COUNTIFS(Responses!$E:$E,$B37,Responses!$H:$H,Lists!$B$2)</f>
      </c>
      <c r="E37" s="22">
        <f>COUNTIFS(Responses!$E:$E,$B37,Responses!$H:$H,Lists!$B$3)</f>
      </c>
      <c r="F37" s="22">
        <f>COUNTIFS(Responses!$E:$E,$B37,Responses!$H:$H,Lists!$B$4)</f>
      </c>
      <c r="G37" s="22">
        <f>COUNTIFS(Responses!$E:$E,$B37,Responses!$H:$H,Lists!$B$5)</f>
      </c>
      <c r="H37" s="22">
        <f>SUM(D37:G37)</f>
      </c>
      <c r="I37" s="23">
        <f>IF(H37=0,"-",D37/H37)</f>
      </c>
      <c r="J37" s="22">
        <f>COUNTIFS(Responses!$E:$E,$B37,Responses!$J:$J,"Comment required")</f>
      </c>
    </row>
    <row r="38" spans="1:10" x14ac:dyDescent="0.25">
      <c r="A38" s="22" t="s">
        <v>528</v>
      </c>
      <c r="B38" s="22" t="s">
        <v>617</v>
      </c>
      <c r="C38" s="22">
        <f>COUNTIF('Test Cases'!$C:$C,$B38)</f>
      </c>
      <c r="D38" s="22">
        <f>COUNTIFS(Responses!$E:$E,$B38,Responses!$H:$H,Lists!$B$2)</f>
      </c>
      <c r="E38" s="22">
        <f>COUNTIFS(Responses!$E:$E,$B38,Responses!$H:$H,Lists!$B$3)</f>
      </c>
      <c r="F38" s="22">
        <f>COUNTIFS(Responses!$E:$E,$B38,Responses!$H:$H,Lists!$B$4)</f>
      </c>
      <c r="G38" s="22">
        <f>COUNTIFS(Responses!$E:$E,$B38,Responses!$H:$H,Lists!$B$5)</f>
      </c>
      <c r="H38" s="22">
        <f>SUM(D38:G38)</f>
      </c>
      <c r="I38" s="23">
        <f>IF(H38=0,"-",D38/H38)</f>
      </c>
      <c r="J38" s="22">
        <f>COUNTIFS(Responses!$E:$E,$B38,Responses!$J:$J,"Comment required")</f>
      </c>
    </row>
    <row r="39" spans="1:10" x14ac:dyDescent="0.25">
      <c r="A39" s="22" t="s">
        <v>528</v>
      </c>
      <c r="B39" s="22" t="s">
        <v>640</v>
      </c>
      <c r="C39" s="22">
        <f>COUNTIF('Test Cases'!$C:$C,$B39)</f>
      </c>
      <c r="D39" s="22">
        <f>COUNTIFS(Responses!$E:$E,$B39,Responses!$H:$H,Lists!$B$2)</f>
      </c>
      <c r="E39" s="22">
        <f>COUNTIFS(Responses!$E:$E,$B39,Responses!$H:$H,Lists!$B$3)</f>
      </c>
      <c r="F39" s="22">
        <f>COUNTIFS(Responses!$E:$E,$B39,Responses!$H:$H,Lists!$B$4)</f>
      </c>
      <c r="G39" s="22">
        <f>COUNTIFS(Responses!$E:$E,$B39,Responses!$H:$H,Lists!$B$5)</f>
      </c>
      <c r="H39" s="22">
        <f>SUM(D39:G39)</f>
      </c>
      <c r="I39" s="23">
        <f>IF(H39=0,"-",D39/H39)</f>
      </c>
      <c r="J39" s="22">
        <f>COUNTIFS(Responses!$E:$E,$B39,Responses!$J:$J,"Comment required")</f>
      </c>
    </row>
    <row r="40" spans="1:10" x14ac:dyDescent="0.25">
      <c r="A40" s="22" t="s">
        <v>528</v>
      </c>
      <c r="B40" s="22" t="s">
        <v>663</v>
      </c>
      <c r="C40" s="22">
        <f>COUNTIF('Test Cases'!$C:$C,$B40)</f>
      </c>
      <c r="D40" s="22">
        <f>COUNTIFS(Responses!$E:$E,$B40,Responses!$H:$H,Lists!$B$2)</f>
      </c>
      <c r="E40" s="22">
        <f>COUNTIFS(Responses!$E:$E,$B40,Responses!$H:$H,Lists!$B$3)</f>
      </c>
      <c r="F40" s="22">
        <f>COUNTIFS(Responses!$E:$E,$B40,Responses!$H:$H,Lists!$B$4)</f>
      </c>
      <c r="G40" s="22">
        <f>COUNTIFS(Responses!$E:$E,$B40,Responses!$H:$H,Lists!$B$5)</f>
      </c>
      <c r="H40" s="22">
        <f>SUM(D40:G40)</f>
      </c>
      <c r="I40" s="23">
        <f>IF(H40=0,"-",D40/H40)</f>
      </c>
      <c r="J40" s="22">
        <f>COUNTIFS(Responses!$E:$E,$B40,Responses!$J:$J,"Comment required")</f>
      </c>
    </row>
    <row r="41" spans="1:10" x14ac:dyDescent="0.25">
      <c r="A41" s="22" t="s">
        <v>528</v>
      </c>
      <c r="B41" s="22" t="s">
        <v>690</v>
      </c>
      <c r="C41" s="22">
        <f>COUNTIF('Test Cases'!$C:$C,$B41)</f>
      </c>
      <c r="D41" s="22">
        <f>COUNTIFS(Responses!$E:$E,$B41,Responses!$H:$H,Lists!$B$2)</f>
      </c>
      <c r="E41" s="22">
        <f>COUNTIFS(Responses!$E:$E,$B41,Responses!$H:$H,Lists!$B$3)</f>
      </c>
      <c r="F41" s="22">
        <f>COUNTIFS(Responses!$E:$E,$B41,Responses!$H:$H,Lists!$B$4)</f>
      </c>
      <c r="G41" s="22">
        <f>COUNTIFS(Responses!$E:$E,$B41,Responses!$H:$H,Lists!$B$5)</f>
      </c>
      <c r="H41" s="22">
        <f>SUM(D41:G41)</f>
      </c>
      <c r="I41" s="23">
        <f>IF(H41=0,"-",D41/H41)</f>
      </c>
      <c r="J41" s="22">
        <f>COUNTIFS(Responses!$E:$E,$B41,Responses!$J:$J,"Comment required")</f>
      </c>
    </row>
    <row r="42" spans="1:10" x14ac:dyDescent="0.25">
      <c r="A42" s="22" t="s">
        <v>528</v>
      </c>
      <c r="B42" s="22" t="s">
        <v>709</v>
      </c>
      <c r="C42" s="22">
        <f>COUNTIF('Test Cases'!$C:$C,$B42)</f>
      </c>
      <c r="D42" s="22">
        <f>COUNTIFS(Responses!$E:$E,$B42,Responses!$H:$H,Lists!$B$2)</f>
      </c>
      <c r="E42" s="22">
        <f>COUNTIFS(Responses!$E:$E,$B42,Responses!$H:$H,Lists!$B$3)</f>
      </c>
      <c r="F42" s="22">
        <f>COUNTIFS(Responses!$E:$E,$B42,Responses!$H:$H,Lists!$B$4)</f>
      </c>
      <c r="G42" s="22">
        <f>COUNTIFS(Responses!$E:$E,$B42,Responses!$H:$H,Lists!$B$5)</f>
      </c>
      <c r="H42" s="22">
        <f>SUM(D42:G42)</f>
      </c>
      <c r="I42" s="23">
        <f>IF(H42=0,"-",D42/H42)</f>
      </c>
      <c r="J42" s="22">
        <f>COUNTIFS(Responses!$E:$E,$B42,Responses!$J:$J,"Comment required")</f>
      </c>
    </row>
    <row r="43" spans="1:10" x14ac:dyDescent="0.25">
      <c r="A43" s="22" t="s">
        <v>528</v>
      </c>
      <c r="B43" s="22" t="s">
        <v>732</v>
      </c>
      <c r="C43" s="22">
        <f>COUNTIF('Test Cases'!$C:$C,$B43)</f>
      </c>
      <c r="D43" s="22">
        <f>COUNTIFS(Responses!$E:$E,$B43,Responses!$H:$H,Lists!$B$2)</f>
      </c>
      <c r="E43" s="22">
        <f>COUNTIFS(Responses!$E:$E,$B43,Responses!$H:$H,Lists!$B$3)</f>
      </c>
      <c r="F43" s="22">
        <f>COUNTIFS(Responses!$E:$E,$B43,Responses!$H:$H,Lists!$B$4)</f>
      </c>
      <c r="G43" s="22">
        <f>COUNTIFS(Responses!$E:$E,$B43,Responses!$H:$H,Lists!$B$5)</f>
      </c>
      <c r="H43" s="22">
        <f>SUM(D43:G43)</f>
      </c>
      <c r="I43" s="23">
        <f>IF(H43=0,"-",D43/H43)</f>
      </c>
      <c r="J43" s="22">
        <f>COUNTIFS(Responses!$E:$E,$B43,Responses!$J:$J,"Comment required")</f>
      </c>
    </row>
    <row r="44" spans="1:10" x14ac:dyDescent="0.25">
      <c r="A44" s="22" t="s">
        <v>528</v>
      </c>
      <c r="B44" s="22" t="s">
        <v>755</v>
      </c>
      <c r="C44" s="22">
        <f>COUNTIF('Test Cases'!$C:$C,$B44)</f>
      </c>
      <c r="D44" s="22">
        <f>COUNTIFS(Responses!$E:$E,$B44,Responses!$H:$H,Lists!$B$2)</f>
      </c>
      <c r="E44" s="22">
        <f>COUNTIFS(Responses!$E:$E,$B44,Responses!$H:$H,Lists!$B$3)</f>
      </c>
      <c r="F44" s="22">
        <f>COUNTIFS(Responses!$E:$E,$B44,Responses!$H:$H,Lists!$B$4)</f>
      </c>
      <c r="G44" s="22">
        <f>COUNTIFS(Responses!$E:$E,$B44,Responses!$H:$H,Lists!$B$5)</f>
      </c>
      <c r="H44" s="22">
        <f>SUM(D44:G44)</f>
      </c>
      <c r="I44" s="23">
        <f>IF(H44=0,"-",D44/H44)</f>
      </c>
      <c r="J44" s="22">
        <f>COUNTIFS(Responses!$E:$E,$B44,Responses!$J:$J,"Comment required")</f>
      </c>
    </row>
    <row r="45" spans="1:10" x14ac:dyDescent="0.25">
      <c r="A45" s="22" t="s">
        <v>528</v>
      </c>
      <c r="B45" s="22" t="s">
        <v>774</v>
      </c>
      <c r="C45" s="22">
        <f>COUNTIF('Test Cases'!$C:$C,$B45)</f>
      </c>
      <c r="D45" s="22">
        <f>COUNTIFS(Responses!$E:$E,$B45,Responses!$H:$H,Lists!$B$2)</f>
      </c>
      <c r="E45" s="22">
        <f>COUNTIFS(Responses!$E:$E,$B45,Responses!$H:$H,Lists!$B$3)</f>
      </c>
      <c r="F45" s="22">
        <f>COUNTIFS(Responses!$E:$E,$B45,Responses!$H:$H,Lists!$B$4)</f>
      </c>
      <c r="G45" s="22">
        <f>COUNTIFS(Responses!$E:$E,$B45,Responses!$H:$H,Lists!$B$5)</f>
      </c>
      <c r="H45" s="22">
        <f>SUM(D45:G45)</f>
      </c>
      <c r="I45" s="23">
        <f>IF(H45=0,"-",D45/H45)</f>
      </c>
      <c r="J45" s="22">
        <f>COUNTIFS(Responses!$E:$E,$B45,Responses!$J:$J,"Comment required")</f>
      </c>
    </row>
    <row r="46" spans="1:10" x14ac:dyDescent="0.25">
      <c r="A46" s="22" t="s">
        <v>528</v>
      </c>
      <c r="B46" s="22" t="s">
        <v>793</v>
      </c>
      <c r="C46" s="22">
        <f>COUNTIF('Test Cases'!$C:$C,$B46)</f>
      </c>
      <c r="D46" s="22">
        <f>COUNTIFS(Responses!$E:$E,$B46,Responses!$H:$H,Lists!$B$2)</f>
      </c>
      <c r="E46" s="22">
        <f>COUNTIFS(Responses!$E:$E,$B46,Responses!$H:$H,Lists!$B$3)</f>
      </c>
      <c r="F46" s="22">
        <f>COUNTIFS(Responses!$E:$E,$B46,Responses!$H:$H,Lists!$B$4)</f>
      </c>
      <c r="G46" s="22">
        <f>COUNTIFS(Responses!$E:$E,$B46,Responses!$H:$H,Lists!$B$5)</f>
      </c>
      <c r="H46" s="22">
        <f>SUM(D46:G46)</f>
      </c>
      <c r="I46" s="23">
        <f>IF(H46=0,"-",D46/H46)</f>
      </c>
      <c r="J46" s="22">
        <f>COUNTIFS(Responses!$E:$E,$B46,Responses!$J:$J,"Comment required")</f>
      </c>
    </row>
    <row r="47" spans="1:10" x14ac:dyDescent="0.25">
      <c r="A47" s="22" t="s">
        <v>528</v>
      </c>
      <c r="B47" s="22" t="s">
        <v>816</v>
      </c>
      <c r="C47" s="22">
        <f>COUNTIF('Test Cases'!$C:$C,$B47)</f>
      </c>
      <c r="D47" s="22">
        <f>COUNTIFS(Responses!$E:$E,$B47,Responses!$H:$H,Lists!$B$2)</f>
      </c>
      <c r="E47" s="22">
        <f>COUNTIFS(Responses!$E:$E,$B47,Responses!$H:$H,Lists!$B$3)</f>
      </c>
      <c r="F47" s="22">
        <f>COUNTIFS(Responses!$E:$E,$B47,Responses!$H:$H,Lists!$B$4)</f>
      </c>
      <c r="G47" s="22">
        <f>COUNTIFS(Responses!$E:$E,$B47,Responses!$H:$H,Lists!$B$5)</f>
      </c>
      <c r="H47" s="22">
        <f>SUM(D47:G47)</f>
      </c>
      <c r="I47" s="23">
        <f>IF(H47=0,"-",D47/H47)</f>
      </c>
      <c r="J47" s="22">
        <f>COUNTIFS(Responses!$E:$E,$B47,Responses!$J:$J,"Comment required")</f>
      </c>
    </row>
    <row r="48" spans="1:10" x14ac:dyDescent="0.25">
      <c r="A48" s="22" t="s">
        <v>528</v>
      </c>
      <c r="B48" s="22" t="s">
        <v>839</v>
      </c>
      <c r="C48" s="22">
        <f>COUNTIF('Test Cases'!$C:$C,$B48)</f>
      </c>
      <c r="D48" s="22">
        <f>COUNTIFS(Responses!$E:$E,$B48,Responses!$H:$H,Lists!$B$2)</f>
      </c>
      <c r="E48" s="22">
        <f>COUNTIFS(Responses!$E:$E,$B48,Responses!$H:$H,Lists!$B$3)</f>
      </c>
      <c r="F48" s="22">
        <f>COUNTIFS(Responses!$E:$E,$B48,Responses!$H:$H,Lists!$B$4)</f>
      </c>
      <c r="G48" s="22">
        <f>COUNTIFS(Responses!$E:$E,$B48,Responses!$H:$H,Lists!$B$5)</f>
      </c>
      <c r="H48" s="22">
        <f>SUM(D48:G48)</f>
      </c>
      <c r="I48" s="23">
        <f>IF(H48=0,"-",D48/H48)</f>
      </c>
      <c r="J48" s="22">
        <f>COUNTIFS(Responses!$E:$E,$B48,Responses!$J:$J,"Comment required")</f>
      </c>
    </row>
    <row r="49" spans="1:10" x14ac:dyDescent="0.25">
      <c r="A49" s="22" t="s">
        <v>528</v>
      </c>
      <c r="B49" s="22" t="s">
        <v>850</v>
      </c>
      <c r="C49" s="22">
        <f>COUNTIF('Test Cases'!$C:$C,$B49)</f>
      </c>
      <c r="D49" s="22">
        <f>COUNTIFS(Responses!$E:$E,$B49,Responses!$H:$H,Lists!$B$2)</f>
      </c>
      <c r="E49" s="22">
        <f>COUNTIFS(Responses!$E:$E,$B49,Responses!$H:$H,Lists!$B$3)</f>
      </c>
      <c r="F49" s="22">
        <f>COUNTIFS(Responses!$E:$E,$B49,Responses!$H:$H,Lists!$B$4)</f>
      </c>
      <c r="G49" s="22">
        <f>COUNTIFS(Responses!$E:$E,$B49,Responses!$H:$H,Lists!$B$5)</f>
      </c>
      <c r="H49" s="22">
        <f>SUM(D49:G49)</f>
      </c>
      <c r="I49" s="23">
        <f>IF(H49=0,"-",D49/H49)</f>
      </c>
      <c r="J49" s="22">
        <f>COUNTIFS(Responses!$E:$E,$B49,Responses!$J:$J,"Comment required")</f>
      </c>
    </row>
    <row r="50" spans="1:10" x14ac:dyDescent="0.25">
      <c r="A50" s="22" t="s">
        <v>528</v>
      </c>
      <c r="B50" s="22" t="s">
        <v>861</v>
      </c>
      <c r="C50" s="22">
        <f>COUNTIF('Test Cases'!$C:$C,$B50)</f>
      </c>
      <c r="D50" s="22">
        <f>COUNTIFS(Responses!$E:$E,$B50,Responses!$H:$H,Lists!$B$2)</f>
      </c>
      <c r="E50" s="22">
        <f>COUNTIFS(Responses!$E:$E,$B50,Responses!$H:$H,Lists!$B$3)</f>
      </c>
      <c r="F50" s="22">
        <f>COUNTIFS(Responses!$E:$E,$B50,Responses!$H:$H,Lists!$B$4)</f>
      </c>
      <c r="G50" s="22">
        <f>COUNTIFS(Responses!$E:$E,$B50,Responses!$H:$H,Lists!$B$5)</f>
      </c>
      <c r="H50" s="22">
        <f>SUM(D50:G50)</f>
      </c>
      <c r="I50" s="23">
        <f>IF(H50=0,"-",D50/H50)</f>
      </c>
      <c r="J50" s="22">
        <f>COUNTIFS(Responses!$E:$E,$B50,Responses!$J:$J,"Comment required")</f>
      </c>
    </row>
    <row r="51" spans="1:10" x14ac:dyDescent="0.25">
      <c r="A51" s="22" t="s">
        <v>528</v>
      </c>
      <c r="B51" s="22" t="s">
        <v>872</v>
      </c>
      <c r="C51" s="22">
        <f>COUNTIF('Test Cases'!$C:$C,$B51)</f>
      </c>
      <c r="D51" s="22">
        <f>COUNTIFS(Responses!$E:$E,$B51,Responses!$H:$H,Lists!$B$2)</f>
      </c>
      <c r="E51" s="22">
        <f>COUNTIFS(Responses!$E:$E,$B51,Responses!$H:$H,Lists!$B$3)</f>
      </c>
      <c r="F51" s="22">
        <f>COUNTIFS(Responses!$E:$E,$B51,Responses!$H:$H,Lists!$B$4)</f>
      </c>
      <c r="G51" s="22">
        <f>COUNTIFS(Responses!$E:$E,$B51,Responses!$H:$H,Lists!$B$5)</f>
      </c>
      <c r="H51" s="22">
        <f>SUM(D51:G51)</f>
      </c>
      <c r="I51" s="23">
        <f>IF(H51=0,"-",D51/H51)</f>
      </c>
      <c r="J51" s="22">
        <f>COUNTIFS(Responses!$E:$E,$B51,Responses!$J:$J,"Comment required")</f>
      </c>
    </row>
    <row r="52" spans="1:10" x14ac:dyDescent="0.25">
      <c r="A52" s="22" t="s">
        <v>528</v>
      </c>
      <c r="B52" s="22" t="s">
        <v>887</v>
      </c>
      <c r="C52" s="22">
        <f>COUNTIF('Test Cases'!$C:$C,$B52)</f>
      </c>
      <c r="D52" s="22">
        <f>COUNTIFS(Responses!$E:$E,$B52,Responses!$H:$H,Lists!$B$2)</f>
      </c>
      <c r="E52" s="22">
        <f>COUNTIFS(Responses!$E:$E,$B52,Responses!$H:$H,Lists!$B$3)</f>
      </c>
      <c r="F52" s="22">
        <f>COUNTIFS(Responses!$E:$E,$B52,Responses!$H:$H,Lists!$B$4)</f>
      </c>
      <c r="G52" s="22">
        <f>COUNTIFS(Responses!$E:$E,$B52,Responses!$H:$H,Lists!$B$5)</f>
      </c>
      <c r="H52" s="22">
        <f>SUM(D52:G52)</f>
      </c>
      <c r="I52" s="23">
        <f>IF(H52=0,"-",D52/H52)</f>
      </c>
      <c r="J52" s="22">
        <f>COUNTIFS(Responses!$E:$E,$B52,Responses!$J:$J,"Comment required")</f>
      </c>
    </row>
    <row r="53" spans="1:10" x14ac:dyDescent="0.25">
      <c r="A53" s="21" t="s">
        <v>892</v>
      </c>
      <c r="B53" s="21" t="s">
        <v>1007</v>
      </c>
      <c r="C53" s="21">
        <f>COUNTIF('Test Cases'!$A:$A,$A53)</f>
      </c>
      <c r="D53" s="21">
        <f>COUNTIFS(Responses!$D:$D,$A53,Responses!$H:$H,Lists!$B$2)</f>
      </c>
      <c r="E53" s="21">
        <f>COUNTIFS(Responses!$D:$D,$A53,Responses!$H:$H,Lists!$B$3)</f>
      </c>
      <c r="F53" s="21">
        <f>COUNTIFS(Responses!$D:$D,$A53,Responses!$H:$H,Lists!$B$4)</f>
      </c>
      <c r="G53" s="21">
        <f>COUNTIFS(Responses!$D:$D,$A53,Responses!$H:$H,Lists!$B$5)</f>
      </c>
      <c r="H53" s="22">
        <f>SUM(D53:G53)</f>
      </c>
      <c r="I53" s="23">
        <f>IF(H53=0,"-",D53/H53)</f>
      </c>
      <c r="J53" s="21">
        <f>COUNTIFS(Responses!$D:$D,$A53,Responses!$J:$J,"Comment required")</f>
      </c>
    </row>
    <row r="54" spans="1:10" x14ac:dyDescent="0.25">
      <c r="A54" s="22" t="s">
        <v>892</v>
      </c>
      <c r="B54" s="22" t="s">
        <v>894</v>
      </c>
      <c r="C54" s="22">
        <f>COUNTIF('Test Cases'!$C:$C,$B54)</f>
      </c>
      <c r="D54" s="22">
        <f>COUNTIFS(Responses!$E:$E,$B54,Responses!$H:$H,Lists!$B$2)</f>
      </c>
      <c r="E54" s="22">
        <f>COUNTIFS(Responses!$E:$E,$B54,Responses!$H:$H,Lists!$B$3)</f>
      </c>
      <c r="F54" s="22">
        <f>COUNTIFS(Responses!$E:$E,$B54,Responses!$H:$H,Lists!$B$4)</f>
      </c>
      <c r="G54" s="22">
        <f>COUNTIFS(Responses!$E:$E,$B54,Responses!$H:$H,Lists!$B$5)</f>
      </c>
      <c r="H54" s="22">
        <f>SUM(D54:G54)</f>
      </c>
      <c r="I54" s="23">
        <f>IF(H54=0,"-",D54/H54)</f>
      </c>
      <c r="J54" s="22">
        <f>COUNTIFS(Responses!$E:$E,$B54,Responses!$J:$J,"Comment required")</f>
      </c>
    </row>
    <row r="55" spans="1:10" x14ac:dyDescent="0.25">
      <c r="A55" s="22" t="s">
        <v>892</v>
      </c>
      <c r="B55" s="22" t="s">
        <v>908</v>
      </c>
      <c r="C55" s="22">
        <f>COUNTIF('Test Cases'!$C:$C,$B55)</f>
      </c>
      <c r="D55" s="22">
        <f>COUNTIFS(Responses!$E:$E,$B55,Responses!$H:$H,Lists!$B$2)</f>
      </c>
      <c r="E55" s="22">
        <f>COUNTIFS(Responses!$E:$E,$B55,Responses!$H:$H,Lists!$B$3)</f>
      </c>
      <c r="F55" s="22">
        <f>COUNTIFS(Responses!$E:$E,$B55,Responses!$H:$H,Lists!$B$4)</f>
      </c>
      <c r="G55" s="22">
        <f>COUNTIFS(Responses!$E:$E,$B55,Responses!$H:$H,Lists!$B$5)</f>
      </c>
      <c r="H55" s="22">
        <f>SUM(D55:G55)</f>
      </c>
      <c r="I55" s="23">
        <f>IF(H55=0,"-",D55/H55)</f>
      </c>
      <c r="J55" s="22">
        <f>COUNTIFS(Responses!$E:$E,$B55,Responses!$J:$J,"Comment required")</f>
      </c>
    </row>
    <row r="56" spans="1:10" x14ac:dyDescent="0.25">
      <c r="A56" s="22" t="s">
        <v>892</v>
      </c>
      <c r="B56" s="22" t="s">
        <v>923</v>
      </c>
      <c r="C56" s="22">
        <f>COUNTIF('Test Cases'!$C:$C,$B56)</f>
      </c>
      <c r="D56" s="22">
        <f>COUNTIFS(Responses!$E:$E,$B56,Responses!$H:$H,Lists!$B$2)</f>
      </c>
      <c r="E56" s="22">
        <f>COUNTIFS(Responses!$E:$E,$B56,Responses!$H:$H,Lists!$B$3)</f>
      </c>
      <c r="F56" s="22">
        <f>COUNTIFS(Responses!$E:$E,$B56,Responses!$H:$H,Lists!$B$4)</f>
      </c>
      <c r="G56" s="22">
        <f>COUNTIFS(Responses!$E:$E,$B56,Responses!$H:$H,Lists!$B$5)</f>
      </c>
      <c r="H56" s="22">
        <f>SUM(D56:G56)</f>
      </c>
      <c r="I56" s="23">
        <f>IF(H56=0,"-",D56/H56)</f>
      </c>
      <c r="J56" s="22">
        <f>COUNTIFS(Responses!$E:$E,$B56,Responses!$J:$J,"Comment required")</f>
      </c>
    </row>
    <row r="57" spans="1:10" x14ac:dyDescent="0.25">
      <c r="A57" s="22" t="s">
        <v>892</v>
      </c>
      <c r="B57" s="22" t="s">
        <v>946</v>
      </c>
      <c r="C57" s="22">
        <f>COUNTIF('Test Cases'!$C:$C,$B57)</f>
      </c>
      <c r="D57" s="22">
        <f>COUNTIFS(Responses!$E:$E,$B57,Responses!$H:$H,Lists!$B$2)</f>
      </c>
      <c r="E57" s="22">
        <f>COUNTIFS(Responses!$E:$E,$B57,Responses!$H:$H,Lists!$B$3)</f>
      </c>
      <c r="F57" s="22">
        <f>COUNTIFS(Responses!$E:$E,$B57,Responses!$H:$H,Lists!$B$4)</f>
      </c>
      <c r="G57" s="22">
        <f>COUNTIFS(Responses!$E:$E,$B57,Responses!$H:$H,Lists!$B$5)</f>
      </c>
      <c r="H57" s="22">
        <f>SUM(D57:G57)</f>
      </c>
      <c r="I57" s="23">
        <f>IF(H57=0,"-",D57/H57)</f>
      </c>
      <c r="J57" s="22">
        <f>COUNTIFS(Responses!$E:$E,$B57,Responses!$J:$J,"Comment required")</f>
      </c>
    </row>
    <row r="58" spans="1:10" x14ac:dyDescent="0.25">
      <c r="A58" s="22" t="s">
        <v>892</v>
      </c>
      <c r="B58" s="22" t="s">
        <v>965</v>
      </c>
      <c r="C58" s="22">
        <f>COUNTIF('Test Cases'!$C:$C,$B58)</f>
      </c>
      <c r="D58" s="22">
        <f>COUNTIFS(Responses!$E:$E,$B58,Responses!$H:$H,Lists!$B$2)</f>
      </c>
      <c r="E58" s="22">
        <f>COUNTIFS(Responses!$E:$E,$B58,Responses!$H:$H,Lists!$B$3)</f>
      </c>
      <c r="F58" s="22">
        <f>COUNTIFS(Responses!$E:$E,$B58,Responses!$H:$H,Lists!$B$4)</f>
      </c>
      <c r="G58" s="22">
        <f>COUNTIFS(Responses!$E:$E,$B58,Responses!$H:$H,Lists!$B$5)</f>
      </c>
      <c r="H58" s="22">
        <f>SUM(D58:G58)</f>
      </c>
      <c r="I58" s="23">
        <f>IF(H58=0,"-",D58/H58)</f>
      </c>
      <c r="J58" s="22">
        <f>COUNTIFS(Responses!$E:$E,$B58,Responses!$J:$J,"Comment required")</f>
      </c>
    </row>
    <row r="59" spans="1:10" x14ac:dyDescent="0.25">
      <c r="A59" s="22" t="s">
        <v>892</v>
      </c>
      <c r="B59" s="22" t="s">
        <v>976</v>
      </c>
      <c r="C59" s="22">
        <f>COUNTIF('Test Cases'!$C:$C,$B59)</f>
      </c>
      <c r="D59" s="22">
        <f>COUNTIFS(Responses!$E:$E,$B59,Responses!$H:$H,Lists!$B$2)</f>
      </c>
      <c r="E59" s="22">
        <f>COUNTIFS(Responses!$E:$E,$B59,Responses!$H:$H,Lists!$B$3)</f>
      </c>
      <c r="F59" s="22">
        <f>COUNTIFS(Responses!$E:$E,$B59,Responses!$H:$H,Lists!$B$4)</f>
      </c>
      <c r="G59" s="22">
        <f>COUNTIFS(Responses!$E:$E,$B59,Responses!$H:$H,Lists!$B$5)</f>
      </c>
      <c r="H59" s="22">
        <f>SUM(D59:G59)</f>
      </c>
      <c r="I59" s="23">
        <f>IF(H59=0,"-",D59/H59)</f>
      </c>
      <c r="J59" s="22">
        <f>COUNTIFS(Responses!$E:$E,$B59,Responses!$J:$J,"Comment required")</f>
      </c>
    </row>
    <row r="61" spans="1:10" x14ac:dyDescent="0.25">
      <c r="A61" s="5" t="s">
        <v>1008</v>
      </c>
      <c r="B61" s="1"/>
      <c r="C61" s="5">
        <f>C4+C18+C26+C32+C53</f>
      </c>
      <c r="D61" s="5">
        <f>D4+D18+D26+D32+D53</f>
      </c>
      <c r="E61" s="5">
        <f>E4+E18+E26+E32+E53</f>
      </c>
      <c r="F61" s="5">
        <f>F4+F18+F26+F32+F53</f>
      </c>
      <c r="G61" s="5">
        <f>G4+G18+G26+G32+G53</f>
      </c>
      <c r="H61" s="5">
        <f>H4+H18+H26+H32+H53</f>
      </c>
      <c r="I61" s="24">
        <f>IF(H61=0,"-",D61/H61)</f>
      </c>
      <c r="J61" s="5">
        <f>J4+J18+J26+J32+J53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FormatPr defaultRowHeight="15" outlineLevelRow="0" outlineLevelCol="0" x14ac:dyDescent="55"/>
  <sheetData>
    <row r="1" spans="1:5" x14ac:dyDescent="0.25">
      <c r="A1" s="1" t="s">
        <v>1009</v>
      </c>
      <c r="B1" s="1" t="s">
        <v>9</v>
      </c>
      <c r="C1" s="1"/>
      <c r="D1" s="1" t="s">
        <v>64</v>
      </c>
      <c r="E1" s="1" t="s">
        <v>62</v>
      </c>
    </row>
    <row r="2" spans="1:5" x14ac:dyDescent="0.25">
      <c r="A2" s="1" t="s">
        <v>67</v>
      </c>
      <c r="B2" s="1" t="s">
        <v>10</v>
      </c>
      <c r="C2" s="1"/>
      <c r="D2" s="1" t="s">
        <v>67</v>
      </c>
      <c r="E2" s="1" t="s">
        <v>69</v>
      </c>
    </row>
    <row r="3" spans="1:5" x14ac:dyDescent="0.25">
      <c r="A3" s="1" t="s">
        <v>311</v>
      </c>
      <c r="B3" s="1" t="s">
        <v>12</v>
      </c>
      <c r="C3" s="1"/>
      <c r="D3" s="1" t="s">
        <v>67</v>
      </c>
      <c r="E3" s="1" t="s">
        <v>92</v>
      </c>
    </row>
    <row r="4" spans="1:5" x14ac:dyDescent="0.25">
      <c r="A4" s="1" t="s">
        <v>445</v>
      </c>
      <c r="B4" s="1" t="s">
        <v>14</v>
      </c>
      <c r="C4" s="1"/>
      <c r="D4" s="1" t="s">
        <v>67</v>
      </c>
      <c r="E4" s="1" t="s">
        <v>119</v>
      </c>
    </row>
    <row r="5" spans="1:5" x14ac:dyDescent="0.25">
      <c r="A5" s="1" t="s">
        <v>528</v>
      </c>
      <c r="B5" s="1" t="s">
        <v>16</v>
      </c>
      <c r="C5" s="1"/>
      <c r="D5" s="1" t="s">
        <v>67</v>
      </c>
      <c r="E5" s="1" t="s">
        <v>138</v>
      </c>
    </row>
    <row r="6" spans="1:5" x14ac:dyDescent="0.25">
      <c r="A6" s="1" t="s">
        <v>892</v>
      </c>
      <c r="B6" s="1"/>
      <c r="C6" s="1"/>
      <c r="D6" s="1" t="s">
        <v>67</v>
      </c>
      <c r="E6" s="1" t="s">
        <v>157</v>
      </c>
    </row>
    <row r="7" spans="1:5" x14ac:dyDescent="0.25">
      <c r="A7" s="1"/>
      <c r="B7" s="1"/>
      <c r="C7" s="1"/>
      <c r="D7" s="1" t="s">
        <v>67</v>
      </c>
      <c r="E7" s="1" t="s">
        <v>168</v>
      </c>
    </row>
    <row r="8" spans="1:5" x14ac:dyDescent="0.25">
      <c r="A8" s="1"/>
      <c r="B8" s="1"/>
      <c r="C8" s="1"/>
      <c r="D8" s="1" t="s">
        <v>67</v>
      </c>
      <c r="E8" s="1" t="s">
        <v>195</v>
      </c>
    </row>
    <row r="9" spans="1:5" x14ac:dyDescent="0.25">
      <c r="A9" s="1"/>
      <c r="B9" s="1"/>
      <c r="C9" s="1"/>
      <c r="D9" s="1" t="s">
        <v>67</v>
      </c>
      <c r="E9" s="1" t="s">
        <v>218</v>
      </c>
    </row>
    <row r="10" spans="1:5" x14ac:dyDescent="0.25">
      <c r="A10" s="1"/>
      <c r="B10" s="1"/>
      <c r="C10" s="1"/>
      <c r="D10" s="1" t="s">
        <v>67</v>
      </c>
      <c r="E10" s="1" t="s">
        <v>241</v>
      </c>
    </row>
    <row r="11" spans="1:5" x14ac:dyDescent="0.25">
      <c r="A11" s="1"/>
      <c r="B11" s="1"/>
      <c r="C11" s="1"/>
      <c r="D11" s="1" t="s">
        <v>67</v>
      </c>
      <c r="E11" s="1" t="s">
        <v>260</v>
      </c>
    </row>
    <row r="12" spans="1:5" x14ac:dyDescent="0.25">
      <c r="A12" s="1"/>
      <c r="B12" s="1"/>
      <c r="C12" s="1"/>
      <c r="D12" s="1" t="s">
        <v>67</v>
      </c>
      <c r="E12" s="1" t="s">
        <v>271</v>
      </c>
    </row>
    <row r="13" spans="1:5" x14ac:dyDescent="0.25">
      <c r="A13" s="1"/>
      <c r="B13" s="1"/>
      <c r="C13" s="1"/>
      <c r="D13" s="1" t="s">
        <v>67</v>
      </c>
      <c r="E13" s="1" t="s">
        <v>282</v>
      </c>
    </row>
    <row r="14" spans="1:5" x14ac:dyDescent="0.25">
      <c r="A14" s="1"/>
      <c r="B14" s="1"/>
      <c r="C14" s="1"/>
      <c r="D14" s="1" t="s">
        <v>67</v>
      </c>
      <c r="E14" s="1" t="s">
        <v>293</v>
      </c>
    </row>
    <row r="15" spans="1:5" x14ac:dyDescent="0.25">
      <c r="A15" s="1"/>
      <c r="B15" s="1"/>
      <c r="C15" s="1"/>
      <c r="D15" s="1" t="s">
        <v>311</v>
      </c>
      <c r="E15" s="1" t="s">
        <v>313</v>
      </c>
    </row>
    <row r="16" spans="1:5" x14ac:dyDescent="0.25">
      <c r="A16" s="1"/>
      <c r="B16" s="1"/>
      <c r="C16" s="1"/>
      <c r="D16" s="1" t="s">
        <v>311</v>
      </c>
      <c r="E16" s="1" t="s">
        <v>336</v>
      </c>
    </row>
    <row r="17" spans="1:5" x14ac:dyDescent="0.25">
      <c r="A17" s="1"/>
      <c r="B17" s="1"/>
      <c r="C17" s="1"/>
      <c r="D17" s="1" t="s">
        <v>311</v>
      </c>
      <c r="E17" s="1" t="s">
        <v>357</v>
      </c>
    </row>
    <row r="18" spans="1:5" x14ac:dyDescent="0.25">
      <c r="A18" s="1"/>
      <c r="B18" s="1"/>
      <c r="C18" s="1"/>
      <c r="D18" s="1" t="s">
        <v>311</v>
      </c>
      <c r="E18" s="1" t="s">
        <v>371</v>
      </c>
    </row>
    <row r="19" spans="1:5" x14ac:dyDescent="0.25">
      <c r="A19" s="1"/>
      <c r="B19" s="1"/>
      <c r="C19" s="1"/>
      <c r="D19" s="1" t="s">
        <v>311</v>
      </c>
      <c r="E19" s="1" t="s">
        <v>394</v>
      </c>
    </row>
    <row r="20" spans="1:5" x14ac:dyDescent="0.25">
      <c r="A20" s="1"/>
      <c r="B20" s="1"/>
      <c r="C20" s="1"/>
      <c r="D20" s="1" t="s">
        <v>311</v>
      </c>
      <c r="E20" s="1" t="s">
        <v>421</v>
      </c>
    </row>
    <row r="21" spans="1:5" x14ac:dyDescent="0.25">
      <c r="A21" s="1"/>
      <c r="B21" s="1"/>
      <c r="C21" s="1"/>
      <c r="D21" s="1" t="s">
        <v>311</v>
      </c>
      <c r="E21" s="1" t="s">
        <v>436</v>
      </c>
    </row>
    <row r="22" spans="1:5" x14ac:dyDescent="0.25">
      <c r="A22" s="1"/>
      <c r="B22" s="1"/>
      <c r="C22" s="1"/>
      <c r="D22" s="1" t="s">
        <v>445</v>
      </c>
      <c r="E22" s="1" t="s">
        <v>447</v>
      </c>
    </row>
    <row r="23" spans="1:5" x14ac:dyDescent="0.25">
      <c r="A23" s="1"/>
      <c r="B23" s="1"/>
      <c r="C23" s="1"/>
      <c r="D23" s="1" t="s">
        <v>445</v>
      </c>
      <c r="E23" s="1" t="s">
        <v>470</v>
      </c>
    </row>
    <row r="24" spans="1:5" x14ac:dyDescent="0.25">
      <c r="A24" s="1"/>
      <c r="B24" s="1"/>
      <c r="C24" s="1"/>
      <c r="D24" s="1" t="s">
        <v>445</v>
      </c>
      <c r="E24" s="1" t="s">
        <v>481</v>
      </c>
    </row>
    <row r="25" spans="1:5" x14ac:dyDescent="0.25">
      <c r="A25" s="1"/>
      <c r="B25" s="1"/>
      <c r="C25" s="1"/>
      <c r="D25" s="1" t="s">
        <v>445</v>
      </c>
      <c r="E25" s="1" t="s">
        <v>496</v>
      </c>
    </row>
    <row r="26" spans="1:5" x14ac:dyDescent="0.25">
      <c r="A26" s="1"/>
      <c r="B26" s="1"/>
      <c r="C26" s="1"/>
      <c r="D26" s="1" t="s">
        <v>445</v>
      </c>
      <c r="E26" s="1" t="s">
        <v>510</v>
      </c>
    </row>
    <row r="27" spans="1:5" x14ac:dyDescent="0.25">
      <c r="A27" s="1"/>
      <c r="B27" s="1"/>
      <c r="C27" s="1"/>
      <c r="D27" s="1" t="s">
        <v>528</v>
      </c>
      <c r="E27" s="1" t="s">
        <v>530</v>
      </c>
    </row>
    <row r="28" spans="1:5" x14ac:dyDescent="0.25">
      <c r="A28" s="1"/>
      <c r="B28" s="1"/>
      <c r="C28" s="1"/>
      <c r="D28" s="1" t="s">
        <v>528</v>
      </c>
      <c r="E28" s="1" t="s">
        <v>546</v>
      </c>
    </row>
    <row r="29" spans="1:5" x14ac:dyDescent="0.25">
      <c r="A29" s="1"/>
      <c r="B29" s="1"/>
      <c r="C29" s="1"/>
      <c r="D29" s="1" t="s">
        <v>528</v>
      </c>
      <c r="E29" s="1" t="s">
        <v>561</v>
      </c>
    </row>
    <row r="30" spans="1:5" x14ac:dyDescent="0.25">
      <c r="A30" s="1"/>
      <c r="B30" s="1"/>
      <c r="C30" s="1"/>
      <c r="D30" s="1" t="s">
        <v>528</v>
      </c>
      <c r="E30" s="1" t="s">
        <v>588</v>
      </c>
    </row>
    <row r="31" spans="1:5" x14ac:dyDescent="0.25">
      <c r="A31" s="1"/>
      <c r="B31" s="1"/>
      <c r="C31" s="1"/>
      <c r="D31" s="1" t="s">
        <v>528</v>
      </c>
      <c r="E31" s="1" t="s">
        <v>602</v>
      </c>
    </row>
    <row r="32" spans="1:5" x14ac:dyDescent="0.25">
      <c r="A32" s="1"/>
      <c r="B32" s="1"/>
      <c r="C32" s="1"/>
      <c r="D32" s="1" t="s">
        <v>528</v>
      </c>
      <c r="E32" s="1" t="s">
        <v>617</v>
      </c>
    </row>
    <row r="33" spans="1:5" x14ac:dyDescent="0.25">
      <c r="A33" s="1"/>
      <c r="B33" s="1"/>
      <c r="C33" s="1"/>
      <c r="D33" s="1" t="s">
        <v>528</v>
      </c>
      <c r="E33" s="1" t="s">
        <v>640</v>
      </c>
    </row>
    <row r="34" spans="1:5" x14ac:dyDescent="0.25">
      <c r="A34" s="1"/>
      <c r="B34" s="1"/>
      <c r="C34" s="1"/>
      <c r="D34" s="1" t="s">
        <v>528</v>
      </c>
      <c r="E34" s="1" t="s">
        <v>663</v>
      </c>
    </row>
    <row r="35" spans="1:5" x14ac:dyDescent="0.25">
      <c r="A35" s="1"/>
      <c r="B35" s="1"/>
      <c r="C35" s="1"/>
      <c r="D35" s="1" t="s">
        <v>528</v>
      </c>
      <c r="E35" s="1" t="s">
        <v>690</v>
      </c>
    </row>
    <row r="36" spans="1:5" x14ac:dyDescent="0.25">
      <c r="A36" s="1"/>
      <c r="B36" s="1"/>
      <c r="C36" s="1"/>
      <c r="D36" s="1" t="s">
        <v>528</v>
      </c>
      <c r="E36" s="1" t="s">
        <v>709</v>
      </c>
    </row>
    <row r="37" spans="1:5" x14ac:dyDescent="0.25">
      <c r="A37" s="1"/>
      <c r="B37" s="1"/>
      <c r="C37" s="1"/>
      <c r="D37" s="1" t="s">
        <v>528</v>
      </c>
      <c r="E37" s="1" t="s">
        <v>732</v>
      </c>
    </row>
    <row r="38" spans="1:5" x14ac:dyDescent="0.25">
      <c r="A38" s="1"/>
      <c r="B38" s="1"/>
      <c r="C38" s="1"/>
      <c r="D38" s="1" t="s">
        <v>528</v>
      </c>
      <c r="E38" s="1" t="s">
        <v>755</v>
      </c>
    </row>
    <row r="39" spans="1:5" x14ac:dyDescent="0.25">
      <c r="A39" s="1"/>
      <c r="B39" s="1"/>
      <c r="C39" s="1"/>
      <c r="D39" s="1" t="s">
        <v>528</v>
      </c>
      <c r="E39" s="1" t="s">
        <v>774</v>
      </c>
    </row>
    <row r="40" spans="1:5" x14ac:dyDescent="0.25">
      <c r="A40" s="1"/>
      <c r="B40" s="1"/>
      <c r="C40" s="1"/>
      <c r="D40" s="1" t="s">
        <v>528</v>
      </c>
      <c r="E40" s="1" t="s">
        <v>793</v>
      </c>
    </row>
    <row r="41" spans="1:5" x14ac:dyDescent="0.25">
      <c r="A41" s="1"/>
      <c r="B41" s="1"/>
      <c r="C41" s="1"/>
      <c r="D41" s="1" t="s">
        <v>528</v>
      </c>
      <c r="E41" s="1" t="s">
        <v>816</v>
      </c>
    </row>
    <row r="42" spans="1:5" x14ac:dyDescent="0.25">
      <c r="A42" s="1"/>
      <c r="B42" s="1"/>
      <c r="C42" s="1"/>
      <c r="D42" s="1" t="s">
        <v>528</v>
      </c>
      <c r="E42" s="1" t="s">
        <v>839</v>
      </c>
    </row>
    <row r="43" spans="1:5" x14ac:dyDescent="0.25">
      <c r="A43" s="1"/>
      <c r="B43" s="1"/>
      <c r="C43" s="1"/>
      <c r="D43" s="1" t="s">
        <v>528</v>
      </c>
      <c r="E43" s="1" t="s">
        <v>850</v>
      </c>
    </row>
    <row r="44" spans="1:5" x14ac:dyDescent="0.25">
      <c r="A44" s="1"/>
      <c r="B44" s="1"/>
      <c r="C44" s="1"/>
      <c r="D44" s="1" t="s">
        <v>528</v>
      </c>
      <c r="E44" s="1" t="s">
        <v>861</v>
      </c>
    </row>
    <row r="45" spans="1:5" x14ac:dyDescent="0.25">
      <c r="A45" s="1"/>
      <c r="B45" s="1"/>
      <c r="C45" s="1"/>
      <c r="D45" s="1" t="s">
        <v>528</v>
      </c>
      <c r="E45" s="1" t="s">
        <v>872</v>
      </c>
    </row>
    <row r="46" spans="1:5" x14ac:dyDescent="0.25">
      <c r="A46" s="1"/>
      <c r="B46" s="1"/>
      <c r="C46" s="1"/>
      <c r="D46" s="1" t="s">
        <v>528</v>
      </c>
      <c r="E46" s="1" t="s">
        <v>887</v>
      </c>
    </row>
    <row r="47" spans="1:5" x14ac:dyDescent="0.25">
      <c r="A47" s="1"/>
      <c r="B47" s="1"/>
      <c r="C47" s="1"/>
      <c r="D47" s="1" t="s">
        <v>892</v>
      </c>
      <c r="E47" s="1" t="s">
        <v>894</v>
      </c>
    </row>
    <row r="48" spans="1:5" x14ac:dyDescent="0.25">
      <c r="A48" s="1"/>
      <c r="B48" s="1"/>
      <c r="C48" s="1"/>
      <c r="D48" s="1" t="s">
        <v>892</v>
      </c>
      <c r="E48" s="1" t="s">
        <v>908</v>
      </c>
    </row>
    <row r="49" spans="1:5" x14ac:dyDescent="0.25">
      <c r="A49" s="1"/>
      <c r="B49" s="1"/>
      <c r="C49" s="1"/>
      <c r="D49" s="1" t="s">
        <v>892</v>
      </c>
      <c r="E49" s="1" t="s">
        <v>923</v>
      </c>
    </row>
    <row r="50" spans="1:5" x14ac:dyDescent="0.25">
      <c r="A50" s="1"/>
      <c r="B50" s="1"/>
      <c r="C50" s="1"/>
      <c r="D50" s="1" t="s">
        <v>892</v>
      </c>
      <c r="E50" s="1" t="s">
        <v>946</v>
      </c>
    </row>
    <row r="51" spans="1:5" x14ac:dyDescent="0.25">
      <c r="A51" s="1"/>
      <c r="B51" s="1"/>
      <c r="C51" s="1"/>
      <c r="D51" s="1" t="s">
        <v>892</v>
      </c>
      <c r="E51" s="1" t="s">
        <v>965</v>
      </c>
    </row>
    <row r="52" spans="1:5" x14ac:dyDescent="0.25">
      <c r="A52" s="1"/>
      <c r="B52" s="1"/>
      <c r="C52" s="1"/>
      <c r="D52" s="1" t="s">
        <v>892</v>
      </c>
      <c r="E52" s="1" t="s">
        <v>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UAT Form</vt:lpstr>
      <vt:lpstr>Test Cases</vt:lpstr>
      <vt:lpstr>Responses</vt:lpstr>
      <vt:lpstr>Summary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P.R.I.S.M</dc:creator>
  <dc:title/>
  <dc:subject/>
  <dc:description/>
  <cp:keywords/>
  <cp:category/>
  <cp:lastModifiedBy>Unknown</cp:lastModifiedBy>
  <dcterms:created xsi:type="dcterms:W3CDTF">2026-10-21T09:08:22Z</dcterms:created>
  <dcterms:modified xsi:type="dcterms:W3CDTF">2026-10-21T09:08:22Z</dcterms:modified>
</cp:coreProperties>
</file>