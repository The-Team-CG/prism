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s" sheetId="1" r:id="rId4"/>
    <sheet state="visible" name="Tracker" sheetId="2" r:id="rId5"/>
    <sheet state="visible" name="Dashboard" sheetId="3" r:id="rId6"/>
    <sheet state="visible" name="Legend" sheetId="4" r:id="rId7"/>
    <sheet state="visible" name="DoD" sheetId="5" r:id="rId8"/>
    <sheet state="visible" name="Cadence Checklist" sheetId="6" r:id="rId9"/>
    <sheet state="visible" name="AC Detail" sheetId="7" r:id="rId10"/>
    <sheet state="visible" name="Cadence Review Guide" sheetId="8" r:id="rId11"/>
  </sheets>
  <definedNames/>
  <calcPr/>
  <extLst>
    <ext uri="GoogleSheetsCustomDataVersion2">
      <go:sheetsCustomData xmlns:go="http://customooxmlschemas.google.com/" r:id="rId12" roundtripDataChecksum="Yre3LE2vAj1+biwfrbjTLWo1br011eqOFxDC+ZREj1Q="/>
    </ext>
  </extLst>
</workbook>
</file>

<file path=xl/sharedStrings.xml><?xml version="1.0" encoding="utf-8"?>
<sst xmlns="http://schemas.openxmlformats.org/spreadsheetml/2006/main" count="2231" uniqueCount="1201">
  <si>
    <t>Epic ID</t>
  </si>
  <si>
    <t>Epic Name</t>
  </si>
  <si>
    <t>Story Count</t>
  </si>
  <si>
    <t>Cadence Spread</t>
  </si>
  <si>
    <t>FR Coverage</t>
  </si>
  <si>
    <t>EP-01</t>
  </si>
  <si>
    <t>Inquiry and Client Onboarding</t>
  </si>
  <si>
    <t>C1</t>
  </si>
  <si>
    <t>FR-01, FR-46, FR-48, FR-51, FR-52; FL-001</t>
  </si>
  <si>
    <t>EP-02</t>
  </si>
  <si>
    <t>PMCM Command and Coordination</t>
  </si>
  <si>
    <t>C1, C2</t>
  </si>
  <si>
    <t>FL-003, FL-008, FL-017; FR-88, FR-89, FR-90, FR-91</t>
  </si>
  <si>
    <t>EP-03</t>
  </si>
  <si>
    <t>Briefing and Proposal</t>
  </si>
  <si>
    <t>C2</t>
  </si>
  <si>
    <t>FR-19, FR-58, FR-59, FR-60, FR-61, FR-62; FL-005, FL-006</t>
  </si>
  <si>
    <t>EP-04</t>
  </si>
  <si>
    <t>Contract and Conforme</t>
  </si>
  <si>
    <t>C2, C3</t>
  </si>
  <si>
    <t>FR-03, FR-67, FR-68, FR-69, FR-70, FR-96, FR-97, New-SY4; FL-002</t>
  </si>
  <si>
    <t>EP-05</t>
  </si>
  <si>
    <t>Floor Plan and Venue</t>
  </si>
  <si>
    <t>FR-08, FR-28, FR-29, FR-66, FR-80, FR-81, FR-82, FR-83, FR-84; FL-011, FL-016, FL-018</t>
  </si>
  <si>
    <t>EP-06</t>
  </si>
  <si>
    <t>Compliance and Change Enablement</t>
  </si>
  <si>
    <t>C3</t>
  </si>
  <si>
    <t>FR-06, FR-07, New-SY3, New-SY4; FL-009</t>
  </si>
  <si>
    <t>EP-07</t>
  </si>
  <si>
    <t>Supplier Network and Readiness</t>
  </si>
  <si>
    <t>C1, C2, C3, C4</t>
  </si>
  <si>
    <t>FR-14 to FR-18, FR-35 to FR-38, FR-49, FR-63, FR-64, FR-75 to FR-79, FR-87, FR-AI-06, New-S1 to New-S5, New-SUP1 to New-SUP4; FL-007, FL-022</t>
  </si>
  <si>
    <t>EP-08</t>
  </si>
  <si>
    <t>Finance and Billing</t>
  </si>
  <si>
    <t>FR-20, FR-21, FR-69, FR-92, FR-93, FR-94, New-P5; FL-010</t>
  </si>
  <si>
    <t>EP-09</t>
  </si>
  <si>
    <t>File and Document Management</t>
  </si>
  <si>
    <t>FR-04, FR-32, FR-33, FR-38, New-SEC3; FL-006, FL-024</t>
  </si>
  <si>
    <t>EP-10</t>
  </si>
  <si>
    <t>Client Portal</t>
  </si>
  <si>
    <t>FR-26 to FR-34, FR-65, FR-66, New-CL1, New-CL2; FL-004, FL-020</t>
  </si>
  <si>
    <t>EP-11</t>
  </si>
  <si>
    <t>Coordinator Experience and Live Ops</t>
  </si>
  <si>
    <t>FR-88 to FR-91, New-C1 to New-C4, New-CO1 to New-CO6; FL-008</t>
  </si>
  <si>
    <t>EP-12</t>
  </si>
  <si>
    <t>Event Day Operations</t>
  </si>
  <si>
    <t>C3, C4</t>
  </si>
  <si>
    <t>FR-05, FR-40, FR-78, FR-AI-04, FR-AI-07, New-SY1, New-SY2; FL-019</t>
  </si>
  <si>
    <t>EP-13</t>
  </si>
  <si>
    <t>Guest Experience and Digital Registration</t>
  </si>
  <si>
    <t>FR-39, FR-40, FR-41, FR-95, New-GU1, New-EX2, New-CO3; FL-012</t>
  </si>
  <si>
    <t>EP-14</t>
  </si>
  <si>
    <t>Closure and Archive</t>
  </si>
  <si>
    <t>C4</t>
  </si>
  <si>
    <t>FR-04, FR-32, New-P2, New-SY1, New-SY2; FL-013</t>
  </si>
  <si>
    <t>EP-15</t>
  </si>
  <si>
    <t>Security, Privacy, and Auth</t>
  </si>
  <si>
    <t>C1, C2, C3</t>
  </si>
  <si>
    <t>New-SEC1, New-SEC2, New-SEC3, New-SEC4, FR-AI-ZDR; FL-025</t>
  </si>
  <si>
    <t>EP-16</t>
  </si>
  <si>
    <t>AI and Agentic Layer</t>
  </si>
  <si>
    <t>FR-AI-01, FR-AI-03, FR-AI-05 to FR-AI-09, FR-11, FR-15; FL-026</t>
  </si>
  <si>
    <t>EP-17</t>
  </si>
  <si>
    <t>Platform and Backend Architecture</t>
  </si>
  <si>
    <t>C1, C3</t>
  </si>
  <si>
    <t>Files 34-55 backend modular monolith extraction; all 19 confirmed modules</t>
  </si>
  <si>
    <t>EP-18</t>
  </si>
  <si>
    <t>Design System and Shared UI</t>
  </si>
  <si>
    <t>FL-016; packages/ui, design tokens, shared shell patterns</t>
  </si>
  <si>
    <t>Epic</t>
  </si>
  <si>
    <t>Story ID</t>
  </si>
  <si>
    <t>User Story</t>
  </si>
  <si>
    <t>Acceptance Criteria</t>
  </si>
  <si>
    <t>Priority (MoSCoW)</t>
  </si>
  <si>
    <t>Owner / Role</t>
  </si>
  <si>
    <t>Status</t>
  </si>
  <si>
    <t>Dependencies</t>
  </si>
  <si>
    <t>Notes</t>
  </si>
  <si>
    <t>Completion %</t>
  </si>
  <si>
    <t>EP-01 -- Inquiry and Client Onboarding</t>
  </si>
  <si>
    <t>EP-01-S01</t>
  </si>
  <si>
    <t>As a prospective Client, I want to submit an event inquiry, so that PMCM can assess my event needs.</t>
  </si>
  <si>
    <t>1. PASS: Public inquiry form is accessible without login or account creation.
2. PASS: Form captures all required fields: full name, contact number, email address, company or organization name, event type, preferred event date, expected headcount, and client type (individual or corporate).
3. PASS: Referral source dropdown is present with five confirmed values: Facebook, Website, BNI, Walk-In, Log on Behalf. Sixth value pending PA-62 resolution with Ms. Mys.
4. PASS: On submission, system checks for duplicate inquiry from same email or contact number; if duplicate detected, clear message shown and duplicate record not created.
5. PASS: If submitting email or contact number matches a previously rejected inquiry, previous rejection flag is surfaced to PMCM Admin on inquiry detail view (not shown to prospective client).
6. PASS: Submitted inquiry appears in PMCM Admin inquiry inbox with all submitted field values intact and readable.
7. PASS: Inquiry record stores client type field value (individual or corporate) and value is visible to PMCM Admin on detail view.
8. PASS: Submitter receives a confirmation acknowledgment (on-screen or email) after successful submission.
9. FAIL trigger: Form is inaccessible without login, any required field is absent, duplicate detection fails, previous rejection flag not surfaced to PMCM Admin, client type field missing, or confirmation acknowledgment absent.</t>
  </si>
  <si>
    <t>Must</t>
  </si>
  <si>
    <t>C (Ethan)</t>
  </si>
  <si>
    <t>Done</t>
  </si>
  <si>
    <t>None</t>
  </si>
  <si>
    <t>FR-01, FR-46, FR-51. PA-62 OPEN -- sixth referral source value pending Ms. Mys confirmation. Five confirmed values from codebase: Facebook, Website, BNI, Walk-In, Log on Behalf.</t>
  </si>
  <si>
    <t>EP-01-S02</t>
  </si>
  <si>
    <t>As a PMCM Admin, I want to log an inquiry on behalf of a walk-in or phone client, so that all inquiries enter the same system regardless of channel.</t>
  </si>
  <si>
    <t>1. PASS: PMCM Admin can access a Log Inquiry on Behalf function from within the PMCM command surface without navigating to the public inquiry form.
2. PASS: On-behalf form captures same required fields as public inquiry form: full name, contact number, email address, company or organization name, event type, preferred event date, expected headcount, client type, and referral source.
3. PASS: Resulting inquiry record is marked as logged on behalf of a client (channel: walk-in or phone), distinguishable from self-submitted inquiries in PMCM Admin inbox.
4. PASS: Non-PMCM actors (client, supplier, coordinator, guest) cannot access or trigger the logInquiryOnBehalf function. Any attempt returns an authorization denial with no data exposed.
5. PASS: Duplicate detection and previous rejection flag logic applies identically to on-behalf submissions as to public submissions.
6. PASS: Logged inquiry appears in PMCM Admin inquiry inbox with all field values intact, channel marker visible, and logging admin identity recorded.
7. FAIL trigger: On-behalf function is accessible to non-PMCM actors, channel marker is absent, duplicate detection is bypassed, or logging admin identity is not recorded.</t>
  </si>
  <si>
    <t>B (Francis)</t>
  </si>
  <si>
    <t>FR-52; logInquiryOnBehalf; non-PMCM actors blocked; confirmed Live per File 9.</t>
  </si>
  <si>
    <t>EP-01-S03</t>
  </si>
  <si>
    <t>As a PMCM Admin, I want to onboard a new client account after inquiry approval, so that the client can access their portal.</t>
  </si>
  <si>
    <t>1. PASS: PMCM Admin can trigger client onboarding only after an inquiry has been approved; onboarding action unavailable on inquiries in any other status (Pending, Declined, Duplicate).
2. PASS: Onboarding creates a client account with login credentials and associates it with the approved inquiry record.
3. PASS: Newly created client account activates access to client portal (apps/client, port 3001) for that client and no other portal.
4. PASS: Client receives login credentials or an account activation link after onboarding is triggered by PMCM Admin.
5. PASS: Non-PMCM actors cannot trigger client onboarding. Any attempt returns an authorization denial with no data exposed.
6. PASS: Onboarding event produces an audit log entry recording the onboarding admin identity, timestamp, and associated inquiry ID.
7. FAIL trigger: Onboarding is triggerable before inquiry approval, client account is not associated with the inquiry record, client receives access to portals other than apps/client, or audit log entry is absent.</t>
  </si>
  <si>
    <t>D (Anthony)</t>
  </si>
  <si>
    <t>FR-46; ClientOnboardingWorkflowService inside inquiry-onboarding module; confirmed Live per File 9.</t>
  </si>
  <si>
    <t>EP-01-S04</t>
  </si>
  <si>
    <t>As a PMCM Admin, I want the referral source dropdown to capture exactly six confirmed values, so that inquiry source data is consistent and reportable.</t>
  </si>
  <si>
    <t>1. PASS: Referral source dropdown is present on both the public inquiry form and the Log Inquiry on Behalf form.
2. PASS: Dropdown contains exactly six options. [PLACEHOLDER: five confirmed from codebase -- Facebook, Website, BNI, Walk-In, Log on Behalf. Sixth value pending PA-62 resolution with Ms. Mys.]
3. PASS: Referral source field is required; form cannot be submitted without a selection.
4. PASS: Selected referral source value is saved to the inquiry record and visible to PMCM Admin on inquiry detail view.
5. PASS: Referral source field value is preserved through duplicate detection and on-behalf submission flows without being lost or overwritten.
6. FAIL trigger: Dropdown is absent from either form, fewer or more than six options are present, field is optional and submittable without a selection, or saved value does not appear on PMCM Admin inquiry detail view.</t>
  </si>
  <si>
    <t>FR-48; PA-62 OPEN -- Francis confirmed five values from codebase. Sixth value must be confirmed with Ms. Mys before AC item 2 is finalized.</t>
  </si>
  <si>
    <t>EP-02 -- PMCM Command and Coordination</t>
  </si>
  <si>
    <t>EP-02-S01</t>
  </si>
  <si>
    <t>As a PMCM Admin, I want a command inbox showing critical alerts and pending actions, so that I can manage all active events from one surface.</t>
  </si>
  <si>
    <t>1. PASS: Command inbox is accessible from the PMCM Admin dashboard in apps/event (port 3004) without additional navigation steps.
2. PASS: Inbox displays rows sourced from the PrismPmcmCommandInbox contract; each row contains at minimum: event name, alert type, severity level, and timestamp.
3. PASS: Critical severity alerts are visually distinguished from lower severity alerts (rose/red AlertTriangle icon confirmed per FL-017 build).
4. PASS: Inbox reflects current state of all active events; stale or resolved alerts do not persist after resolution.
5. PASS: Non-PMCM actors (client, supplier, coordinator, guest) cannot access the command inbox. Any attempt returns an authorization denial with no data exposed.
6. PASS: Inbox renders correctly in an empty state (no active alerts) with a clear empty state message; does not show a false all-clear when data fetch has not yet resolved.
7. PASS: Command inbox component is wired into EventDashboardClient.tsx at sections B, J, K, L as implemented; barrel export is present and resolves without error.
8. FAIL trigger: Inbox is inaccessible from PMCM dashboard, rows do not source from PrismPmcmCommandInbox contract, critical severity alerts are not visually distinguished, non-PMCM actors can access inbox data, or component throws an error on mount.</t>
  </si>
  <si>
    <t>FL-017; PrismPmcmCommandInbox contract exists and feeds dashboard rows; confirmed Live per File 9. AC item 6 covers empty state only; error state is EP-02-S02 scope.</t>
  </si>
  <si>
    <t>EP-02-S02</t>
  </si>
  <si>
    <t>As a PMCM Admin, I want the command inbox error state to correctly reflect system failures rather than showing a false all-clear, so that I am never misled about system health.</t>
  </si>
  <si>
    <t>1. PASS: When command inbox data fetch fails (network error, API error, or timeout), inbox displays a visible error state with a clear message indicating a system failure; it does not display an empty inbox or an all-clear message.
2. PASS: Error state is visually distinct from both the empty state (no alerts) and the loaded state (alerts present); a user cannot mistake a fetch failure for a genuine all-clear.
3. PASS: Error state does not expose raw error details, stack traces, or internal system information to the PMCM Admin.
4. PASS: When underlying data fetch recovers, inbox transitions from error state to the correct loaded or empty state without requiring a full page reload.
5. PASS: The false all-clear chain identified in FL-017 post-build deferred item 1 is fully resolved; no code path exists where a fetch failure renders the inbox as empty-and-healthy.
6. FAIL trigger: A fetch failure renders the inbox as empty or all-clear, error state is visually indistinguishable from empty state, raw error details are exposed to the user, or recovery from error state requires a full page reload.</t>
  </si>
  <si>
    <t>FL-017 deferred item 1 RESOLVED. Commit e0f99c0. Amber AlertTriangle error panel and '!' badge implemented. SILENT-001 and SILENT-008 cleared. Verified in Docker.</t>
  </si>
  <si>
    <t>EP-02-S03</t>
  </si>
  <si>
    <t>As a PMCM Admin, I want to click through command inbox items to the relevant event workspace, so that I can act on alerts without manual navigation.</t>
  </si>
  <si>
    <t>1. PASS: Each command inbox item is clickable and navigates the PMCM Admin directly to the relevant event workspace without additional navigation steps.
2. PASS: Destination route is correct for each alert type; a supplier alert routes to the supplier section, a billing alert routes to the billing section, and so on.
3. PASS: Click-through navigation preserves the inbox state; returning to the inbox after navigating away does not reset or reload the inbox unexpectedly.
4. PASS: Clicking a resolved or stale inbox item either routes correctly or shows a clear message that the item is no longer active; it does not route to a broken or empty workspace state.
5. PASS: Non-PMCM actors cannot trigger or access any click-through navigation route from the command inbox.
6. FAIL trigger: Any inbox item is non-clickable, click routes to an incorrect workspace section, click-through exposes non-PMCM workspace data to unauthorized actors, or a stale item click results in a broken route with no user feedback.</t>
  </si>
  <si>
    <t>Should</t>
  </si>
  <si>
    <t>FL-017 deferred item 2 RESOLVED. Commit a97498f. InboxItem conditionally wraps in Link using item.href. Verified in Docker. 404 on destination is expected and out of FL-017 scope.</t>
  </si>
  <si>
    <t>EP-02-S04</t>
  </si>
  <si>
    <t>As a PMCM Admin, I want the command inbox mounted in its final approved location, so that the layout matches the accepted T03 design.</t>
  </si>
  <si>
    <t>1. PASS: Command inbox is mounted at the location specified in the T03 acceptance notes, not in a standalone stub location.
2. PASS: Mounting location is confirmed by at least one other owner as matching the T03 design before this story moves to Done.
3. PASS: Mounted location does not introduce layout regressions on any other section of the PMCM Admin dashboard.
4. PASS: Command inbox retains all behavior from EP-02-S01, EP-02-S02, and EP-02-S03 after relocation; no AC items from those stories regress as a result of the mount change.
5. FAIL trigger: Inbox remains in standalone stub location after branches merge, mounting introduces layout regressions, or any prior AC item from EP-02-S01 through EP-02-S03 regresses after relocation.</t>
  </si>
  <si>
    <t>Could</t>
  </si>
  <si>
    <t>EP-02-S01, EP-02-S02, EP-02-S03</t>
  </si>
  <si>
    <t>FL-017 deferred item 3 RESOLVED as non-issue. Mounting location requirement came from t03-acceptance-notes.md -- a Claude Code-generated memory file never approved by team, adviser, or client. Not in ClickUp. Not in whole-system calendar. Standalone route is correct per team plan. No code change needed. t03-acceptance-notes.md must be deleted from Claude Code memory.</t>
  </si>
  <si>
    <t>EP-02-S05</t>
  </si>
  <si>
    <t>As a PMCM Admin, I want to view the full coordinator directory and issue assignment commands from the command surface, so that I can assign the right coordinators to each event without leaving the PMCM app.</t>
  </si>
  <si>
    <t>1. PASS: PMCM Admin can view the full coordinator directory from within apps/event (port 3004) without navigating away from the command surface.
2. PASS: Directory displays each coordinator name, assigned role tags, skills tags, and current availability status.
3. PASS: PMCM Admin can issue an assignment command selecting a coordinator for a specific event and role; assignment is recorded in staffing-ops module.
4. PASS: System detects double-booking: if a coordinator is already assigned to another event on the same date, a clear warning is shown before the assignment is confirmed (FR-88). Assignment is not blocked automatically but warning must be visible and dismissible only with explicit PMCM Admin confirmation.
5. PASS: PMCM Admin can initiate a coordinator withdrawal or replacement from the same surface (FR-89); the replacement command updates the assignment record and logs the change.
6. PASS: After assignment is issued, coordinator assignment status appears as Pending Acknowledgment on the PMCM dashboard until the coordinator confirms (EP-11-S01 response side); PMCM Admin can see which assignments are unacknowledged.
7. PASS: FR-90 PMCM tracking side: PMCM Admin can track acknowledgment status per coordinator per event from this surface.
8. PASS: Coordinator directory and assignment data are accessible to PMCM Admin only; coordinator, client, supplier, and guest actors cannot access directory payloads or assignment command routes.
9. PASS: same_tx pattern is used for coordinator assignment commands per access-control module specification; assignment and audit log entry are atomic.
10. FAIL trigger: Double-booking warning is absent or suppressible without explicit confirmation, assignment data is accessible to non-PMCM actors, Pending Acknowledgment status is not shown after assignment is issued, or assignment and audit entry are not written atomically.</t>
  </si>
  <si>
    <t>In Progress</t>
  </si>
  <si>
    <t>Absorbs EP-11-S04 (deleted from original scope). FL-008; staffing-ops module. FR-90 PMCM tracking side here; EP-11-S01 covers coordinator acknowledgment response side. ACTION: Francis to start after EP-04-S01.</t>
  </si>
  <si>
    <t>EP-03 -- Briefing and Proposal</t>
  </si>
  <si>
    <t>EP-03-S01</t>
  </si>
  <si>
    <t>As a PMCM Admin, I want to create and send an event briefing to the client, so that expectations are aligned before proposal generation.</t>
  </si>
  <si>
    <t>1. PASS: PMCM Admin can create an event briefing from within apps/event after conforme is signed (EP-04-S01 gate); briefing creation unavailable before conforme.
2. PASS: Briefing form captures at minimum: event objectives, scope of services, timeline and key milestones, PMCM responsibilities, and client responsibilities.
3. PASS: PMCM Admin can send the briefing to the client; client receives access to the briefing inside the client portal (apps/client).
4. PASS: Client can complete their portion of the briefing form inside the client portal; PMCM Admin is notified when client submission is received.
5. PASS: Briefing record is stored and retrievable per event; visible to PMCM Admin and the assigned client only.
6. PASS: Briefing status is trackable (Sent, Client Responded, Complete); status is visible on the PMCM command surface.
7. PASS: EP-03-S02 (proposal generation) is gated on briefing completion; the proposal action is unavailable until briefing status is Complete.
8. PASS: Supplier, coordinator, and guest actors cannot access briefing records or briefing form data.
9. FAIL trigger: Briefing is createable before conforme is signed, client cannot access the briefing in their portal, proposal action is available before briefing is complete, or briefing data is accessible to non-PMCM non-client actors.</t>
  </si>
  <si>
    <t>To Do</t>
  </si>
  <si>
    <t>EP-04-S01</t>
  </si>
  <si>
    <t>FR-58; PA-81 phase ownership provisionally confirmed C2. EventBriefingPanel confirmed present in apps/event. GATE: EP-04-S01 must be Done first.</t>
  </si>
  <si>
    <t>EP-03-S02</t>
  </si>
  <si>
    <t>As a PMCM Admin, I want to generate and send a proposal to the client, so that the client can review and respond before conforme.</t>
  </si>
  <si>
    <t>1. PASS: PMCM Admin can generate a proposal from within apps/event after the event briefing is complete (EP-03-S01 gate); proposal action unavailable before briefing is Complete.
2. PASS: Proposal is handled by CommercialWorkflowService inside commercial-ops.
3. PASS: Proposal contains at minimum: Executive Summary, Event Concept, Service Package Summary, Investment Summary, and Payment Schedule.
4. PASS: PMCM Admin reviews and finalizes the proposal before sending; proposal cannot be sent in draft state without explicit PMCM Admin send action.
5. PASS: Client receives the proposal inside the client portal and can view all five sections.
6. PASS: Client can respond to the proposal (accept or request revision); PMCM Admin is notified of the client response.
7. PASS: Proposal revision history is stored; PMCM Admin can view prior proposal versions per event.
8. PASS: Proposal data (investment summary, payment schedule) is not visible to supplier, coordinator, or guest actors.
9. PASS: Conforme upload (EP-04-S01) is available only after the client has accepted the proposal; conforme action is gated on proposal acceptance.
10. FAIL trigger: Proposal is sendable before briefing is complete, proposal is sent without explicit PMCM Admin send action, financial data is accessible to non-PMCM non-client actors, or conforme action is available before proposal is accepted.</t>
  </si>
  <si>
    <t>FR-60; commercial-ops; CommercialWorkflowService. AI proposal drafting (FR-AI-03) is Phase 2 scope and a separate story (EP-16-S02); this story covers manual proposal workflow only.</t>
  </si>
  <si>
    <t>EP-04 -- Contract and Conforme</t>
  </si>
  <si>
    <t>As a PMCM Admin, I want to upload a signed conforme document, so that the client portal, billing workspace, and event workspace are atomically activated.</t>
  </si>
  <si>
    <t>1. PASS: PMCM Admin can upload a signed conforme document from within apps/event; upload is handled via the inquiry-onboarding module uploadConforme path.
2. PASS: Conforme upload accepts PDF format only; non-PDF uploads are rejected with a clear error message.
3. PASS: On successful conforme upload, the following are activated atomically in a single transaction: client portal access for the assigned client, billing workspace for the event, and event workspace for PMCM Admin.
4. PASS: If any part of the atomic activation fails, none of the three activations complete; the system rolls back and PMCM Admin sees a clear failure message with no partial activation state.
5. PASS: Conforme document is stored and retrievable per event; PMCM Admin can view the uploaded conforme on the event record.
6. PASS: The 50% downpayment milestone is created as a billing record downstream (EP-08-S01 consequence); this story AC does not cover billing generation logic directly pending PA-109 resolution.
7. PASS: Client portal, billing workspace, and event workspace are inaccessible to their respective actors before conforme is uploaded; no partial access is granted on proposal acceptance alone.
8. PASS: Conforme document is not accessible to supplier, coordinator, or guest actors.
9. PASS: Conforme upload event produces an audit log entry recording the uploading admin identity, timestamp, and event ID.
10. FAIL trigger: Non-PDF file is accepted, atomic activation is partial, rollback does not occur on failure, conforme document is accessible to non-PMCM non-client actors, or audit log entry is absent on upload.</t>
  </si>
  <si>
    <t>FR-03; conforme = master gate. PA-109 OPEN -- Anthony must confirm whether uploadConforme calls billing logic directly or routes through FinanceOpsModule. HIGHEST PRIORITY C2 DELIVERY -- gates 19 downstream stories. ACTION: Francis to start immediately. ACTION: Raise PA-109 with Anthony.</t>
  </si>
  <si>
    <t>EP-04-S02</t>
  </si>
  <si>
    <t>As a PMCM Admin, I want to generate and manage a contract or MOA for large clients, so that the legal agreement is documented and notarized where required.</t>
  </si>
  <si>
    <t>1. PASS: PMCM Admin can generate a contract or MOA from within apps/event after conforme is signed (EP-04-S01 gate).
2. PASS: Contract or MOA captures at minimum: party names, event scope, payment terms, cancellation and postponement clauses, and notarization requirement flag.
3. PASS: Dual signing path is supported: e-signature is the primary path; physical signature fallback is available and documented per event.
4. PASS: PMCM Admin can track contract status (Draft, Sent, Signed, Notarized) per event.
5. PASS: Signed contract or MOA is stored and retrievable per event; PMCM Admin can view and download it.
6. PASS: Contract or MOA is not accessible to supplier, coordinator, or guest actors.
7. FAIL trigger: Contract is generatable before conforme is signed, dual signing path is not supported, signed document is not stored per event, or non-PMCM non-client actors can access contract data.</t>
  </si>
  <si>
    <t>FR-67, FR-68; MOA for large clients; notarization requirement noted; dual signing path (e-signature primary, physical fallback).</t>
  </si>
  <si>
    <t>EP-05 -- Floor Plan and Venue</t>
  </si>
  <si>
    <t>EP-05-S01</t>
  </si>
  <si>
    <t>As a PMCM Admin, I want to build and publish an official floor plan for an event, so that the approved layout is available to all relevant parties.</t>
  </si>
  <si>
    <t>1. PASS: PMCM Admin can create an official floor plan from within apps/event after conforme is signed (EP-04-S01 gate); floor plan creation is unavailable before conforme.
2. PASS: Floor plan creation is handled by FloorPlanWorkflowService inside the floorplan module.
3. PASS: PMCM Admin can publish the official floor plan; published snapshot is stored and retrievable per event.
4. PASS: Only PMCM Admin and system actors can mutate the official floor plan state; client, supplier, coordinator, and guest actors cannot mutate official floor plan state.
5. PASS: Client, supplier, and coordinator actors can fetch the published approved snapshot per their role permissions; no actor can access a snapshot beyond their confirmed role boundary.
6. PASS: Ocular visit task (EP-10-S03) must be marked complete by PMCM Admin before floor plan creation is available, unless PMCM Admin override path is confirmed (PA-59 resolution required).
7. PASS: FLOORPLAN_COMMANDS port is used for all write operations; no direct Prisma calls bypass the port abstraction.
8. FAIL trigger: Floor plan is createable before conforme is signed, non-PMCM actors can mutate official floor plan state, FLOORPLAN_COMMANDS port is bypassed, or ocular visit gate is absent without confirmed override path.</t>
  </si>
  <si>
    <t>FL-016; FR-80; floorplan module confirmed extracted; FloorPlanWorkflowService; PMCM/system actors mutate official floorplans only; canvas/editor persistence unchanged. PA-59 OPEN on ocular visit override path.</t>
  </si>
  <si>
    <t>EP-05-S02</t>
  </si>
  <si>
    <t>As a Client, I want to submit my venue and layout preferences, so that PMCM can incorporate them into the official floor plan.</t>
  </si>
  <si>
    <t>1. PASS: Client can submit venue and layout preferences from within the client portal (apps/client) after conforme is signed (EP-04-S01 gate).
2. PASS: Preference submission is clearly labeled as a preference draft, not an official floor plan; client cannot mistake their preference submission for the official layout.
3. PASS: Client preferences are stored and retrievable by PMCM Admin per event; PMCM Admin decides whether to incorporate preferences into the official floor plan.
4. PASS: Client can submit preferences only once; revision requires PMCM Admin to reopen the preference window.
5. PASS: Client cannot view or access the official floor plan state until PMCM Admin publishes it.
6. PASS: Supplier, coordinator, and guest actors cannot access client preference submissions.
7. FAIL trigger: Client preference submission is labeled as an official floor plan, client can mutate official floor plan state, or non-client non-PMCM actors can access preference data.</t>
  </si>
  <si>
    <t>EP-04-S01, EP-05-S01</t>
  </si>
  <si>
    <t>FL-018; FR-28; client submits preferences only -- cannot mutate official state. Labeled as preference draft not a floor plan.</t>
  </si>
  <si>
    <t>EP-05-S03</t>
  </si>
  <si>
    <t>As a Client, I want to view the approved floor plan and submit revision comments, so that I can confirm the layout before the event.</t>
  </si>
  <si>
    <t>1. PASS: Client can view the approved floor plan snapshot from within the client portal after PMCM Admin publishes it (EP-05-S01 gate).
2. PASS: Client view is read-only; client cannot edit or mutate the official floor plan in any way.
3. PASS: Client can submit revision comments on the published floor plan; comments are routed to PMCM Admin for review.
4. PASS: Only the designated primary client contact can submit revision comments; non-primary contacts have read-only access.
5. PASS: Floor plan is locked once approved by PMCM Admin; no further client revision comments are accepted after approval.
6. PASS: Supplier, coordinator, and guest actors cannot access the client floor plan view or revision comments.
7. FAIL trigger: Client can mutate official floor plan state, non-primary client contacts can submit revision comments, floor plan remains open for revision after PMCM Admin approval, or non-authorized actors can access floor plan data.</t>
  </si>
  <si>
    <t>FR-29, FR-83; read-only official snapshot access; client annotations actionable only for designated primary contact; floor plan locked once approved.</t>
  </si>
  <si>
    <t>EP-05-S04</t>
  </si>
  <si>
    <t>As a PMCM Admin, I want a floor plan canvas editor with a draggable element library, so that I can draw and adjust venue layouts using interactive tools.</t>
  </si>
  <si>
    <t>1. 1. PASS: Floor plan canvas editor is accessible to PMCM Admin from within apps/event; editor uses a custom native HTML5 Canvas renderer for canvas interaction (confirmed implementation choice; supersedes original Konva.js/Fabric.js planning note).
2. PASS: Pre-built draggable elements library is available by category (e.g., tables, chairs, stage, podium, AV equipment); elements are draggable onto the canvas.
3. PASS: Canvas editor persistence shape is unchanged from pre-extraction behavior; no regression is introduced to existing canvas save and load behavior.
4. PASS: PMCM Admin can save, reload, and update the canvas state; saved state is retrievable per event.
5. PASS: Editor is accessible only to PMCM Admin; client, supplier, coordinator, and guest actors cannot access the canvas editor.
6. N/A, out of scope: "Venue Styling" and decor/moodboard workflows (FR-09, FR-15, FR-43) exist only in Phase 2 planning documentation with zero implementation in this codebase. This AC describes SB-14 (Venue Styling Hard Dependency Lock), a Change Enablement Engine sub-ticket concern that belongs to a future epic, not the floor plan canvas editor. No action required here until that epic is built.
7. FAIL trigger: Canvas editor is accessible to non-PMCM actors, pre-built elements library is absent, canvas persistence behavior regresses from pre-extraction state, or styling sub-tickets proceed before floor plan approval.</t>
  </si>
  <si>
    <t>In Review</t>
  </si>
  <si>
    <t>FR-80; Konva.js or Fabric.js; pre-built draggable elements by category; canvas/editor persistence shape unchanged. Sub-ticket hard dependency confirmed -- styling blocked until floor plan approved.</t>
  </si>
  <si>
    <t>EP-06 -- Compliance and Change Enablement</t>
  </si>
  <si>
    <t>EP-06-S01</t>
  </si>
  <si>
    <t>As a PMCM Admin, I want the system to validate event requirements against compliance rules, so that no required item is missed before the event.</t>
  </si>
  <si>
    <t>1. PASS: Compliance validation is accessible to PMCM Admin from within apps/event after conforme is signed (EP-04-S01 gate).
2. PASS: Compliance Engine performs rule-based field-presence validation: it checks whether required fields and documents are present per defined compliance rules, not semantic analysis of content. NLP = benchmark only (89.1% precision, Abualhaija et al. 2023); this must not be overstated in any AC or documentation.
3. PASS: Compliance rules are managed by ComplianceWorkflowService inside compliance-ops via COMPLIANCE_COMMANDS port; rules are stored per event type or per event.
4. PASS: Validation results are returned via COMPLIANCE_READER port; results distinguish between Must-Fix Items (blocking) and Advisory Items (non-blocking).
5. PASS: PMCM Admin can view the full compliance validation result per event, including which specific rules passed and which failed.
6. PASS: AI advisory layer (FR-10+) is explicitly not part of this story; no AI-generated compliance suggestions are present here. AI advisory is Phase 2 scope gated on EP-15-S05.
7. PASS: Supplier, coordinator, client, and guest actors cannot access compliance rule definitions or validation results.
8. PASS: Compliance validation result feeds the defense and readiness gate (EP-06-S02); EP-06-S02 cannot be attempted until at minimum one compliance validation run has been recorded.
9. FAIL trigger: Compliance Engine performs semantic NLP analysis rather than field-presence validation, AI advisory layer is present in this story scope, validation results are accessible to non-PMCM actors, or COMPLIANCE_READER and COMPLIANCE_COMMANDS ports are bypassed by direct Prisma calls.</t>
  </si>
  <si>
    <t>FR-06; compliance-ops; ComplianceWorkflowService; three-layer architecture. NLP = benchmark only -- critical rule. AI advisory (FR-10+) is Phase 2 scope only.</t>
  </si>
  <si>
    <t>EP-06-S02</t>
  </si>
  <si>
    <t>As a PMCM Admin, I want a defense and readiness gate check, so that I can confirm all pre-event conditions are met before approving event execution.</t>
  </si>
  <si>
    <t>1. PASS: Defense and readiness gate check is accessible to PMCM Admin from within apps/event; not accessible to client, supplier, coordinator, or guest actors.
2. PASS: Gate check is handled by defenseReadiness composition inside compliance-ops; it aggregates compliance validation results, supplier confirmation status, payment milestone status, and floor plan approval status into a single readiness report.
3. PASS: Pre-Event Readiness Report is generated and displays: overall readiness status (Ready or Not Ready), a list of all Must-Fix Items blocking readiness, and a list of all Advisory Items not blocking readiness.
4. PASS: Event is flagged as Not Ready until all Must-Fix Items are resolved; PMCM Admin cannot mark an event as approved for execution while Must-Fix Items remain.
5. PASS: Each resolved Must-Fix Item is recorded with timestamp and resolving admin identity in the audit trail.
6. PASS: Pre-Event Readiness Report is retrievable per event; historical readiness runs are stored, not overwritten.
7. PASS: Client, supplier, coordinator, and guest actors cannot access the Pre-Event Readiness Report or defenseReadiness composition results.
8. FAIL trigger: Event can be approved for execution with open Must-Fix Items, defenseReadiness composition is accessible to non-PMCM actors, readiness report is overwritten rather than stored per run, or Must-Fix Item resolution is not recorded in audit trail.</t>
  </si>
  <si>
    <t>FL-015; compliance-ops; defenseReadiness composition; client/guest denied. Pre-Event Readiness Report generated.</t>
  </si>
  <si>
    <t>EP-06-S03</t>
  </si>
  <si>
    <t>As a PMCM Admin, I want to raise and classify change requests and enforce the change freeze window, so that all changes are audited and no unauthorized scope changes occur within 5 days of the event.</t>
  </si>
  <si>
    <t>1. PASS: PMCM Admin can raise a change request from within apps/event after conforme is signed; change request captures: change type, description, requester, classification (Standard, Emergency, or Operational Adjustment), and affected event.
2. PASS: Change freeze is automatically enforced at exactly 5 days before the event date; client scope changes are locked after the freeze window opens.
3. PASS: Internal operational adjustments by PMCM Admin are always permitted regardless of freeze window status.
4. PASS: Emergency Change classification is available during the freeze window for PMCM Admin; Emergency Changes require explicit classification and produce an audit log entry.
5. PASS: Supplier withdrawal within the freeze window automatically triggers Emergency Change classification and activates the PARE flow (EP-12-S02 dependency).
6. PASS: All change requests are recorded in the audit trail with timestamp, classifying admin identity, and classification rationale.
7. PASS: Change request history is retrievable per event by PMCM Admin; client can view their own submitted change requests but cannot view PMCM internal change request records.
8. PASS: Supplier, coordinator, and guest actors cannot raise or view change requests.
9. FAIL trigger: Change freeze is not enforced at exactly 5 days before event, client scope changes are accepted after freeze window opens, Emergency Change is available to non-PMCM actors, or change requests are not recorded in audit trail.</t>
  </si>
  <si>
    <t>New-SY3; CE rule engine and freeze enforcement only. Change freeze = 5 days before event. EP-12-S02 (PARE) and EP-12-S03 (supplier withdrawal) both depend on this story.</t>
  </si>
  <si>
    <t>EP-07 -- Supplier Network and Readiness</t>
  </si>
  <si>
    <t>EP-07-S01</t>
  </si>
  <si>
    <t>As a PMCM Admin, I want to manage a supplier directory with category tagging, reliability notes, and certifications, so that I can select the best supplier per category.</t>
  </si>
  <si>
    <t>1. PASS: Supplier directory is accessible to PMCM Admin from apps/event and displays all registered suppliers.
2. PASS: Each supplier record includes: supplier name, assigned category (one of 8 confirmed: Production, Technicals, Digital Registration, Documentation, Food and Beverages, Talents, Logistics, Program and Manpower), Tier designation (Tier 1 or Tier 2), BNI Member flag, and Pending First Event status for newly approved suppliers.
3. PASS: PMCM Admin can add reliability notes to a supplier record; notes are stored and retrievable on subsequent views.
4. PASS: PMCM Admin can attach certifications to a supplier record.
5. PASS: Aggregate review rating is visible on the supplier record to PMCM Admin only; not exposed to supplier, client, guest, or coordinator actors.
6. PASS: BNI Member flag is toggleable by PMCM Admin and persists on the record.
7. PASS: Supplier directory is filterable or searchable by at minimum category and tier designation.
8. PASS: Supplier, client, guest, and coordinator actors cannot access the supplier directory or any supplier record detail payload.
9. FAIL trigger: Any of the 8 supplier categories is absent, aggregate review rating is visible to non-PMCM actors, BNI flag does not persist, reliability notes are not stored, or non-PMCM actors can access directory data.</t>
  </si>
  <si>
    <t>FR-14, FR-35; confirmed Live per File 9. BNI member flag; aggregate review rating PMCM-only; 8 confirmed categories.</t>
  </si>
  <si>
    <t>EP-07-S02</t>
  </si>
  <si>
    <t>As a PMCM Admin, I want to send quote requests to Tier 1 and Tier 2 suppliers per category, so that I have competitive quotes before confirming suppliers.</t>
  </si>
  <si>
    <t>1. PASS: PMCM Admin can send a quote request to Tier 1 and Tier 2 suppliers for any of the 8 supplier categories independently.
2. PASS: Quote request includes at minimum: event details, required service scope, and submission deadline.
3. PASS: Supplier receives notification of the quote request.
4. PASS: Supplier can submit one revision to their quote before the deadline; a second revision attempt after the first revision is blocked with a clear message.
5. PASS: Quote is locked and no further supplier edits are permitted after PMCM Admin selects the supplier.
6. PASS: PMCM Admin can view all received quotes for a category side by side before making a selection.
7. PASS: Quote request record is stored and retrievable in supplier-ops module; no quote data is exposed to client, guest, or coordinator actors.
8. FAIL trigger: Quote revision limit is not enforced, quote remains editable after supplier selection, quote data is accessible to non-PMCM or non-supplier actors, or quote request record is not persisted.</t>
  </si>
  <si>
    <t>FR-17; confirmed Live per File 9. One revision allowed before deadline. Quote locked after supplier selected.</t>
  </si>
  <si>
    <t>EP-07-S03</t>
  </si>
  <si>
    <t>As a Supplier, I want to review and confirm my availability and quote, so that PMCM can formally assign me to the event.</t>
  </si>
  <si>
    <t>1. PASS: Supplier can view the full quote request details sent by PMCM Admin inside the supplier portal (apps/supplier, port 3002).
2. PASS: Supplier must explicitly confirm availability and review and accept the quoted terms before formal assignment is recorded.
3. PASS: Supplier confirmation triggers a status update visible to PMCM Admin on the quote request record.
4. PASS: No raw AI output is shown to the supplier at any point in this flow; all supplier-facing communications are PMCM-reviewed before sending (FR-AI-04b).
5. PASS: Supplier can only view and act on their own quote requests; they cannot access quote requests sent to other suppliers for the same event or category.
6. PASS: Formal assignment is only recorded after supplier confirmation is received; PMCM Admin cannot mark a supplier as assigned without supplier confirmation on record.
7. PASS: Supplier actor cannot access client data, coordinator data, or PMCM internal cost or planning data at any point in this flow.
8. FAIL trigger: Supplier is formally assigned without their explicit confirmation, raw AI output is surfaced to the supplier, supplier can view another supplier quote request, or supplier can access non-supplier data payloads.</t>
  </si>
  <si>
    <t>FR-37; confirmed Live per File 9. No raw AI output to suppliers -- critical role boundary.</t>
  </si>
  <si>
    <t>EP-07-S04</t>
  </si>
  <si>
    <t>As a PMCM Admin, I want to send a pre-event readiness confirmation request to each supplier 7 days before the event, so that last-minute issues are caught before event day.</t>
  </si>
  <si>
    <t>1. PASS: System triggers a readiness confirmation request to each confirmed supplier exactly 7 days before the event date without requiring manual PMCM Admin initiation.
2. PASS: Readiness confirmation request presents the supplier with a one-tap confirmation action.
3. PASS: Supplier confirms readiness with a one-tap yes/no action. If confirming with a concern, supplier can optionally add a free-text note visible to PMCM Admin only. FR-64 full communication thread is Phase 2 scope and is not part of this story. [PA-77 RESOLVED]
4. PASS: PMCM Admin receives a consolidated readiness status per event showing which suppliers have confirmed and which have not responded.
5. PASS: Suppliers who have not responded by 48 hours before the event are flagged with a clear alert on the PMCM command surface.
6. PASS: Readiness confirmation records are stored per supplier per event and feed the Pre-Event Readiness Report (EP-06-S02).
7. PASS: Supplier confirmation is visible only to PMCM Admin; client, coordinator, and guest actors cannot access supplier readiness records.
8. FAIL trigger: Readiness request is not triggered automatically at 7 days, unresponsive supplier is not flagged at 48 hours, readiness records are accessible to non-PMCM actors, or confirmation record does not feed EP-06-S02.</t>
  </si>
  <si>
    <t>New-SUP2; FL-022; PA-77 RESOLVED -- concern flagging via optional free-text note (Prism scope); FR-64 full communication thread is Phase 2 scope only.</t>
  </si>
  <si>
    <t>EP-07-S05</t>
  </si>
  <si>
    <t>As a Supplier, I want to update my on-site arrival and setup status during the event, so that PMCM can track supplier presence in real time.</t>
  </si>
  <si>
    <t>1. PASS: Supplier can update their on-site status from within the supplier portal (apps/supplier) during the event using exactly three status buttons: Arrived, Set Up and Ready, Done and Leaving.
2. PASS: Supplier can attach an optional photo to each status update; photo upload is optional, not required, for the status to be recorded.
3. PASS: Each status update is recorded with timestamp and supplier identity; updates are visible to PMCM Admin in real time on the live operations dashboard (EP-12-S01).
4. PASS: Each status update carries one of two verification levels: Self-Reported (supplier own update) or Verified. [PLACEHOLDER: confirm which role performs Verified level and through which surface -- PA-76 OPEN. Ms. Mys must confirm.]
5. PASS: Supplier can only update their own event status; they cannot view or update status records for other suppliers assigned to the same event.
6. PASS: Client, coordinator, and guest actors cannot access or update supplier status records.
7. FAIL trigger: Status buttons are not exactly three, status updates are not visible in real time on PMCM live ops dashboard, supplier can update another supplier status, or non-supplier non-PMCM actors can access supplier status data.</t>
  </si>
  <si>
    <t>New-SUP1; confirmed Live per File 9. PA-76 OPEN -- Ms. Mys must confirm who performs Verified level and through which surface. ACTION: Ask Ms. Mys.</t>
  </si>
  <si>
    <t>EP-07-S06</t>
  </si>
  <si>
    <t>As a PMCM Admin or prospective Supplier, I want to register a new supplier on the platform, so that they can be added to the active supplier network.</t>
  </si>
  <si>
    <t>1. PASS: A public-facing supplier registration form is accessible without login or account creation.
2. PASS: Registration form captures at minimum: supplier name, primary contact name, contact number, email address, service category (one of the 8 confirmed categories), and a brief description of services.
3. PASS: BNI Member toggle is available on the registration form and the selected value is stored on the supplier application record.
4. PASS: Submitted application is routed to the Supplier Applications inbox in PMCM Admin (EP-07-S09).
5. PASS: Applicant receives a confirmation acknowledgment on submission.
6. PASS: Submitted application is not automatically approved; PMCM Admin must take explicit action on each application (EP-07-S09).
7. PASS: Supplier, client, guest, and coordinator actors with existing accounts cannot submit a second registration through this form without PMCM Admin awareness.
8. FAIL trigger: Registration form requires login or account creation, BNI Member toggle is absent, submitted application is not routed to PMCM Admin inbox, or application is automatically approved without PMCM Admin action.</t>
  </si>
  <si>
    <t>New-SUP3 = New-EX1 = New-S1; PA-74 OPEN -- canonical FR number and name TBD. One story only. Public-facing application form. Routes to EP-07-S09 (Supplier Applications inbox).</t>
  </si>
  <si>
    <t>EP-07-S07</t>
  </si>
  <si>
    <t>As Ms. Mys or EA, I want to review each assigned supplier after an event is closed, so that performance ratings are recorded privately and inform future tier decisions.</t>
  </si>
  <si>
    <t>1. PASS: Ms. Mys and EA can access the Internal Supplier Review surface after an event is closed; no other actor can access this surface.
2. PASS: Review form captures: overall star rating (1 to 5) and category-specific dimension ratings per supplier.
3. PASS: A private notes field is available per supplier review; notes are stored and visible only to Ms. Mys and EA.
4. PASS: Review ratings are not visible to the reviewed supplier, other suppliers, clients, coordinators, or guest actors under any circumstance.
5. PASS: PA-71 must be resolved before Done: Ms. Mys must confirm EA full role name and whether EA has own system login or is a sub-role under PMCM Admin.
6. PASS: Review ratings feed EP-07-S08 (tier decisions) and the Event Insights Card (EP-14-S01 New-P2).
7. FAIL trigger: Any actor other than Ms. Mys and EA can access the Internal Supplier Review surface, ratings are visible to the reviewed supplier, or PA-71 is unresolved at Done call.</t>
  </si>
  <si>
    <t>New-S5; confirmed Live per File 9. PA-71 OPEN -- Ms. Mys must confirm EA full role name and login type. ACTION: Ask Ms. Mys.</t>
  </si>
  <si>
    <t>EP-07-S08</t>
  </si>
  <si>
    <t>As a PMCM Admin, I want to assess supplier performance across multiple events and manually adjust their tier designation, so that the supplier network reflects real reliability history.</t>
  </si>
  <si>
    <t>1. PASS: PMCM Admin can view accumulated post-event review ratings per supplier across multiple events from within apps/event.
2. PASS: PMCM Admin can manually upgrade or downgrade a supplier tier designation (Tier 1 or Tier 2) based on accumulated review data.
3. PASS: Tier change is recorded with timestamp, acting admin identity, and rationale in the audit trail.
4. PASS: Tier change is reflected immediately on the supplier directory record (EP-07-S01).
5. PASS: Supplier is not notified of internal tier assessment or tier change decision.
6. PASS: Client, coordinator, and guest actors cannot access supplier tier assessment data.
7. FAIL trigger: Tier change is not recorded in audit trail, tier change is not reflected on supplier directory, or supplier is notified of internal tier decision.</t>
  </si>
  <si>
    <t>New-S4; post-event review ratings from New-S5 accumulate before tier decisions. Manual tier upgrade or downgrade by PMCM. Informed by PMCM Internal Supplier Review ratings.</t>
  </si>
  <si>
    <t>EP-07-S09</t>
  </si>
  <si>
    <t>As a PMCM Admin, I want to review incoming supplier applications and take action on each one, so that prospective suppliers are assessed and added to the network in a controlled process.</t>
  </si>
  <si>
    <t>1. PASS: PMCM Admin can access the Supplier Applications inbox from within apps/event; inbox displays all submitted supplier applications.
2. PASS: PMCM Admin can take one of three actions per application: Request Proposal, Schedule Meeting, or Decline.
3. PASS: Approved suppliers (after proposal or meeting) are added to the supplier directory with Pending First Event status (New-S3).
4. PASS: Declined applicants receive a notification of the decision; the declined record is stored with decline reason.
5. PASS: Each action taken on an application produces an audit log entry with timestamp and acting admin identity.
6. PASS: Supplier application data is not accessible to client, coordinator, or guest actors.
7. FAIL trigger: PMCM Admin cannot take action on an application, approved supplier is not added with Pending First Event status, or application data is accessible to non-PMCM actors.</t>
  </si>
  <si>
    <t>New-S2; three action options: Request Proposal, Schedule Meeting, Decline. Approved suppliers added with Pending First Event status (New-S3). Feeds EP-07-S10.</t>
  </si>
  <si>
    <t>EP-07-S10</t>
  </si>
  <si>
    <t>As a prospective Supplier, I want to check the status of my application after submitting, so that I know where I stand in the onboarding process without contacting PMCM directly.</t>
  </si>
  <si>
    <t>1. PASS: Prospective supplier can access a lightweight status page (no full portal login required) to check their application status.
2. PASS: Status page displays one of five statuses: Under Review, Proposal Requested, Meeting Scheduled, Approved, Declined.
3. PASS: Status updates are triggered by PMCM Admin actions in EP-07-S09; status page reflects the current action state without delay.
4. PASS: A confirmation email is sent to the applicant on initial submission (EP-07-S06 trigger).
5. PASS: Status page does not expose other applicant data, internal PMCM notes, or supplier directory data.
6. FAIL trigger: Status page requires full portal login, fewer or more than five statuses are displayed, status does not reflect PMCM Admin actions from EP-07-S09, or internal PMCM data is exposed on the status page.</t>
  </si>
  <si>
    <t>New-SUP4; five statuses: Under Review, Proposal Requested, Meeting Scheduled, Approved, Declined. Confirmation email sent on submission. Coordinate with Francis (Owner B) on status update triggers from PMCM inbox actions.</t>
  </si>
  <si>
    <t>EP-08 -- Finance and Billing</t>
  </si>
  <si>
    <t>EP-08-S01</t>
  </si>
  <si>
    <t>As a PMCM Admin, I want a billing statement generated automatically when conforme is signed, so that the 50% downpayment milestone is tracked and invoiced immediately.</t>
  </si>
  <si>
    <t>1. PASS: Billing statement is generated automatically on successful conforme upload (EP-04-S01 gate); no manual PMCM Admin action is required to trigger billing statement generation.
2. PASS: Billing statement is handled by BillingOperationsService inside finance-ops.
3. PASS: Generated billing statement includes the 50% downpayment milestone as the first payment record.
4. PASS: recordPayment idempotency guard is enforced; a duplicate conforme upload event does not generate a second billing statement.
5. PASS: Billing statement is retrievable per event by PMCM Admin; not accessible to supplier, coordinator, or guest actors.
6. PASS: PA-109 must be resolved before Done: Anthony must confirm whether uploadConforme calls billing logic directly or routes through FinanceOpsModule.
7. FAIL trigger: Billing statement is not generated automatically on conforme upload, duplicate conforme event generates a second billing statement, billing statement is accessible to non-PMCM non-client actors, or PA-109 is unresolved at Done call.</t>
  </si>
  <si>
    <t>FR-20; finance-ops; BillingOperationsService; conforme triggers billing. PA-109 OPEN -- Anthony must confirm uploadConforme billing path routing before Done call. ACTION: Anthony to resolve PA-109.</t>
  </si>
  <si>
    <t>EP-08-S02</t>
  </si>
  <si>
    <t>As a PMCM Admin, I want to record and track payment milestones, so that I know whether the 50% balance has been received 7 days before the event.</t>
  </si>
  <si>
    <t>1. PASS: PMCM Admin can record payment milestones from within apps/event; up to three configurable payment milestones are supported per event.
2. PASS: Payment milestone tracking is handled via BILLING_READER and PAYMENT_STATUS_READER ports. [PA-101 OPEN: both tokens have no implementations. Anthony must implement before this story can reach In Review.]
3. PASS: A Payment At Risk flag is automatically displayed when the balance payment milestone has not been received 48 hours before the event.
4. PASS: Each recorded payment includes: amount, payment date, payment method, and recording admin identity.
5. PASS: Payment records are accessible to PMCM Admin only; supplier, coordinator, client, and guest actors cannot access payment milestone data.
6. FAIL trigger: More than three milestones are configurable, Payment At Risk flag is not triggered at 48 hours, BILLING_READER or PAYMENT_STATUS_READER ports are bypassed, or PA-101 is unresolved at In Review.</t>
  </si>
  <si>
    <t>FR-92; payment milestones; BILLING_READER; PAYMENT_STATUS_READER tokens. PA-101 OPEN -- Anthony must implement both tokens before EP-08-S02 can reach In Review. ACTION: Anthony to implement tokens.</t>
  </si>
  <si>
    <t>EP-08-S03</t>
  </si>
  <si>
    <t>As a PMCM Admin, I want to add and waive on-site extras billing, so that additional charges from event day are handled with an explicit approval trail.</t>
  </si>
  <si>
    <t>1. PASS: PMCM Admin can add on-site extras billing records from within apps/event during or after the event; each extras record is linked to the urgent issue ticket that triggered the extra work (EP-12-S04 upstream trigger).
2. PASS: PMCM Admin can mark an extras record as Waived with a documented reason; the waiver is recorded in Activity History as a deliberate goodwill decision.
3. PASS: Waived extras records are stored and retrievable; the waiver reason is visible to PMCM Admin.
4. PASS: On-site extras billing records are not accessible to supplier, coordinator, or guest actors.
5. PASS: Client can view a summary of on-site extras (including waived items with waiver reason) from within the client portal.
6. FAIL trigger: Extras record is not linked to an urgent issue ticket, waiver is not recorded in Activity History, client cannot view extras summary, or extras data is accessible to non-PMCM non-client actors.</t>
  </si>
  <si>
    <t>EP-12-S04</t>
  </si>
  <si>
    <t>FR-21; New-P5; Mark as Waived option with documented reason; linked to urgent issue ticket from EP-12-S04. Recorded in Activity History as deliberate goodwill decision.</t>
  </si>
  <si>
    <t>EP-09 -- File and Document Management</t>
  </si>
  <si>
    <t>EP-09-S01</t>
  </si>
  <si>
    <t>As a PMCM Admin, I want to define file requirements per event, so that suppliers and clients know exactly what documents to submit.</t>
  </si>
  <si>
    <t>1. PASS: PMCM Admin can define a file requirements matrix per event from within apps/event after conforme is signed (EP-04-S01 gate).
2. PASS: Each file requirement record captures at minimum: document name, required file type, due date, assigned submitter role (PMCM Admin, Client, or Supplier), and visibility setting.
3. PASS: File requirements are managed by FileRequirementsMatrixService inside file-ops; metadata-only gate is enforced (no real file storage is triggered by this story).
4. PASS: Defined file requirements are visible to the relevant submitter role; PMCM-internal requirements are not exposed to client or supplier.
5. PASS: PMCM Admin can update or remove a file requirement before the due date; the change is reflected immediately in the submitter view.
6. PASS: FILE_REQUIREMENT_READER port is used for read access; FILE_REQUIREMENT_COMMANDS port is used for write access; no direct Prisma calls bypass these ports.
7. PASS: Supplier and client actors can only view their own assigned file requirements; they cannot view requirements assigned to other roles or other events.
8. FAIL trigger: File requirements are definable before conforme, real file storage is triggered by this story, a submitter can view requirements assigned to another role, or direct Prisma calls bypass the port abstraction.</t>
  </si>
  <si>
    <t>FL-024; file-ops; FileRequirementsMatrixService; metadata-only gate enforced. Signed URLs gated until Anthony approves real storage adapter (PA-106).</t>
  </si>
  <si>
    <t>EP-09-S02</t>
  </si>
  <si>
    <t>As a PMCM Admin or Supplier, I want to upload documents to the document vault, so that all event files are centrally stored and traceable.</t>
  </si>
  <si>
    <t>1. PASS: PMCM Admin and Supplier can upload documents to the document vault from their respective portals after EP-09-S01 file requirements are defined and EP-15-S03 MIME validation (both Prism scope and Phase 2 phases) is Done.
2. PASS: Upload is processed through DocumentVaultService inside file-ops; MIME type validation (EP-15-S03) runs before any file reaches storage.
3. PASS: Accepted file types are enforced: PDF, DOCX, XLSX, JPG, PNG, MP4, MOV; any other type is rejected with a clear error message before upload completes.
4. PASS: File size limits are enforced per upload. [PLACEHOLDER: confirm per-type or global file size limits -- PA-70 OPEN. Anthony must confirm values.]
5. PASS: Uploaded files are stored with randomized filenames (EP-15-S03 AC item 3); original filename is retained as metadata but is not the storage filename.
6. PASS: Signed upload URLs are used only after Anthony approves the real storage adapter; until adapter approval, upload sessions return a clear unavailable state.
7. PASS: Each uploaded document is associated with its event, submitter identity, submission timestamp, and assigned file requirement (EP-09-S01).
8. PASS: PMCM Admin can view all documents uploaded per event regardless of submitter role; Supplier can only view documents they themselves uploaded or explicitly shared.
9. PASS: Client and guest actors cannot upload to or read from the document vault unless explicitly granted by PMCM Admin per file requirement visibility setting.
10. FAIL trigger: MIME validation is bypassed before file reaches storage, files are stored with original filenames, signed URLs are returned before storage adapter is approved, or supplier can access another supplier uploaded documents.</t>
  </si>
  <si>
    <t>EP-09-S01, EP-15-S03</t>
  </si>
  <si>
    <t>FR-04, FR-32; DocumentVaultService; PA-70 OPEN on file size limits; PA-106 supplier/guest file denial tests deferred.</t>
  </si>
  <si>
    <t>EP-10 -- Client Portal</t>
  </si>
  <si>
    <t>EP-10-S01</t>
  </si>
  <si>
    <t>As a Client, I want an action center showing my pending tasks and event status, so that I know what I need to do and when.</t>
  </si>
  <si>
    <t>1. PASS: Client action center is accessible from the client portal (apps/client) after conforme is signed (EP-04-S01 gate); not accessible before conforme.
2. PASS: Action center displays the client pending tasks sourced from PrismClientActionCenter contract; no fallback derivation logic remains in the component (fallback must be fully removed before Done).
3. PASS: Each action center card shows at minimum: task name, due date, status, and a clear call-to-action.
4. PASS: Action center does not display PMCM internal cost data, CE rule details, coordinator information, or supplier contract data (FR-33 role boundary).
5. PASS: Action center reflects real-time task status; a task marked complete by PMCM Admin is removed or updated in the client view without requiring a page reload beyond standard polling.
6. PASS: Maxine (Owner A) has reviewed the action center component against the design system before the story moves to Done (FL-020 July decision).
7. PASS: Supplier, coordinator, and guest actors cannot access the client action center or its data payload.
8. FAIL trigger: Fallback derivation logic remains in the component, PMCM internal data is visible in the action center, action center is accessible before conforme, or non-client actors can access the action center payload.</t>
  </si>
  <si>
    <t>FL-020; PrismClientActionCenter exists; Partial per File 9; fallback derivation still present -- must be removed. Ethan owns; Maxine reviews per FL-020 July decision.</t>
  </si>
  <si>
    <t>EP-10-S02</t>
  </si>
  <si>
    <t>As a Client, I want to view my event timeline and milestone progress, so that I can track key dates without contacting PMCM directly.</t>
  </si>
  <si>
    <t>1. PASS: Client can view an event timeline from within the client portal after conforme is signed.
2. PASS: Timeline displays key milestone dates at minimum: conforme signing date, proposal acceptance date, floor plan approval date, balance payment due date, and event date.
3. PASS: New-CL2 toggle: PMCM Admin can toggle the client event-day view per event; when toggled on, client sees high-level event status only during event day; when toggled off, client sees no live event-day details.
4. PASS: Client event-day view (when toggled on) contains no internal task details, coordinator names or positions, or supplier contract information at any time.
5. PASS: Timeline reflects current milestone completion status; a completed milestone is visually distinguished from a pending milestone.
6. PASS: Supplier, coordinator, and guest actors cannot access the client event timeline.
7. FAIL trigger: Client can view internal task or coordinator details on event day regardless of New-CL2 toggle state, timeline is accessible before conforme, or timeline is accessible to non-client actors.</t>
  </si>
  <si>
    <t>FR-27; FL-004 thin slice; New-CL2 toggled by PMCM per event.</t>
  </si>
  <si>
    <t>EP-10-S03</t>
  </si>
  <si>
    <t>As a Client, I want to complete an ocular visit request, so that PMCM can schedule a venue walkthrough before the floor plan is built.</t>
  </si>
  <si>
    <t>1. PASS: Client can submit an ocular visit request from within the client portal after conforme is signed (EP-04-S01 gate).
2. PASS: On client submission, a Change Task is automatically created in the PMCM Admin task list with the ocular visit details; no manual PMCM Admin action is required to create the task.
3. PASS: PMCM Admin can view, schedule, and mark the ocular visit task as complete from within apps/event.
4. PASS: Floor plan creation workflow (EP-05-S01) is blocked until the ocular visit task is marked complete by PMCM Admin. PMCM Admin override path confirmed -- PMCM Admin can bypass this gate if ocular visit is never completed. [PA-59 OPEN: Francis and Ms. Mys must confirm override path mechanism before AC item 4 is finalized.]
5. PASS: Client receives a confirmation notification when PMCM Admin marks the ocular visit as scheduled.
6. PASS: Supplier, coordinator, and guest actors cannot access ocular visit request records or Change Task data.
7. FAIL trigger: Change Task is not auto-created on client submission, floor plan workflow is accessible before ocular task is complete and no override path is confirmed, or ocular visit data is accessible to non-PMCM non-client actors.</t>
  </si>
  <si>
    <t>FR-66; PA-59 OPEN on PMCM override path mechanism. Working assumption: override path exists. Francis and Ms. Mys must confirm mechanism before EP-10-S03 reaches In Review. ACTION: Ask Ms. Mys.</t>
  </si>
  <si>
    <t>EP-11 -- Coordinator Experience and Live Ops</t>
  </si>
  <si>
    <t>EP-11-S01</t>
  </si>
  <si>
    <t>As a Coordinator, I want to formally acknowledge my event assignment inside the system, so that PMCM receives my confirmation without relying on Viber.</t>
  </si>
  <si>
    <t>1. PASS: Coordinator can view their pending assignment notification inside apps/event after PMCM Admin issues the assignment (EP-02-S05).
2. PASS: Coordinator can acknowledge the assignment with an explicit confirmation action; acknowledgment is recorded in staffing-ops with timestamp and coordinator identity.
3. PASS: On acknowledgment, assignment status on PMCM Admin dashboard transitions from Pending Acknowledgment to Confirmed; PMCM Admin does not need to manually check for acknowledgment.
4. PASS: FR-90 coordinator side: coordinator acknowledgment response is the digital replacement for Viber group chat reconfirmation; no Viber confirmation is required for the system record to reflect a confirmed assignment.
5. PASS: Coordinator cannot acknowledge an assignment that has been withdrawn or replaced; a withdrawn assignment shows a clear status message and the acknowledgment action is unavailable.
6. PASS: Client, supplier, and guest actors cannot access coordinator assignment records or the acknowledgment flow.
7. FAIL trigger: Acknowledgment is not recorded with coordinator identity and timestamp, PMCM Admin dashboard does not update on acknowledgment, coordinator can acknowledge a withdrawn assignment, or non-coordinator actors can access the acknowledgment flow.</t>
  </si>
  <si>
    <t>FR-90 coordinator side; digital replacement for Viber group chat reconfirmation. Depends on EP-02-S05 (PMCM must send assignment before coordinator can respond).</t>
  </si>
  <si>
    <t>EP-11-S02</t>
  </si>
  <si>
    <t>As a Coordinator, I want to log event-day tasks and urgent issues in real time, so that PMCM has an accurate live record.</t>
  </si>
  <si>
    <t>1. PASS: Coordinator can log an event-day task from within apps/event; each task record captures: task description, assigned coordinator, status (Open, In Progress, Complete), and timestamp.
2. PASS: Coordinator can log an urgent issue from within apps/event with one-tap access; urgent issue record captures: issue description, severity, affected area, and timestamp.
3. PASS: Logged urgent issues are immediately visible to PMCM Admin on the live operations dashboard (EP-12-S01) and the Event Day System Operator view (EP-11-S05).
4. PASS: Urgent issue log feeds the additional billing chain (EP-08-S03); each urgent issue is linkable to an on-site extras billing record by PMCM Admin.
5. PASS: Task and urgent issue records are stored in the live-ops module and retrievable per event.
6. PASS: Client, supplier, and guest actors cannot access coordinator task logs or urgent issue records.
7. FAIL trigger: Urgent issue log does not surface immediately on PMCM live ops dashboard, urgent issues are not linkable to billing records, or non-coordinator non-PMCM actors can access task or issue records.</t>
  </si>
  <si>
    <t>live-ops module; event-day task/issue routes. Urgent issue log feeds EP-08-S03 (billing) and EP-12-S04 (EDSO).</t>
  </si>
  <si>
    <t>EP-11-S03</t>
  </si>
  <si>
    <t>As a Coordinator, I want to mark my attendance and report my arrival, so that PMCM knows which coordinators are on site.</t>
  </si>
  <si>
    <t>1. PASS: Coordinator can mark their own attendance status from within apps/event using one of three statuses: Present, Late Arrival, or Absent.
2. PASS: Late Arrival and No Show (Absent with no update) statuses are automatically added to the coordinator profile as reliability notes in the staffing-ops module.
3. PASS: Attendance record is timestamped and includes coordinator identity; PMCM Admin can view attendance status per coordinator per event in real time.
4. PASS: Coordinator can only mark their own attendance; they cannot mark attendance for another coordinator.
5. PASS: Live-ops attendance and replacement routes confirmed Partial per File 9 are fully completed by this story; no stubbed attendance behavior remains.
6. PASS: Client, supplier, and guest actors cannot access coordinator attendance records.
7. FAIL trigger: Late Arrival or No Show is not recorded as a reliability note on the coordinator profile, coordinator can mark another coordinator attendance, or attendance records are accessible to non-PMCM non-coordinator actors.</t>
  </si>
  <si>
    <t>live-ops; attendance/replacement routes; confirmed Partial per File 9.</t>
  </si>
  <si>
    <t>EP-11-S04</t>
  </si>
  <si>
    <t>As a PMCM Admin, I want to view a real-time coordinator availability and staffing count, so that I can identify staffing gaps before event day.</t>
  </si>
  <si>
    <t>1. PASS: PMCM Admin can view a real-time coordinator availability count from within apps/event showing available coordinators per role and skills tag.
2. PASS: A Staffing Gap Warning is automatically displayed when the required coordinator count for an event exceeds the number of confirmed available coordinators for any role.
3. PASS: Availability count reflects current assignment and confirmation status from EP-02-S05 and EP-11-S01; coordinators with Pending Acknowledgment status are not counted as confirmed available.
4. PASS: PMCM Admin can drill into the availability count to see individual coordinator names, roles, and current assignment status.
5. PASS: Availability count and staffing gap data are accessible to PMCM Admin only; coordinator, client, supplier, and guest actors cannot access this view.
6. FAIL trigger: Staffing Gap Warning is not triggered when required count exceeds available count, coordinators with Pending Acknowledgment are counted as confirmed, or availability data is accessible to non-PMCM actors.</t>
  </si>
  <si>
    <t>FR-91; availability count per role and skills tag; Staffing Gap Warning when required count exceeds available coordinators.</t>
  </si>
  <si>
    <t>EP-11-S05</t>
  </si>
  <si>
    <t>As a Coordinator, I want a role-specific portal view showing only the information relevant to my assigned role, so that I can execute my responsibilities without interface clutter.</t>
  </si>
  <si>
    <t>ROLE VIEW 1 -- Floor Director and Stage Director (New-CO2):
1. PASS: Floor Director and Stage Director role view displays: role badge, event details, briefing documents, assigned task list, and communication thread scoped exclusively to Event Day System Operator and Ms. Mys.
2. PASS: Communication thread is not accessible to any other coordinator role, client, supplier, or guest actor.
ROLE VIEW 2 -- Registration Staff (New-CO3):
3. PASS: Registration Staff role view is laptop-optimized; the layout and controls are designed for desktop use, not mobile.
4. PASS: Role view displays a searchable guest masterlist with a Check In button per guest, a Walk-In Addition button, and a Flag for Verification control for unauthorized walk-ins.
5. PASS: Real-time attendance count is visible and updates without requiring a manual refresh.
ROLE VIEW 3 -- Ingress and Egress Assistant (New-CO4):
6. PASS: Ingress and Egress Assistant role view displays: role badge, supplier schedule, and three status buttons per supplier: Arrived, Set Up and Ready, Done and Leaving.
7. PASS: Verified toggle and photo upload per status update are present and functional.
8. PASS: Late Arrival flag appears automatically at exactly 15 minutes past the scheduled supplier window; the flag does not appear before the 15-minute threshold.
ROLE VIEW 4 -- Event Day System Operator (New-CO5):
9. PASS: Event Day System Operator role view displays on laptop: full event task dashboard, supplier status overview, coordinator check-in section, urgent issue log with one-tap access, task reassignment tool, wrap-up screen access, and real-time attendance feed.
10. PASS: Task reassignment tool notifies Ms. Mys on reassignment action; auto-approval fires after exactly 2 minutes if Ms. Mys does not respond.
ROLE VIEW 5 -- Usher and General Coordinator (New-CO6):
11. PASS: Usher and General Coordinator role view displays: role badge, simple instruction list with post and responsibilities, and an urgent issue button; no other controls or data are present.
12. PASS: Interface is minimal; no task management controls, coordinator directory data, or supplier information is visible in this role view.
CROSS-ROLE RULES:
13. PASS: Each coordinator only sees the role view matching their assigned role for the event; a coordinator assigned as Registration Staff cannot access the Event Day System Operator view.
14. PASS: Client, supplier, and guest actors cannot access any coordinator role view.
15. PASS: Break-down trigger is monitored at every cadence boundary; if any single role view is Done while others are Blocked or In Progress, this story is immediately moved to the AC Detail tab with per-role-view rows.
16. FAIL trigger: Any role view exposes data outside its defined scope, a coordinator can access a role view other than their assigned role, Late Arrival flag fires before or after the 15-minute threshold, communication thread in New-CO2 is accessible to actors outside Event Day System Operator and Ms. Mys, or auto-approval fires before 2 minutes.</t>
  </si>
  <si>
    <t>New-C1, New-CO1 through New-CO6; all coordinator role views in apps/event. BUILD PLAN LOCKED: Option A (separate components). Build sequence: 1) Event Day System Operator, 2) Registration Staff, 3) Floor Director and Stage Director, 4) Ingress and Egress Assistant, 5) Usher and General Coordinator. Shared elements (role badge, urgent issue button, event details header) extracted to packages/ui first. BREAK-DOWN TRIGGER: if any single role view Done while others stuck, move to AC Detail tab immediately.</t>
  </si>
  <si>
    <t>EP-12 -- Event Day Operations</t>
  </si>
  <si>
    <t>EP-12-S01</t>
  </si>
  <si>
    <t>As a PMCM Admin, I want a live operations dashboard showing real-time supplier status, coordinator positions, and guest attendance, so that I can manage event day from a single view.</t>
  </si>
  <si>
    <t>1. PASS: Live operations dashboard is accessible to PMCM Admin from within apps/event during an active event; confirmed Partial per File 9.
2. PASS: Dashboard displays in real time: supplier on-site status per category (from EP-07-S05), coordinator positions and attendance status (from EP-11-S03), and guest attendance count (from EP-13-S01 and EP-13-S02).
3. PASS: Dashboard is mobile-first and phone-friendly; PMCM Admin can use it on a phone on event day; laptop is the primary command station but mobile must be functional.
4. PASS: Dashboard data refreshes in real time without requiring manual reload; a supplier status update or coordinator attendance mark is reflected on the dashboard within a reasonable latency window.
5. PASS: Dashboard feeds EP-12-S06 (AI Event Day Copilot) data streams; the data available on the dashboard is the same data polled by the Copilot agent.
6. PASS: Client, supplier (beyond their own status), coordinator (beyond their own role view), and guest actors cannot access the live operations dashboard or its data payload.
7. PASS: Attendance count displayed on the dashboard matches the real-time count updated by coordinator check-in actions (EP-13-S01) and guest self-service check-in (EP-13-S02).
8. FAIL trigger: Dashboard does not reflect real-time updates, mobile rendering is broken or unusable, supplier status or coordinator attendance data is inaccessible, or non-PMCM actors can access dashboard data.</t>
  </si>
  <si>
    <t>FR-05; live-ops module; confirmed Partial per File 9. Mobile-first phone-friendly. Feeds EP-12-S06 AI Copilot.</t>
  </si>
  <si>
    <t>EP-12-S02</t>
  </si>
  <si>
    <t>As a PMCM Admin, I want to trigger PARE for emergency supplier replacement, so that a withdrawn supplier can be replaced within the change freeze window.</t>
  </si>
  <si>
    <t>1. PASS: PMCM Admin can trigger PARE from within apps/event when a supplier withdrawal is received during the change freeze window (EP-06-S03 and EP-12-S03 prerequisites).
2. PASS: PARE is handled by PAREService inside the ai-governance module; the 5-agent orchestrator runs within ai-governance and does not mutate supplier or event records directly.
3. PASS: DataSanitizer runs on all supplier and event data before it is passed to the Claude API; no PII reaches the API in unsanitized form. Supplier names replaced with Supplier X - Production; contact numbers and emails removed entirely.
4. PASS: ZDR is confirmed active (EP-15-S05 must be Done before this story moves to In Progress); no PARE run proceeds without ZDR confirmation.
5. PASS: PARE generates a prioritized replacement recommendation with rationale; the recommendation is presented to PMCM Admin for review before any action is taken.
6. PASS: PMCM Admin must explicitly approve the replacement recommendation before any replacement notification is sent to suppliers; no automated replacement occurs without PMCM Admin confirmation (human approval gate).
7. PASS: Every PARE run produces an AIAuditLog entry recording: run timestamp, triggering event ID, sanitized input summary, recommendation output, and PMCM Admin approval or rejection decision.
8. PASS: PARE is described and functions as an assistive tool; no AC criterion implies PARE manages supplier replacement autonomously or replaces PMCM Admin judgment.
9. PASS: Supplier is unaware of PARE involvement; all supplier-facing communications are reviewed and sent by PMCM Admin through the standard FR-37 supplier confirmation flow.
10. PASS: Client, coordinator, and guest actors cannot access PARE outputs, recommendations, or AIAuditLog entries.
11. FAIL trigger: PARE takes any action without explicit PMCM Admin approval, unsanitized PII reaches the Claude API, AIAuditLog entry is absent for any PARE run, ZDR is not confirmed before PARE runs, or PARE outputs are accessible to non-PMCM actors.</t>
  </si>
  <si>
    <t>EP-06-S03, EP-12-S03, EP-15-S05</t>
  </si>
  <si>
    <t>FR-AI-04; ai-governance module; PAREService; 5-agent orchestrator. PA-75 OPEN on Agentic scope tag cadence mapping. BLOCKED on EP-15-S05 (ZDR gate). Cannot move to In Progress until EP-15-S05 Done.</t>
  </si>
  <si>
    <t>EP-12-S03</t>
  </si>
  <si>
    <t>As a Supplier, I want to withdraw from an event and submit a reason, so that PMCM is formally notified and can initiate replacement.</t>
  </si>
  <si>
    <t>1. PASS: Supplier can submit a withdrawal from an event from within the supplier portal (apps/supplier); withdrawal form captures a mandatory reason field.
2. PASS: Withdrawal is handled by OpsEventSupplierWithdrawalController inside supplier-ops; requireSupplierAdmin policy is enforced.
3. PASS: PMCM Admin receives a notification on supplier withdrawal; withdrawal record is visible on the event supplier status view.
4. PASS: If withdrawal occurs within the change freeze window (5 days before event), the withdrawal automatically triggers Emergency Change classification and makes PARE activation available to PMCM Admin (EP-12-S02).
5. PASS: Supplier can only withdraw from events they are confirmed as assigned to; they cannot submit withdrawal for another supplier or an event they are not assigned to.
6. PASS: Withdrawal record is stored with timestamp, supplier identity, reason, and whether it occurred inside or outside the change freeze window.
7. PASS: Client, coordinator, and guest actors cannot submit withdrawal actions or access withdrawal records.
8. FAIL trigger: Withdrawal is submittable without a reason, requireSupplierAdmin policy is not enforced, withdrawal within freeze window does not trigger Emergency Change classification, or withdrawal records are accessible to non-PMCM non-supplier actors.</t>
  </si>
  <si>
    <t>supplier-ops; OpsEventSupplierWithdrawalController; requireSupplierAdmin policy; confirmed Live per File 9.</t>
  </si>
  <si>
    <t>As a Coordinator (Event Day System Operator), I want to log urgent issues, reassign tasks, and mark coordinator attendance during the event, so that PMCM has a real-time operational record and can respond immediately.</t>
  </si>
  <si>
    <t>1. PASS: Event Day System Operator can log urgent issues with one-tap access from their role view (EP-11-S05 New-CO5); each issue record captures: description, severity, affected area, and timestamp.
2. PASS: Event Day System Operator can reassign a task to another coordinator from the task dashboard; reassignment triggers an immediate notification to Ms. Mys via notification-ops module.
3. PASS: If Ms. Mys does not respond to the reassignment notification within exactly 2 minutes, the reassignment is auto-approved; auto-approval is recorded with timestamp and auto-approval reason.
4. PASS: Event Day System Operator can mark coordinator attendance as Present, Late Arrival, or Absent from the coordinator check-in section of their role view.
5. PASS: Late Arrival and No Show (Absent) attendance marks are automatically written to the coordinator reliability notes in staffing-ops (confirm write path with Anthony before AC sign-off).
6. PASS: Urgent issues logged here feed the additional billing chain (EP-08-S03); each urgent issue is linkable to an on-site extras billing record.
7. PASS: All actions (issue log, task reassignment, attendance mark) produce audit log entries.
8. PASS: Client, supplier, and guest actors cannot access Event Day System Operator controls, urgent issue records, or coordinator attendance data.
9. FAIL trigger: Auto-approval fires before 2 minutes, Ms. Mys notification is not triggered on reassignment, reliability notes are not written on Late Arrival or No Show, urgent issues are not linkable to billing records, or non-PMCM non-coordinator actors can access these records.</t>
  </si>
  <si>
    <t>New-C3, New-C4; Owner B builds coordinator-facing trigger surface in apps/event. Owner D owns notification-ops module for Ms. Mys phone notification -- coordinate before In Review. Reliability notes written by staffing-ops -- confirm write path with Anthony before AC sign-off.</t>
  </si>
  <si>
    <t>EP-12-S05</t>
  </si>
  <si>
    <t>As a PMCM Admin, I want to build and configure in-event engagement games, so that guests can participate during the event without requiring an app download.</t>
  </si>
  <si>
    <t>1. PASS: PMCM Admin can create and configure in-event engagement games from within apps/event after conforme is signed (EP-04-S01 gate).
2. PASS: Exactly five pre-built game templates are available: Live Poll, Word Cloud, Ice Breaker Quiz, Raffle Draw, and Open Q and A.
3. PASS: Each game is configurable per event: PMCM Admin can set game title, questions or options, and participation window.
4. PASS: Each configured game generates a QR code that links to the guest participation page (EP-13-S07); the QR code is displayable on the LED wall.
5. PASS: Game participation does not require guests to download an app or create an account; QR code opens a web page in the guest phone browser.
6. PASS: PMCM Admin can activate and deactivate games during the event; deactivated games do not accept new responses.
7. PASS: Game response data is stored per event and retrievable by PMCM Admin after the event closes.
8. FAIL trigger: Fewer or more than five game templates are available, QR code does not generate per configured game, game requires app download or account creation, or game responses are not stored per event.</t>
  </si>
  <si>
    <t>FR-40; Phase 2 scope; five pre-built templates. Generates QR code linking to EP-13-S07.</t>
  </si>
  <si>
    <t>EP-12-S06</t>
  </si>
  <si>
    <t>As an Event Day System Operator, I want an AI monitoring agent watching all live ops data streams and surfacing prioritized alerts every 60 seconds, so that I can respond to supplier late arrivals, overdue tasks, coordinator no-shows, and check-in anomalies before they escalate.</t>
  </si>
  <si>
    <t>1. PASS: AI monitoring agent polls all live ops data streams (EP-12-S01) at exactly 60-second intervals during an active event only; polling does not occur outside event day hours.
2. PASS: Agent is powered by the Haiku model within ai-governance; DataSanitizer runs on all live ops data before each API call.
3. PASS: Agent surfaces prioritized alerts covering: supplier late arrivals, overdue tasks, coordinator no-shows, and check-in anomalies; alert priority is ranked with highest-risk items first.
4. PASS: ZDR is confirmed active before this feature is deployed.
5. PASS: Alerts are surfaced to the Event Day System Operator and PMCM Admin as assistive alerts only; no action is taken on any alert without explicit PMCM Admin confirmation.
6. PASS: Human approval gate is present: every recommended response to an alert requires explicit PMCM Admin confirmation before execution; no automated response fires.
7. PASS: Every poll cycle that produces at least one recommendation generates an AIAuditLog entry recording: poll timestamp, event ID, sanitized data summary, alerts generated, and PMCM Admin response to each alert.
8. PASS: Live ops data feed availability is confirmed with Francis (Owner B) before story moves to In Progress; agent must read from the same data streams as EP-12-S01.
9. PASS: AI Copilot alerts are accessible to Event Day System Operator and PMCM Admin only; client, supplier, coordinator (beyond own role view), and guest actors cannot access Copilot output.
10. FAIL trigger: Agent polls outside active event hours, any alert triggers automated action without explicit PMCM Admin confirmation, DataSanitizer bypassed on any poll cycle, AIAuditLog entry absent for recommendation-producing poll cycle, or Copilot output accessible to non-PMCM non-EDSO actors.</t>
  </si>
  <si>
    <t>EP-12-S01, EP-15-S05</t>
  </si>
  <si>
    <t>FR-AI-07; Haiku model; Agentic scope. Reclassified from C3 to C4 -- dual-gated on EP-12-S01 and EP-15-S05. Coordinate with Francis (Owner B) on live ops dashboard data feed before In Progress.</t>
  </si>
  <si>
    <t>EP-13 -- Guest Experience and Digital Registration</t>
  </si>
  <si>
    <t>EP-13-S01</t>
  </si>
  <si>
    <t>As a Coordinator (Registration Staff), I want a laptop-optimized guest masterlist with check-in, walk-in addition, and flag for verification controls, so that guest attendance is recorded accurately from the coordinator side.</t>
  </si>
  <si>
    <t>1. PASS: Guest masterlist is accessible to Registration Staff coordinators from within apps/event on a laptop; the view is optimized for desktop use (New-CO3).
2. PASS: Masterlist is searchable by guest name; search returns results in real time without full page reload.
3. PASS: Registration Staff can mark a guest as checked in using a Check In button per guest row; checked-in status is recorded with timestamp and coordinator identity.
4. PASS: Registration Staff can add a walk-in guest using a Walk-In Addition button; walk-in record captures guest name and is added to the masterlist immediately.
5. PASS: Registration Staff can flag a guest or walk-in for verification using a Flag for Verification control; flagged records are visually distinguished in the masterlist.
6. PASS: Real-time attendance count is visible on the masterlist view and updates on every check-in or walk-in addition without requiring a manual refresh.
7. PASS: Attendance count feeds the live operations dashboard (EP-12-S01) in real time.
8. PASS: Client, supplier, and guest actors cannot access the coordinator guest masterlist or its data.
9. FAIL trigger: Masterlist is not searchable, real-time attendance count does not update on check-in or walk-in, walk-in addition is not immediately reflected in the masterlist, or non-coordinator non-PMCM actors can access masterlist data.</t>
  </si>
  <si>
    <t>New-CO3; apps/event coordinator surface; laptop-optimized. Distinct from guest self-service check-in (EP-13-S02).</t>
  </si>
  <si>
    <t>EP-13-S02</t>
  </si>
  <si>
    <t>As a Guest, I want to check in at the event by providing my name or through headcount-only mode, so that my attendance is recorded without requiring an app download or account.</t>
  </si>
  <si>
    <t>1. PASS: Guest can check in by providing their name on the guest check-in page (apps/guest) without creating an account or downloading an app.
2. PASS: Name search matches against the pre-loaded guest masterlist; a matched guest is checked in with one confirmation action.
3. PASS: Headcount-only mode is available; in this mode, attendance is recorded as an increment to a running count without capturing individual guest names.
4. PASS: Walk-in policy per New-CL1 (private events under 200 pax) is enforced: if the client event is configured as private under 200 pax, unregistered walk-ins trigger a flag for verification rather than automatic check-in.
5. PASS: Real-time attendance count is updated on every guest check-in and feeds the live operations dashboard (EP-12-S01) and coordinator masterlist (EP-13-S01).
6. PASS: No app download or account creation is required at any point in the guest check-in flow.
7. PASS: Guest check-in data is accessible to PMCM Admin and Registration Staff coordinators only; individual guest names are not exposed to supplier or other guest actors.
8. FAIL trigger: Guest check-in requires account creation or app download, headcount-only mode is absent, walk-in policy enforcement is absent for private events under 200 pax, or real-time count does not feed live ops dashboard.</t>
  </si>
  <si>
    <t>FR-39, FR-95; apps/guest; name-based check-in and walk-in flagging confirmed Partial per File 9. Remaining: headcount-only mode, walk-in policy enforcement, real-time count feed.</t>
  </si>
  <si>
    <t>EP-13-S03</t>
  </si>
  <si>
    <t>As a Guest, I want to check in at the event by scanning a QR code, so that high-volume events can be processed quickly.</t>
  </si>
  <si>
    <t>1. PASS: Guest can scan a QR code displayed at the event venue using their own phone camera or browser to initiate check-in; no app download required.
2. PASS: QR scan requires HTTPS; the check-in page is served over HTTPS and does not function over HTTP.
3. PASS: QR check-in records the same attendance data as name-based check-in (EP-13-S02); no separate attendance record type is created for QR check-ins.
4. PASS: If the client provided guest email addresses, QR code is associated with a specific guest record (FR-39); QR check-in matches the guest to their masterlist entry.
5. PASS: Manual name search remains available as a fallback on laptop if QR scanning is unavailable.
6. PASS: Real-time attendance count updates on QR check-in identically to name-based check-in.
7. FAIL trigger: QR check-in requires app download, page is served over HTTP, QR check-in creates a separate attendance record type, or real-time count does not update on QR check-in.</t>
  </si>
  <si>
    <t>Blocked</t>
  </si>
  <si>
    <t>FR-39, FR-95; QR mode. BLOCKED: PA-63 and PA-66 OPEN on whether guest self-scan falls under same QR/camera gate as coordinator check-in. Unblock: resolve PA-63 and PA-66 at C3 start (July 6). If unresolved by July 10, declare post-July. HTTPS required.</t>
  </si>
  <si>
    <t>EP-13-S04</t>
  </si>
  <si>
    <t>As a Guest, I want to submit a star rating, text review, and media upload after the event, so that PMCM and the client can review my experience.</t>
  </si>
  <si>
    <t>1. PASS: Guest feedback form is accessible after the event closes; guest does not need an account to submit feedback.
2. PASS: Feedback form captures: star rating (1 to 5), text review, and optional media upload (video max 60 seconds per New-EX2).
3. PASS: All feedback submissions go to a PMCM moderated review queue before any use; feedback is never auto-published.
4. PASS: Client permission is explicitly required before PMCM uses or shares any guest feedback publicly; no feedback is shared without documented client permission.
5. PASS: PMCM Admin can view all feedback in the moderated queue and take action (approve for sharing, reject, or hold).
6. PASS: Guest feedback records are not accessible to supplier, coordinator, or other guest actors.
7. FAIL trigger: Feedback is auto-published without PMCM moderation, client permission is not required before public use, video upload exceeds 60 seconds without rejection, or feedback data is accessible to non-PMCM non-client actors.</t>
  </si>
  <si>
    <t>FR-41, New-EX2; Phase 2 scope; video upload max 60 seconds; all submissions go to PMCM moderated review queue; client permission required before any public use; never auto-published.</t>
  </si>
  <si>
    <t>EP-13-S05</t>
  </si>
  <si>
    <t>As a PMCM Admin, I want to record the digital registration platform details and import final headcount data after the event, so that registration records are reconciled for large events.</t>
  </si>
  <si>
    <t>1. PASS: PMCM Admin can record digital registration platform details per event from within apps/event; record captures: platform name (XPERTO or client-chosen alternative), platform contact, and setup confirmation status.
2. PASS: Digital Registration supplier sub-ticket tracks platform setup confirmation; sub-ticket is linked to the relevant supplier category record.
3. PASS: PMCM Admin can import final headcount data from the external platform after the event; imported headcount is stored per event as the reconciled attendance count.
4. PASS: PRISM does not handle ticket sales or payment processing at any point in this flow; no AC criterion implies PRISM processes guest payments or manages ticket inventory.
5. PASS: This feature is scoped to events with 200 to 250 pax and above using XPERTO or a client-chosen digital registration platform; smaller events are not required to use this flow.
6. PASS: Imported headcount data is visible to PMCM Admin; client can view final reconciled headcount for their event; supplier and guest actors cannot access platform details or headcount import records.
7. FAIL trigger: PRISM processes ticket sales or payments, feature is applied to events below 200 pax threshold without PMCM Admin override, headcount import data is accessible to supplier or guest actors, or digital registration sub-ticket is not linked to a supplier category record.</t>
  </si>
  <si>
    <t>New-GU1; scoped to 200-250 pax and above using XPERTO; PRISM does not handle ticket sales or payment processing.</t>
  </si>
  <si>
    <t>EP-13-S06</t>
  </si>
  <si>
    <t>As a Guest, I want to open a web page via QR on the LED wall without downloading an app, so that I can access event information instantly.</t>
  </si>
  <si>
    <t>1. PASS: A QR code is generated per event that links to a guest-accessible web page (apps/guest); QR code is displayable on the LED wall.
2. PASS: Guest can open the web page by scanning the QR code with their phone camera; no app download or account creation is required.
3. PASS: Web page is served over HTTPS; it does not function over HTTP.
4. PASS: Web page displays relevant event information accessible to guests without authentication.
5. PASS: Web page does not expose internal PMCM data, coordinator details, supplier information, or billing data.
6. FAIL trigger: Web page requires app download or account creation, page is served over HTTP, or internal PMCM data is exposed on the guest page.</t>
  </si>
  <si>
    <t>FR-40; no account required; HTTPS required; Phase 2 scope.</t>
  </si>
  <si>
    <t>EP-13-S07</t>
  </si>
  <si>
    <t>As a Guest, I want to access and participate in event games via QR code on my phone browser, so that I can engage with the event without downloading an app or creating an account.</t>
  </si>
  <si>
    <t>1. PASS: Guest can access the game participation page by scanning the QR code generated by EP-12-S05; no app download or account required.
2. PASS: Game participation page is served over HTTPS.
3. PASS: Guest can participate in the active configured game template (Live Poll, Word Cloud, Ice Breaker Quiz, Raffle Draw, or Open Q and A).
4. PASS: Guest responses are recorded per game session and stored for PMCM Admin review after the event.
5. PASS: Guest participation page does not expose internal event data, other guests responses, or PMCM operational data.
6. FAIL trigger: App download or account required, page served over HTTP, guest responses not stored, or internal PMCM data exposed on participation page.</t>
  </si>
  <si>
    <t>FR-40; apps/guest; Phase 2 scope. BLOCKED: QR/camera gate; same gate as EP-13-S03. PA-63 and PA-66 OPEN. Depends on EP-12-S05 (game must be built first). If PA-63 and PA-66 unresolved by July 10, declare post-July.</t>
  </si>
  <si>
    <t>EP-14 -- Closure and Archive</t>
  </si>
  <si>
    <t>EP-14-S01</t>
  </si>
  <si>
    <t>As a PMCM Admin, I want to archive a completed event and generate post-event insights, so that the event record is preserved and learnings are captured.</t>
  </si>
  <si>
    <t>1. PASS: PMCM Admin can initiate event archiving from within apps/event after the event date has passed and EP-12-S01 (live ops) is complete; archiving is not available during an active event.
2. PASS: Archive action is handled by closure-ops module; close-gate readiness check runs before archiving proceeds and blocks if required post-event conditions are not met.
3. PASS: Client actor cannot trigger event archiving under any circumstance; archive command is PMCM Admin only.
4. PASS: New-SY1 Post-Event Wrap-Up Screen is present: PMCM Admin sees a structured wrap-up screen summarizing event completion status before confirming archive.
5. PASS: New-SY2 One-Screen Close is present: the final archive confirmation is completable in a single screen action without multi-step navigation.
6. PASS: Deterministic Event Insights Card (New-P2) is generated on archive: a structured summary of event outcomes (attendance count, task completion rate, supplier performance summary, urgent issues count) is produced from existing system records without AI.
7. PASS: AI-enhanced insights (FR-AI-08 PEIL) are explicitly not generated here; Event Insights Card is populated with deterministic data only; AI upgrade is EP-16-S06 scope gated on EP-15-S05.
8. PASS: Archived event record is preserved in full and retrievable by PMCM Admin; no data is deleted on archive.
9. PASS: Archive event produces an audit log entry recording the archiving admin identity, timestamp, and event ID.
10. FAIL trigger: Client can trigger archiving, archive proceeds without close-gate readiness check passing, Event Insights Card uses AI-generated content before EP-15-S05 is Done, archived record is not fully retrievable, or audit log entry is absent on archive.</t>
  </si>
  <si>
    <t>FL-013; closure-ops; archive commands confirmed Partial per File 9. Close gates, archive guard, and deterministic Event Insights confirmed. PA-89 OPEN on FL cross-reference.</t>
  </si>
  <si>
    <t>EP-14-S02</t>
  </si>
  <si>
    <t>As a PMCM Admin, I want to complete and file all post-event documents, so that the event record is compliant and retrievable.</t>
  </si>
  <si>
    <t>1. PASS: PMCM Admin can access the post-event documentation submission tracker from within apps/event after an event is archived (EP-14-S01 gate).
2. PASS: Tracker displays all required post-event documents with their submission status (Pending, Submitted, Overdue).
3. PASS: PMCM Admin can submit or upload each required post-event document against its tracker entry; submission records timestamp and submitting admin identity.
4. PASS: A 3 to 5 day endorsement window is enforced; documents not submitted within the window trigger a Deadline Overdue alert on the PMCM command surface.
5. PASS: Client can acknowledge receipt of post-event documents from within the client portal; acknowledgment is recorded with timestamp.
6. PASS: PMCM Admin receives a notification when the client acknowledges receipt.
7. PASS: Completed and filed post-event documents are retrievable per event by PMCM Admin; documents are not accessible to supplier, coordinator, or guest actors.
8. FAIL trigger: Deadline Overdue alert is not triggered within the endorsement window, client cannot acknowledge receipt, or post-event documents are accessible to non-PMCM non-client actors.</t>
  </si>
  <si>
    <t>FR-04, FR-32; closure-ops; post-event document completion. 3 to 5 day endorsement window enforced.</t>
  </si>
  <si>
    <t>EP-15 -- Security, Privacy, and Auth</t>
  </si>
  <si>
    <t>EP-15-S01</t>
  </si>
  <si>
    <t>As a PMCM Admin, I want mandatory 2FA via TOTP with lockout and session controls, so that unauthorized access to the PMCM Admin account is prevented.</t>
  </si>
  <si>
    <t>1. PASS: 2FA is mandatory for all PMCM Admin accounts via TOTP only; no alternative 2FA method is available for PMCM Admin.
2. PASS: Account is locked after 5 consecutive failed login attempts; lockout duration is exactly 10 minutes.
3. PASS: Password reset link expires in exactly 15 minutes after issuance.
4. PASS: Session timeout is configurable per role by PMCM Admin.
5. PASS: Minimum password requirements are enforced. [PLACEHOLDER: specific length and complexity values pending PA-69 resolution. Anthony and Ms. Mys must confirm before AC is finalized.]
6. PASS: 2FA setup is required before PMCM Admin can access any protected surface; no bypass path exists.
7. FAIL trigger: 2FA is optional for PMCM Admin, lockout does not trigger after 5 failures, lockout duration is not exactly 10 minutes, password reset link does not expire at 15 minutes, or a bypass path exists for 2FA.</t>
  </si>
  <si>
    <t>New-SEC1; 2FA mandatory for PMCM Admin via TOTP only; lockout after 5 consecutive failures with 10-minute cooldown; password reset link expires in 15 minutes; session timeout configurable per role. PA-69 OPEN -- minimum password requirements not yet confirmed.</t>
  </si>
  <si>
    <t>EP-15-S02</t>
  </si>
  <si>
    <t>As a PMCM Admin, I want a privacy and PII management layer including consent tracking and data subject rights handling, so that the system complies with data protection obligations.</t>
  </si>
  <si>
    <t>1. PASS: Privacy Notice is shown on first login to all users across all portals; users cannot proceed without acknowledging the notice.
2. PASS: Data export function is available for right-to-access requests; PMCM Admin can export all personal data associated with a specific data subject.
3. PASS: Anonymization function is available for right-to-erasure requests; PMCM Admin can anonymize a data subject record with a single action.
4. PASS: Data retention is configurable per data type by PMCM Admin.
5. PASS: Personal Information Inventory is visible to PMCM Admin only. [PLACEHOLDER: confirm whether read-only report view or editable/annotatable -- PA-72 OPEN. Ms. Mys must confirm.]
6. PASS: Privacy controls are not accessible to client, supplier, coordinator, or guest actors.
7. FAIL trigger: Privacy Notice is not shown on first login to any portal, data export or anonymization functions are absent, or Personal Information Inventory is accessible to non-PMCM actors.</t>
  </si>
  <si>
    <t>New-SEC2; Privacy Notice on first login to all users; data export for right-to-access; anonymization for right-to-erasure; retention configurable per data type. PA-72 OPEN -- Personal Information Inventory read-only or editable must be confirmed by Ms. Mys.</t>
  </si>
  <si>
    <t>EP-15-S03</t>
  </si>
  <si>
    <t>As a platform maintainer, I want MIME type validation enforced on all file uploads, so that only accepted file types reach storage.</t>
  </si>
  <si>
    <t>1. PASS: MIME type checking is performed on all file uploads using actual MIME type detection, not file extension only.
2. PASS: Accepted file types are enforced: PDF, DOCX, XLSX, JPG, PNG, MP4, MOV; any other type is rejected before upload completes.
3. PASS: All uploaded files are stored with randomly generated filenames; original filename is retained as metadata only.
4. PASS: Prism scope phase: MIME validation and random filename enforcement are implemented and active.
5. PASS: Phase 2 scope: file size limits are enforced per upload. [PLACEHOLDER: confirm per-type or global file size limits -- PA-70 OPEN. Anthony must confirm values before Phase 2 AC is finalized.]
6. FAIL trigger: MIME type is checked by extension only, any file type outside the accepted list reaches storage, files are stored with original filenames, or file size limits are not enforced after Phase 2 scope is active.</t>
  </si>
  <si>
    <t>New-SEC3; MIME type checking (not extension only); accepted types: PDF, DOCX, XLSX, JPG, PNG, MP4, MOV; files stored with randomly generated names. PA-70 OPEN on file size limits for Phase 2 scope.</t>
  </si>
  <si>
    <t>EP-15-S04</t>
  </si>
  <si>
    <t>As Ms. Mys or EA, I want an append-only tamper-resistant audit trail recording every system action, so that all activity is traceable and unalterable.</t>
  </si>
  <si>
    <t>1. PASS: Every action in the system produces an audit log entry recorded in the trust-ops module (ops_audit_logs table); no action type is excluded from the audit trail.
2. PASS: Audit trail is append-only and tamper-resistant; no actor can edit, delete, or overwrite an existing audit log entry.
3. PASS: Each audit log entry records at minimum: timestamp, user identity, role, action type, and affected data.
4. PASS: Audit trail is accessible only to Ms. Mys and EA; no other actor can access the audit trail under any circumstance.
5. PASS: Audit trail is filterable by: user, event, date range, and action type.
6. PASS: PA-71 must be resolved before Done: Ms. Mys must confirm EA full role name and whether EA has own system login or is a sub-role under PMCM Admin.
7. FAIL trigger: Any action type is excluded from the audit trail, any actor other than Ms. Mys and EA can access the audit trail, audit entries are editable or deletable, or PA-71 is unresolved at Done call.</t>
  </si>
  <si>
    <t>New-SEC4; trust-ops; AuditService; append-only and tamper-resistant; accessible ONLY to Ms. Mys and EA. PA-71 OPEN on EA role definition. ACTION: Ask Ms. Mys.</t>
  </si>
  <si>
    <t>EP-15-S05</t>
  </si>
  <si>
    <t>As a PMCM Admin, I want ZDR confirmed and DataSanitizer enforced before any AI feature goes live, so that no PII reaches the Claude API.</t>
  </si>
  <si>
    <t>1. PASS: ZDR agreement with Anthropic is secured and documented; Anthony confirms ZDR status in writing before any EP-16 story moves to In Progress. [PA-73 OPEN: Anthony must confirm whether ZDR is already secured or still pending. If pending, contact api@anthropic.com immediately -- 1 to 3 business day setup window applies.]
2. PASS: DataSanitizer is implemented and enforced on all Claude API calls; no API call is made without DataSanitizer running first.
3. PASS: DataSanitizer applies the confirmed replacement rules exactly: client names replaced with Client A; company names replaced with Corporate Client; contact numbers and emails removed entirely; financial amounts formatted only (no replacement); supplier names replaced with Supplier X - Production (or relevant category label).
4. PASS: AIAuditLog table is present in the trust-ops schema (ops_ai_audit_logs per the database schema map) and receives an entry for every Claude API call made by any AI feature.
5. PASS: Human approval gate is implemented as a reusable component: no AI recommendation from any EP-16 story or EP-12-S06 can be acted upon without explicit PMCM Admin confirmation; the gate cannot be bypassed.
6. PASS: ZDR confirmation is verifiable by inspection: a documented record exists confirming the agreement is in place before the first AI feature goes to production.
7. PASS: DataSanitizer is tested: a unit test confirms that each replacement rule fires correctly on a sample payload containing each PII type.
8. FAIL trigger: Any Claude API call is made without DataSanitizer running, any PII type reaches the API in unsanitized form, AIAuditLog entry is absent for any API call, human approval gate is bypassable, or ZDR agreement is not documented before any EP-16 story moves to In Progress.</t>
  </si>
  <si>
    <t>FR-AI-ZDR; MANDATORY gate for ALL EP-16 stories and EP-12-S06. PA-73 OPEN -- Anthony must confirm ZDR status immediately. ZDR requires Anthropic BAA -- contact api@anthropic.com; 1 to 3 business day setup. CADENCE-DISPLACED: assigned C1, still To Do. CRITICAL: all AI stories blocked until this is Done.</t>
  </si>
  <si>
    <t>EP-16 -- AI and Agentic Layer</t>
  </si>
  <si>
    <t>EP-16-S01</t>
  </si>
  <si>
    <t>As a PMCM Admin, I want an AI agent to automatically analyze new inquiries before I open them, so that I have a prospect score and event type prediction ready when I review.</t>
  </si>
  <si>
    <t>1. PASS: AI inquiry analysis runs automatically within 30 seconds of a new inquiry submission; no PMCM Admin action is required to trigger the analysis.
2. PASS: Analysis is handled by the Haiku model within ai-governance; DataSanitizer runs on all inquiry data before the API call.
3. PASS: Analysis output contains exactly: prospect score (High, Medium, or Low), likely event type prediction, date conflict check result, client fit assessment, and one-sentence recommendation.
4. PASS: ZDR is confirmed active (EP-15-S05 Done) before this feature is deployed.
5. PASS: Analysis output is presented to PMCM Admin as an assistive summary only; PMCM Admin makes all Accept, Pend, and Decline decisions independently without any system pressure or default action based on AI output.
6. PASS: Human approval gate is present: no action is taken on an inquiry based on AI output without explicit PMCM Admin decision.
7. PASS: Every analysis run produces an AIAuditLog entry recording: inquiry ID, timestamp, sanitized input summary, and analysis output.
8. PASS: Analysis output is visible to PMCM Admin only; client, supplier, coordinator, and guest actors cannot access AI analysis results.
9. FAIL trigger: Analysis runs without DataSanitizer, PII reaches the Claude API, AIAuditLog entry is absent, human approval gate is absent or bypassable, AI output implies a system recommendation that replaces PMCM Admin judgment, or analysis output is accessible to non-PMCM actors.</t>
  </si>
  <si>
    <t>FR-AI-01; Haiku model; Agentic scope; runs within 30 seconds of inquiry submission. Phase 2 scope. BLOCKED until EP-15-S05 Done.</t>
  </si>
  <si>
    <t>EP-16-S02</t>
  </si>
  <si>
    <t>As a PMCM Admin, I want an AI-generated first draft of the event proposal after the CE Builder is populated, so that I can review and finalize rather than write from scratch.</t>
  </si>
  <si>
    <t>1. PASS: AI proposal draft is generated after the CE Builder is populated and EP-03-S02 (manual proposal workflow) is available; draft generation requires explicit PMCM Admin trigger, not automatic on CE Builder population.
2. PASS: Draft is generated by the Sonnet model within ai-governance; DataSanitizer runs on all event and client data before the API call.
3. PASS: Draft proposal contains exactly five sections: Executive Summary, Event Concept, Service Package Summary, Investment Summary, and Payment Schedule.
4. PASS: ZDR is confirmed active before this feature is deployed.
5. PASS: Draft is presented to PMCM Admin as an assistive starting point only; PMCM Admin reviews and edits the draft before it becomes a finalized proposal.
6. PASS: Human approval gate is present: draft cannot be sent to the client without explicit PMCM Admin review and send action; no automated send occurs.
7. PASS: Every draft generation run produces an AIAuditLog entry recording: event ID, timestamp, sanitized input summary, and draft generation confirmation.
8. PASS: Draft proposal content is accessible to PMCM Admin only during drafting; client does not see the draft until PMCM Admin explicitly sends the finalized proposal.
9. FAIL trigger: Draft is sent to client without explicit PMCM Admin send action, DataSanitizer is bypassed, AIAuditLog entry is absent, draft contains PII in unsanitized form, or draft is accessible to non-PMCM actors before send.</t>
  </si>
  <si>
    <t>EP-15-S05, EP-03-S02</t>
  </si>
  <si>
    <t>FR-AI-03; Sonnet model; Phase 2 scope. Five proposal sections. Manual proposal workflow (EP-03-S02) is prerequisite. BLOCKED until EP-15-S05 Done.</t>
  </si>
  <si>
    <t>EP-16-S03</t>
  </si>
  <si>
    <t>As a PMCM Admin, I want AI-generated theme and moodboard suggestions based on event type and client preferences, so that I have creative starting points without manual research.</t>
  </si>
  <si>
    <t>1. PASS: Theme and moodboard suggestions are generated by explicit PMCM Admin trigger during Bid Workspace or Phase 2 styling production; suggestions do not generate automatically.
2. PASS: Suggestions are generated by the Sonnet model within ai-governance; DataSanitizer runs on all client preference and event type data before the API call.
3. PASS: Output contains exactly two to three concept suggestions; each suggestion includes: concept name, color palette, moodboard description, and reference image search terms. No images are generated; output is text and search terms only.
4. PASS: ZDR is confirmed active before this feature is deployed.
5. PASS: Suggestions are presented to PMCM Admin as assistive creative starting points only; PMCM Admin decides which concept (if any) to pursue independently.
6. PASS: Human approval gate is present: no concept is applied to the event record without explicit PMCM Admin action.
7. PASS: Every suggestion generation run produces an AIAuditLog entry recording: event ID, timestamp, sanitized input summary, and output confirmation.
8. PASS: Suggestion output is accessible to PMCM Admin only; client does not see AI-generated suggestions unless PMCM Admin explicitly shares them.
9. FAIL trigger: Output includes generated images, output contains more or fewer than two to three concepts, DataSanitizer is bypassed, AIAuditLog entry is absent, or suggestions are automatically applied to the event record without PMCM Admin action.</t>
  </si>
  <si>
    <t>FR-11, FR-15; Sonnet model; Phase 2 scope. Not image generation -- text and search terms only. BLOCKED until EP-15-S05 Done.</t>
  </si>
  <si>
    <t>EP-16-S04</t>
  </si>
  <si>
    <t>As a PMCM Admin, I want a caged Claude chatbot embedded in my dashboard so that I can ask natural language questions about any active event.</t>
  </si>
  <si>
    <t>1. PASS: POA Chatbot is embedded in the PMCM Admin dashboard in apps/event; accessible without navigating away from the dashboard.
2. PASS: Chatbot is powered by the Sonnet model within ai-governance; DataSanitizer runs on all event data included in any chatbot prompt before the API call.
3. PASS: Chatbot is caged: it can only access data within PRISM for the queried event; no external data sources are queried and no data leaves PRISM.
4. PASS: ZDR is confirmed active before this feature is deployed.
5. PASS: Chatbot functions as an assistive query tool only; it cannot take any action (update records, send messages, trigger workflows) without explicit PMCM Admin confirmation of each proposed action.
6. PASS: Human approval gate is present and enforced for every draft: PMCM Admin must review, optionally edit, and explicitly send each message; no automated send occurs.
7. PASS: Every chatbot session produces an AIAuditLog entry recording: session timestamp, event context, sanitized query summary, and response summary.
8. PASS: Chatbot is accessible to PMCM Admin only; client, supplier, coordinator, and guest actors cannot access or interact with the chatbot.
9. FAIL trigger: Chatbot queries external data sources, chatbot takes any action without explicit PMCM Admin confirmation, DataSanitizer is bypassed on any prompt, AIAuditLog entry is absent for any session, or chatbot is accessible to non-PMCM actors.</t>
  </si>
  <si>
    <t>FR-AI-05; Sonnet model; POA Chatbot; caged with ZDR -- no data leaves PRISM. BLOCKED until EP-15-S05 Done.</t>
  </si>
  <si>
    <t>EP-16-S05</t>
  </si>
  <si>
    <t>As a PMCM Admin, I want a probabilistic supplier reliability score shown on each supplier profile, so that I can compare suppliers objectively before selection.</t>
  </si>
  <si>
    <t>1. PASS: Supplier reliability score is displayed on each supplier profile visible to PMCM Admin; score is computed using Bayesian math within the backend, not via a Claude API call.
2. PASS: Score is displayed with a confidence band: example format is 87% plus or minus 8%, based on N events where N is the number of reviewed events for that supplier.
3. PASS: Score is computed from: on-time arrival history, complaint rates, quote response times, and contract mismatch frequency; no other inputs are used.
4. PASS: Score requires a minimum number of reviewed events before it displays; below the minimum, the profile shows Insufficient Data rather than a potentially misleading score. [Minimum event count not specified; Anthony must confirm threshold value before AC is finalized.]
5. PASS: Score is visible to PMCM Admin only; not shown to supplier, client, coordinator, or guest actors.
6. PASS: PA-56 resolution required before Done: Anthony must confirm whether DataSanitizer, ZDR confirmation check, and AIAuditLog entry are required for the Bayesian calculation given it does not call the Claude API. Recommendation: yes for governance consistency.
7. FAIL trigger: Score is displayed to non-PMCM actors, score is computed from inputs other than the four confirmed factors, confidence band is absent, or PA-56 is unresolved at Done call.</t>
  </si>
  <si>
    <t>EP-15-S05, EP-07-S07</t>
  </si>
  <si>
    <t>FR-AI-06; Bayesian math only -- no Claude API call. PA-56 OPEN on whether DataSanitizer, ZDR, and AIAuditLog apply. Recommendation: yes for governance consistency. Minimum event threshold count also unconfirmed.</t>
  </si>
  <si>
    <t>EP-16-S06</t>
  </si>
  <si>
    <t>As a PMCM Admin, I want an AI-generated post-event intelligence report analyzing the complete event record, so that learnings are captured without manual report writing.</t>
  </si>
  <si>
    <t>1. PASS: AI post-event intelligence report (PEIL) is generated by explicit PMCM Admin trigger after the event is archived (EP-14-S01 Done); report does not generate automatically on archive.
2. PASS: Report is generated by the Sonnet model within ai-governance; DataSanitizer runs on all event record data before the API call.
3. PASS: Report contains exactly three sections: What Worked, What Failed and Why, and Recommended Actions.
4. PASS: ZDR is confirmed active before this feature is deployed.
5. PASS: Report is presented to PMCM Admin as an assistive analytical output; PMCM Admin reviews and interprets the report independently.
6. PASS: Human approval gate is present: if the report includes any recommended action that could affect a supplier record or future event, explicit PMCM Admin confirmation is required before that action is taken.
7. PASS: Report generation produces an AIAuditLog entry recording: event ID, timestamp, sanitized input summary, and report generation confirmation.
8. PASS: PEIL report upgrades the Event Insights Card (New-P2) from EP-14-S01; the deterministic card data from EP-14-S01 remains as a baseline; PEIL adds the AI-generated analytical layer on top.
9. PASS: Report is accessible to PMCM Admin only; client can view a summary if PMCM Admin explicitly shares it; supplier, coordinator, and guest actors cannot access the report.
10. FAIL trigger: Report generates automatically without PMCM Admin trigger, DataSanitizer is bypassed, AIAuditLog entry is absent, report contains PII in unsanitized form, or report is accessible to non-PMCM actors without explicit share action.</t>
  </si>
  <si>
    <t>EP-15-S05, EP-14-S01</t>
  </si>
  <si>
    <t>FR-AI-08; Sonnet model; PEIL; Phase 2 scope. Three sections. Upgrades Event Insights Card from EP-14-S01 deterministic baseline. BLOCKED until EP-15-S05 Done.</t>
  </si>
  <si>
    <t>EP-16-S07</t>
  </si>
  <si>
    <t>As a PMCM Admin, I want AI-generated draft messages at key workflow trigger points, so that I can follow up with clients promptly without writing every message from scratch.</t>
  </si>
  <si>
    <t>1. PASS: Draft messages are generated at exactly four trigger points: (a) unsigned conforme after 5 days, (b) unanswered proposal after 3 days, (c) balance payment due in 48 hours, (d) floor plan approval pending after 2 days.
2. PASS: Draft messages are generated by the Haiku model within ai-governance; DataSanitizer runs on all client and event data before each API call.
3. PASS: ZDR is confirmed active before this feature is deployed.
4. PASS: Each draft message is presented to PMCM Admin as an assistive starting point for review and editing; no message is sent automatically under any trigger condition.
5. PASS: Human approval gate is present and enforced for every draft: PMCM Admin must review, optionally edit, and explicitly send each message; no automated send occurs.
6. PASS: Every draft generation run produces an AIAuditLog entry recording: trigger type, event ID, timestamp, sanitized client and event data summary, and draft generation confirmation.
7. PASS: Draft messages surface as a dedicated Drafts tray inside the Command Inbox (EP-02-S01); each draft card is visually distinct from regular alerts and clearly labeled as an AI draft pending review.
8. PASS: Francis (Owner B) has confirmed dashboard UI placement before Anthony calls In Review; this coordination must occur at C4 start.
9. PASS: Draft messages are accessible to PMCM Admin only; no draft is visible to the client until PMCM Admin explicitly sends it.
10. FAIL trigger: Any message is sent automatically without PMCM Admin review and send action, DataSanitizer is bypassed on any trigger, AIAuditLog entry is absent for any draft generation, draft is accessible to non-PMCM actors before send, or Anthony calls In Review without Francis confirming UI placement.</t>
  </si>
  <si>
    <t>FR-AI-09; Haiku model; Phase 2 scope. UI placement confirmed: Drafts tray inside Command Inbox (EP-02-S01). Visual distinction, three-action review panel, and assistive labeling are non-negotiable. ACTION: Francis to confirm UI placement with Anthony at C4 start. BLOCKED until EP-15-S05 Done.</t>
  </si>
  <si>
    <t>EP-17 -- Platform and Backend Architecture</t>
  </si>
  <si>
    <t>EP-17-S01</t>
  </si>
  <si>
    <t>As a platform maintainer, I want the full NestJS backend converted to dependency injection with all phases 1 to 12 verified, so that the modular monolith architecture is clean and testable.</t>
  </si>
  <si>
    <t>1. PASS: All 26 services confirmed converted to NestJS DI in Phase 1 child plan (File 34); verification passed with no route or contract changes.
2. PASS: Phases 2 and 3 infrastructure modules (event-core, notification-ops, trust-ops, access-control) extracted and verified; event-ops becomes route compatibility facade.
3. PASS: Phases 4 to 12 extraction plans (Files 46 to 52) all confirmed with evidence-cleared checkboxes; supplier-ops, finance-ops, file-ops, inquiry-onboarding, commercial-ops, compliance-ops, floorplan modules extracted.
4. PASS: All confirmed modules (event-core, notification-ops, trust-ops, access-control, identity-ops, inquiry-onboarding, commercial-ops, compliance-ops, floorplan, file-ops, finance-ops, supplier-ops, staffing-ops, live-ops, closure-ops, ai-governance, event-read-models) pass boundary scan with no reverse import violations.
5. PASS: test:event-ops baseline is 85 tests as of File 52; no unexplained regression below this count.
6. PASS: Phase 13 controller migration confirmed in master plan (File 54).
7. FAIL trigger: Any confirmed module has unexplained test regression below File 52 baseline, boundary scan reveals reverse import violations, or Phase 13 migration is incomplete.</t>
  </si>
  <si>
    <t>Files 34-52; NestJS modular monolith Phases 1-13 confirmed complete with verification evidence. Phase 14 (event-ops retirement) and guest-ops (Phase 9) are EP-17-S02 and EP-17-S03 scope.</t>
  </si>
  <si>
    <t>EP-17-S02</t>
  </si>
  <si>
    <t>As a platform maintainer, I want event-ops fully retired and sample-compatibility module in place, so that the compatibility facade is cleanly removed from the codebase.</t>
  </si>
  <si>
    <t>1. PASS: SampleCompatibilityModule is created and imports all 19 required capability modules; circular dependency audit passes with no cycles introduced.
2. PASS: SampleController, SampleCompatibilityService, and SampleStateService are moved to sample-compatibility module and verified by terminal output.
3. PASS: AppModule imports SampleCompatibilityModule; import is verified by terminal output.
4. PASS: event-ops folder is deleted or reduced to index-only; no active service or controller files remain in event-ops after retirement.
5. PASS: packages/api-client/src/event-ops-client.ts rename decision is documented and implemented (PA-131 resolved).
6. PASS: test:event-ops suite passes after retirement; no regression introduced.
7. PASS: All four File 55 unchecked task checkboxes are completed with terminal output evidence; master plan checkbox is not sufficient.
8. PASS: Verification evidence table is present with terminal output for all tasks.
9. FAIL trigger: Any event-ops directory files remain without documented rationale, verification evidence table is absent, circular dependency is introduced by SampleCompatibilityModule imports, or test suite regresses after retirement.</t>
  </si>
  <si>
    <t>BLOCKED: File 55 child plan task checkboxes unchecked, no verification evidence table. Master plan checkbox NOT authoritative. FIRST ACTION at C3 start: Anthony runs all four File 55 verification commands, pastes terminal output as evidence. Resolves PA-92, PA-95, PA-127, PA-128, PA-129, PA-130, PA-131.</t>
  </si>
  <si>
    <t>EP-17-S03</t>
  </si>
  <si>
    <t>As a platform maintainer, I want guest-ops module fully implemented and verified, so that guest workflow commands and read models are properly encapsulated.</t>
  </si>
  <si>
    <t>1. PASS: GuestWorkflowService is implemented inside the guest-ops module and verified by terminal output evidence.
2. PASS: GUEST_COMMANDS and GUEST_READER port tokens are bound with concrete implementations; no unbound token errors on module load.
3. PASS: EventReadModelsService is injected with GUEST_READER and the injection is verified; no conflict with Phase 11 read-model extraction timeline (PA-123 must be assessed before Done).
4. PASS: Guest actor cannot read PMCM planning or live payload through any guest-ops route; role boundary enforced and tested.
5. PASS: Privacy consent gate is implemented: guest cannot complete check-in or submit feedback without consenting to data processing terms.
6. PASS: mapGuestEvent function excludes privateNotes and PMCM-only fields from all guest-facing payloads; verified by inspection of output shape.
7. PASS: GuestOpsModule imports FileOpsModule with a documented rationale for the dependency (PA-121 must be resolved before Done).
8. PASS: test:event-ops count is reported after guest-ops implementation; impact on the 85 count baseline is documented (PA-125).
9. PASS: Verification evidence table is present with terminal output for all tasks; master plan checkbox alone is not sufficient.
10. FAIL trigger: Verification evidence table is absent, GUEST_COMMANDS or GUEST_READER tokens are unbound, guest actor can access PMCM planning payload, privacy consent gate is absent, or PA-121 and PA-123 remain unresolved at Done call.</t>
  </si>
  <si>
    <t>BLOCKED: File 53 child plan task checkboxes unchecked, no verification evidence table. Master plan (File 54) claims completion; child plan contradicts it. Child plan is authoritative. FIRST ACTION at C3 start: Anthony runs File 53 verification commands, pastes terminal output as evidence. Resolves PA-120 through PA-126.</t>
  </si>
  <si>
    <t>EP-18 -- Design System and Shared UI</t>
  </si>
  <si>
    <t>EP-18-S01</t>
  </si>
  <si>
    <t>As any user, I want a consistent design system applied across all five portals, so that the system feels like one coherent PMCM operating system.</t>
  </si>
  <si>
    <t>1. PASS: packages/ui contains the canonical design token set (colors, typography, spacing, breakpoints) used by all five portals (apps/event, apps/client, apps/supplier, apps/guest, apps/api-adjacent surfaces).
2. PASS: All five portals consume design tokens from packages/ui; no app-local copies of token values that duplicate the canonical set remain.
3. PASS: Shared UI components (buttons, inputs, modals, alerts, empty states, loading states) are sourced from packages/ui; app-local copies of components that duplicate shared components are removed.
4. PASS: Visual consistency check: equivalent UI elements (primary button, error state, empty state) render identically across all five portals without per-app style overrides.
5. PASS: Maxine route-review log includes at minimum one entry per portal confirming design token application (P1 missing task from File 33).
6. PASS: No regression is introduced in any portal existing functionality by the design token consolidation; all existing routes render correctly after token migration.
7. FAIL trigger: Any portal retains app-local token copies that duplicate packages/ui values, equivalent UI elements render inconsistently across portals, or route-review log entries are absent for any portal.</t>
  </si>
  <si>
    <t>A (Maxine)</t>
  </si>
  <si>
    <t>FL-016; packages/ui, design tokens, shared shell patterns; confirmed Partial per File 9. Shared UI/tokens exist; app-local UI copies remain. MUST close in first days of C2. Maxine C2 first priority.</t>
  </si>
  <si>
    <t>EP-18-S02</t>
  </si>
  <si>
    <t>As a developer, I want a shared route inventory and navigation shell, so that cross-portal navigation is consistent and traceable.</t>
  </si>
  <si>
    <t>1. PASS: A shared route inventory document exists and lists every confirmed route across all five portals with: route path, owning portal, owning owner, and current redesign severity (S0-S3/Gate per File 14 taxonomy).
2. PASS: Navigation shell is implemented in packages/ui and consumed by all five portals; no portal implements its own independent navigation shell that duplicates shared shell behavior.
3. PASS: Cross-portal navigation (where applicable) routes correctly between portals without exposing unauthorized routes to wrong role actors.
4. PASS: Route inventory is updated before any route-level merge per DoD candidate L.
5. PASS: Maxine route-review log is initiated and contains at minimum one entry confirming the shell foundation is applied per portal.
6. PASS: Navigation shell renders correctly on mobile and desktop breakpoints for all five portals.
7. FAIL trigger: Any portal implements an independent navigation shell that duplicates shared shell behavior, route inventory is missing entries for any confirmed portal route, or cross-portal navigation routes a user to an unauthorized surface.</t>
  </si>
  <si>
    <t>Route inventory; shell foundation; Maxine route-review log required before July closeout (P1 missing task from File 33).</t>
  </si>
  <si>
    <t>P.R.I.S.M. AC TRACKER -- SYSTEM DASHBOARD</t>
  </si>
  <si>
    <t>Overall System Completion %</t>
  </si>
  <si>
    <t>Completion by Cadence</t>
  </si>
  <si>
    <t>Stories by Status</t>
  </si>
  <si>
    <t>Completion by Owner -- Done / In Progress / Total and Weighted %</t>
  </si>
  <si>
    <t>Owner</t>
  </si>
  <si>
    <t>Person</t>
  </si>
  <si>
    <t>Total Stories</t>
  </si>
  <si>
    <t>Maxine</t>
  </si>
  <si>
    <t>Francis</t>
  </si>
  <si>
    <t>Ethan</t>
  </si>
  <si>
    <t>Anthony</t>
  </si>
  <si>
    <t>Stories by MoSCoW Priority -- Count and Completion</t>
  </si>
  <si>
    <t>Priority</t>
  </si>
  <si>
    <t>Completion % by Epic</t>
  </si>
  <si>
    <t>P.R.I.S.M. AC Tracker -- Legend and Color Guide</t>
  </si>
  <si>
    <t>1.  Status -- Definitions, Colors, and Completion % Weight</t>
  </si>
  <si>
    <t>Color Swatch</t>
  </si>
  <si>
    <t>Meaning</t>
  </si>
  <si>
    <t>Where Applied</t>
  </si>
  <si>
    <t>All AC pass, merged to main, reviewed by at least one other owner.</t>
  </si>
  <si>
    <t>100%</t>
  </si>
  <si>
    <t>Tracker, AC Detail</t>
  </si>
  <si>
    <t>Actively being built.</t>
  </si>
  <si>
    <t>50%</t>
  </si>
  <si>
    <t>Tracker, AC Detail, Cadence Checklist</t>
  </si>
  <si>
    <t>Built, awaiting review or verification evidence.</t>
  </si>
  <si>
    <t>75%</t>
  </si>
  <si>
    <t>Tracker only</t>
  </si>
  <si>
    <t>Not yet started; unblocked and ready to begin.</t>
  </si>
  <si>
    <t>0%</t>
  </si>
  <si>
    <t>Cannot proceed. Reason and unblock condition in Notes. Not used in Cadence Checklist.</t>
  </si>
  <si>
    <t>2.  MoSCoW Priority -- Definitions and Colors (text color in Priority column)</t>
  </si>
  <si>
    <t>Required for July 31 system completion. Failure = incomplete system.</t>
  </si>
  <si>
    <t>51 stories</t>
  </si>
  <si>
    <t>Important but not blocking July 31 if deprioritized with documented reason.</t>
  </si>
  <si>
    <t>18 stories</t>
  </si>
  <si>
    <t>Desirable if capacity exists after Must and Should stories are Done.</t>
  </si>
  <si>
    <t>6 stories</t>
  </si>
  <si>
    <t>Won't</t>
  </si>
  <si>
    <t>Explicitly post-July or out of scope for this tracker.</t>
  </si>
  <si>
    <t>0 stories</t>
  </si>
  <si>
    <t>3.  Cadence -- Definitions and Colors (row background tint in Tracker)</t>
  </si>
  <si>
    <t>Cadence</t>
  </si>
  <si>
    <t>Dates</t>
  </si>
  <si>
    <t>Type</t>
  </si>
  <si>
    <t>June 15-20, 2026</t>
  </si>
  <si>
    <t>Baseline / retrospective / Done</t>
  </si>
  <si>
    <t>CLOSED</t>
  </si>
  <si>
    <t>June 22 - July 3, 2026</t>
  </si>
  <si>
    <t>First-slice delivery</t>
  </si>
  <si>
    <t>ACTIVE NOW</t>
  </si>
  <si>
    <t>July 6-17, 2026</t>
  </si>
  <si>
    <t>Workflow completion; feature freeze at close</t>
  </si>
  <si>
    <t>UPCOMING</t>
  </si>
  <si>
    <t>July 20-31, 2026</t>
  </si>
  <si>
    <t>Stabilization and evidence only; hard stop July 31</t>
  </si>
  <si>
    <t>4.  Owners -- Definitions and Story Counts (updated after shared story reassignment)</t>
  </si>
  <si>
    <t>Primary Scope</t>
  </si>
  <si>
    <t>packages/ui, design tokens, route inventory, shared shell patterns</t>
  </si>
  <si>
    <t>2 stories</t>
  </si>
  <si>
    <t>apps/event (port 3004), PMCM command, coordinator, event workspace, live ops, closure. Includes EP-06-S01 and EP-13-S05 (previously shared).</t>
  </si>
  <si>
    <t>36 stories</t>
  </si>
  <si>
    <t>apps/client (port 3001), apps/supplier (port 3002), apps/guest (port 3003), public flows</t>
  </si>
  <si>
    <t>16 stories</t>
  </si>
  <si>
    <t>apps/api (port 4000), packages/types, packages/api-client, verification, docs. Includes EP-09-S02 and EP-12-S02 (previously shared).</t>
  </si>
  <si>
    <t>25 stories</t>
  </si>
  <si>
    <t>5.  Epic Separator Row -- Dark rows grouping stories by Epic in Tracker</t>
  </si>
  <si>
    <t>Element</t>
  </si>
  <si>
    <t>Description</t>
  </si>
  <si>
    <t>Epic Row</t>
  </si>
  <si>
    <t>Epic Separator</t>
  </si>
  <si>
    <t>Dark navy row dividing each Epic group in the Tracker tab.</t>
  </si>
  <si>
    <t>6.  PA Resolution Colors -- Used in Cadence Review Guide tab</t>
  </si>
  <si>
    <t>Sample</t>
  </si>
  <si>
    <t>Critical or unresolved PA requiring immediate action</t>
  </si>
  <si>
    <t>Important notice or feature freeze rule</t>
  </si>
  <si>
    <t>Resolved PA</t>
  </si>
  <si>
    <t>Standard informational row</t>
  </si>
  <si>
    <t>7.  How to Use -- Dropdown and Auto Row Coloring</t>
  </si>
  <si>
    <t>In the Tracker tab and AC Detail tab, click any cell in the Status column (column I in Tracker, column E in AC Detail). A dropdown arrow appears -- select a status and the entire row automatically changes to the matching color above. The Dashboard Overall System Completion % and all breakdown figures update automatically. In the Cadence Checklist tab, the same applies with three options only: Done, In Progress, To Do.</t>
  </si>
  <si>
    <t>P.R.I.S.M. -- Global Definition of Done (14 Criteria)</t>
  </si>
  <si>
    <t>#</t>
  </si>
  <si>
    <t>Criterion</t>
  </si>
  <si>
    <t>1</t>
  </si>
  <si>
    <t>Code merged and builds clean</t>
  </si>
  <si>
    <t>Code is merged to main branch and builds clean.</t>
  </si>
  <si>
    <t>2</t>
  </si>
  <si>
    <t>All AC pass</t>
  </si>
  <si>
    <t>All of the story acceptance criteria pass.</t>
  </si>
  <si>
    <t>3</t>
  </si>
  <si>
    <t>Reviewed by another owner</t>
  </si>
  <si>
    <t>The work has been reviewed by at least one other owner.</t>
  </si>
  <si>
    <t>4</t>
  </si>
  <si>
    <t>Runs without errors</t>
  </si>
  <si>
    <t>It runs without errors in the shared/runtime environment.</t>
  </si>
  <si>
    <t>5</t>
  </si>
  <si>
    <t>User-facing states present</t>
  </si>
  <si>
    <t>User-facing text, states, and error handling are present, not stubbed.</t>
  </si>
  <si>
    <t>A</t>
  </si>
  <si>
    <t>Scope regression check</t>
  </si>
  <si>
    <t>No feature outside story scope was introduced or removed.</t>
  </si>
  <si>
    <t>B</t>
  </si>
  <si>
    <t>Build and typecheck pass</t>
  </si>
  <si>
    <t>Build and typecheck pass clean with zero errors after merge.</t>
  </si>
  <si>
    <t>C</t>
  </si>
  <si>
    <t>Role-boundary scan</t>
  </si>
  <si>
    <t>No unauthorized actor can access data or actions introduced by this story.</t>
  </si>
  <si>
    <t>E</t>
  </si>
  <si>
    <t>Empty state handled</t>
  </si>
  <si>
    <t>Every list, inbox, or dashboard introduced by this story has a confirmed empty state.</t>
  </si>
  <si>
    <t>F</t>
  </si>
  <si>
    <t>Loading state handled</t>
  </si>
  <si>
    <t>Every async data fetch introduced by this story has a confirmed loading state.</t>
  </si>
  <si>
    <t>G</t>
  </si>
  <si>
    <t>Error state handled</t>
  </si>
  <si>
    <t>Every async data fetch has a confirmed error state distinct from empty state.</t>
  </si>
  <si>
    <t>H</t>
  </si>
  <si>
    <t>No-permission state handled</t>
  </si>
  <si>
    <t>Unauthorized actor access returns a denial state, not a blank or broken UI.</t>
  </si>
  <si>
    <t>I</t>
  </si>
  <si>
    <t>High-volume state considered</t>
  </si>
  <si>
    <t>Lists and inboxes introduced handle large data sets without breaking layout or pagination.</t>
  </si>
  <si>
    <t>J</t>
  </si>
  <si>
    <t>Second owner review</t>
  </si>
  <si>
    <t>At least one other owner has reviewed the story before Done is called.</t>
  </si>
  <si>
    <t>K</t>
  </si>
  <si>
    <t>Feature ledger updated</t>
  </si>
  <si>
    <t>Feature ledger (FL-001 to FL-028) is updated before merge where applicable.</t>
  </si>
  <si>
    <t>L</t>
  </si>
  <si>
    <t>Redesign inventory updated</t>
  </si>
  <si>
    <t>Redesign inventory is updated before merge where a route-level change is introduced.</t>
  </si>
  <si>
    <t>M</t>
  </si>
  <si>
    <t>No old product-name references</t>
  </si>
  <si>
    <t>No semantic old product-name references are introduced by this story.</t>
  </si>
  <si>
    <t>Q</t>
  </si>
  <si>
    <t>State summary gate</t>
  </si>
  <si>
    <t>Empty, loading, error, no-permission, and high-volume states are all accounted for (consolidates E F G H I).</t>
  </si>
  <si>
    <t>Notes-Only Gate Conditions (verified alongside C; not standalone DoD rows)</t>
  </si>
  <si>
    <t>D</t>
  </si>
  <si>
    <t>Role boundary data access (notes-only)</t>
  </si>
  <si>
    <t>No actor can access data outside their confirmed role boundary. Verified in same pass as C.</t>
  </si>
  <si>
    <t>N</t>
  </si>
  <si>
    <t>Public pages (notes-only)</t>
  </si>
  <si>
    <t>Public pages do not link directly to dashboards. Applies to public-facing stories only.</t>
  </si>
  <si>
    <t>O</t>
  </si>
  <si>
    <t>Client floorplan mutation (notes-only)</t>
  </si>
  <si>
    <t>Clients cannot mutate official floorplans. Applies to floor plan stories (EP-05).</t>
  </si>
  <si>
    <t>P</t>
  </si>
  <si>
    <t>PMCM-only data (notes-only)</t>
  </si>
  <si>
    <t>PMCM-only data stays PMCM-only. Applies to all stories touching PMCM internal data.</t>
  </si>
  <si>
    <t>P.R.I.S.M. AC Tracker -- Cadence Checklist</t>
  </si>
  <si>
    <t>Team CG | University of Santo Tomas | July 31, 2026 Hard Deadline | Select status from dropdown -- row colors update automatically | Stories weight 2pts, all other items weight 1pt</t>
  </si>
  <si>
    <t>C1 -- Cadence 1 Retrospective Audit  |  June 15-20, 2026  |  Status: CLOSED</t>
  </si>
  <si>
    <t>C1 was the baseline and planning cadence. All items below should be Done. Any To Do or In Progress item here is a carry-over risk into C2 and must be resolved before C2 closes.</t>
  </si>
  <si>
    <t>Item / Description</t>
  </si>
  <si>
    <t>Weight</t>
  </si>
  <si>
    <t>Done Criteria</t>
  </si>
  <si>
    <t>Notes / Context</t>
  </si>
  <si>
    <t>STORIES -- Must be Done from C1</t>
  </si>
  <si>
    <t>Story</t>
  </si>
  <si>
    <t>EP-01-S01 -- Public inquiry form submission</t>
  </si>
  <si>
    <t>Form accessible without login, all required fields captured, duplicate detection works, PMCM inbox receives submission.</t>
  </si>
  <si>
    <t>EP-01-S02 -- Log inquiry on behalf of walk-in or phone client</t>
  </si>
  <si>
    <t>On-behalf function accessible only to PMCM Admin, channel marker present, duplicate detection applies, logging admin identity recorded.</t>
  </si>
  <si>
    <t>EP-01-S03 -- Client account onboarding after inquiry approval</t>
  </si>
  <si>
    <t>Onboarding triggers only after inquiry approved, client portal access activates, audit log entry recorded.</t>
  </si>
  <si>
    <t>EP-01-S04 -- Referral source dropdown with confirmed values</t>
  </si>
  <si>
    <t>Dropdown present on both forms, field required, value saved to inquiry record. Note: sixth value still pending PA-62 -- story is live but AC item 2 placeholder remains.</t>
  </si>
  <si>
    <t>EP-02-S01 -- PMCM command inbox on dashboard</t>
  </si>
  <si>
    <t>Command inbox accessible from PMCM dashboard, rows sourced from PrismPmcmCommandInbox, critical alerts visually distinct, empty state correct, barrel export resolves without error.</t>
  </si>
  <si>
    <t>EP-07-S01 -- Supplier directory with category tagging and reliability notes</t>
  </si>
  <si>
    <t>All 8 supplier categories present, aggregate review rating PMCM-only, BNI flag persists, reliability notes stored, non-PMCM actors denied.</t>
  </si>
  <si>
    <t>EP-07-S02 -- Quote requests to Tier 1 and Tier 2 suppliers</t>
  </si>
  <si>
    <t>Quote request sent per category, one revision limit enforced, quote locked after supplier selected, quote data not exposed to non-PMCM or non-supplier actors.</t>
  </si>
  <si>
    <t>EP-07-S03 -- Supplier quote confirmation and availability check</t>
  </si>
  <si>
    <t>Supplier explicitly confirms availability and accepts terms, no raw AI output shown to supplier, supplier can only see own quote requests.</t>
  </si>
  <si>
    <t>EP-07-S07 -- Internal supplier review after event close</t>
  </si>
  <si>
    <t>Only Ms. Mys and EA can access Internal Supplier Review surface, ratings not visible to supplier or other actors. NOTE: PA-71 still open -- Done call needs retrospective confirmation from Ms. Mys on EA role.</t>
  </si>
  <si>
    <t>EP-12-S03 -- Supplier withdrawal with mandatory reason</t>
  </si>
  <si>
    <t>Withdrawal submittable only with reason, requireSupplierAdmin policy enforced, freeze window withdrawal triggers Emergency Change classification.</t>
  </si>
  <si>
    <t>EP-15-S01 -- Mandatory 2FA via TOTP with lockout and session controls</t>
  </si>
  <si>
    <t>2FA mandatory for PMCM Admin via TOTP, lockout after 5 failures for 10 minutes, password reset link expires at 15 minutes. NOTE: PA-69 open -- minimum password requirements still need Ms. Mys confirmation.</t>
  </si>
  <si>
    <t>EP-15-S02 -- Privacy and PII management layer</t>
  </si>
  <si>
    <t>Privacy Notice shown on first login to all portals, data export and anonymization functions present, PII Inventory PMCM Admin only. NOTE: PA-72 open -- PII Inventory editability still needs Ms. Mys confirmation.</t>
  </si>
  <si>
    <t>EP-17-S01 -- NestJS backend DI conversion Phases 1 to 13 verified</t>
  </si>
  <si>
    <t>All 26 services converted, all confirmed modules pass boundary scan, test:event-ops baseline at 85, Phase 13 controller migration confirmed in master plan.</t>
  </si>
  <si>
    <t>EP-18-S01 -- Design system and shared UI across all five portals</t>
  </si>
  <si>
    <t>All five portals consume design tokens from packages/ui, no app-local token copies, shared components sourced from packages/ui, route-review log entries present for all portals.</t>
  </si>
  <si>
    <t>PA RESOLUTIONS -- Must be confirmed from C1 or carried clearly into C2</t>
  </si>
  <si>
    <t>PA Resolution</t>
  </si>
  <si>
    <t>PA-62 -- Confirm sixth referral source dropdown value</t>
  </si>
  <si>
    <t>Francis + Ms. Mys</t>
  </si>
  <si>
    <t>Ms. Mys names the sixth value in writing or verbally confirmed and recorded. Five confirmed: Facebook, Website, BNI, Walk-In, Log on Behalf.</t>
  </si>
  <si>
    <t>Blocks AC item 2 finalization in EP-01-S04. Low risk but must close before tracker is considered fully clean.</t>
  </si>
  <si>
    <t>PA-69 -- Minimum password requirements confirmed</t>
  </si>
  <si>
    <t>Anthony + Ms. Mys</t>
  </si>
  <si>
    <t>Anthony and Ms. Mys confirm specific length and complexity values in writing.</t>
  </si>
  <si>
    <t>Blocks AC item 5 finalization in EP-15-S01. Story is live but AC placeholder remains.</t>
  </si>
  <si>
    <t>PA-71 -- EA role full name and login type confirmed</t>
  </si>
  <si>
    <t>Ms. Mys</t>
  </si>
  <si>
    <t>Ms. Mys confirms EA full role name and whether EA has own system login or is a sub-role under PMCM Admin.</t>
  </si>
  <si>
    <t>Blocks EP-07-S07 and EP-15-S04 Done calls. If EA has own login, Anthony needs to add a sixth user class -- significant backend scope.</t>
  </si>
  <si>
    <t>PA-72 -- Personal Information Inventory editability confirmed</t>
  </si>
  <si>
    <t>Ms. Mys confirms whether PII Inventory is read-only report view or editable and annotatable by PMCM Admin.</t>
  </si>
  <si>
    <t>Blocks AC item 5 finalization in EP-15-S02. Story is live but AC placeholder remains.</t>
  </si>
  <si>
    <t>PA-73 -- ZDR agreement with Anthropic confirmed</t>
  </si>
  <si>
    <t>Anthony confirms in writing that ZDR agreement is secured with Anthropic. If not yet secured, contact api@anthropic.com immediately -- 1 to 3 business day setup window applies.</t>
  </si>
  <si>
    <t>CRITICAL. Gates all 10 AI features and EP-12-S02. Most urgent single action in the entire project. Cannot carry into C3.</t>
  </si>
  <si>
    <t>KEY ACTIONS -- Non-story tasks from C1</t>
  </si>
  <si>
    <t>Key Action</t>
  </si>
  <si>
    <t>Verify EP-18-S01 carry-over plan</t>
  </si>
  <si>
    <t>Maxine confirms in writing or on ClickUp that EP-18-S01 will be Done within the first 3 days of C2.</t>
  </si>
  <si>
    <t>EP-18-S01 was In Progress at C1 close. All portal UI work downstream carries rework risk until it is Done.</t>
  </si>
  <si>
    <t>Retrospective PA audit -- confirm all C1 PAs above have owners and deadlines</t>
  </si>
  <si>
    <t>All C1 PAs above have a named resolver and a deadline documented on ClickUp or equivalent.</t>
  </si>
  <si>
    <t>PA-62, PA-69, PA-71, PA-72, PA-73 -- all must have owners assigned and deadlines set before C2 mid-point.</t>
  </si>
  <si>
    <t>Confirm EP-07-S07 Done call validity -- PA-71 check</t>
  </si>
  <si>
    <t>Francis confirms with Ms. Mys that EP-07-S07 Done call is valid despite PA-71 being open, or reverts story to In Review.</t>
  </si>
  <si>
    <t>If Ms. Mys confirms EA is a sub-role under PMCM Admin, Done call stands. If EA needs own login, revert and add backend auth scope.</t>
  </si>
  <si>
    <t>Confirm EP-15-S01 and EP-15-S02 Done call validity -- PA-69 and PA-72 check</t>
  </si>
  <si>
    <t>Anthony confirms both stories are functionally complete despite open AC placeholders, and documents that PA-69 and PA-72 are retrospective AC finalization tasks only.</t>
  </si>
  <si>
    <t>Both stories are live. PAs affect only specific AC item text, not the implemented behavior.</t>
  </si>
  <si>
    <t>RED FLAGS -- Conditions signaling C1 retrospective is incomplete</t>
  </si>
  <si>
    <t>RED FLAG: EP-15-S05 (ZDR gate) is still To Do with no Anthropic contact initiated -- escalate to Anthony immediately. Every day of delay compresses C3 AI story delivery.</t>
  </si>
  <si>
    <t>RED FLAG: EP-18-S01 is still In Progress entering C2 with no confirmed close date from Maxine -- all portal UI work is at risk.</t>
  </si>
  <si>
    <t>RED FLAG: PA-71 (EA role) is unresolved and EA is confirmed to need own system login -- Anthony needs to add a sixth user class immediately; this is late-stage backend scope.</t>
  </si>
  <si>
    <t>RED FLAG: Any C1 story other than EP-18-S01 is not Done -- flag immediately on ClickUp and assign remediation owner before C2 day 3.</t>
  </si>
  <si>
    <t>C1 GATE CONDITIONS -- All must be true before C1 retrospective is considered closed</t>
  </si>
  <si>
    <t>GATE: All 13 C1 stories are Done except EP-18-S01 which is In Progress with a confirmed C2 close date from Maxine.</t>
  </si>
  <si>
    <t>GATE: PA-73 (ZDR) has been raised with Anthony and a response or action is on record.</t>
  </si>
  <si>
    <t>GATE: PA-71, PA-72, PA-62, PA-69 all have named resolvers and deadlines documented.</t>
  </si>
  <si>
    <t>GATE: EP-07-S07, EP-15-S01, EP-15-S02 Done calls are confirmed valid despite open PA placeholders.</t>
  </si>
  <si>
    <t>GATE: EP-18-S01 carry-over plan is confirmed and documented by Maxine.</t>
  </si>
  <si>
    <t>C1 Completion %</t>
  </si>
  <si>
    <t>Stories = weight 2 | PA resolutions, actions, owner tasks, gate conditions = weight 1</t>
  </si>
  <si>
    <t>C2 -- Cadence 2 First-Slice Delivery  |  June 22 - July 3, 2026  |  Status: ACTIVE</t>
  </si>
  <si>
    <t>C2 is active now (June 26, 2026). EP-04-S01 (Conforme Gate) is the single most critical delivery -- it gates 19 downstream stories. EP-15-S05 (ZDR) must also be resolved before C2 closes or all AI stories are lost.</t>
  </si>
  <si>
    <t>STORIES -- Must be Done by July 3, 2026</t>
  </si>
  <si>
    <t>EP-04-S01 -- Conforme upload -- atomic activation of client portal, billing, and event workspace</t>
  </si>
  <si>
    <t>Non-PDF uploads rejected, atomic activation of all three workspaces on upload, rollback on failure, conforme stored and retrievable, audit log entry recorded, PA-109 resolved before Done call.</t>
  </si>
  <si>
    <t>HIGHEST PRIORITY C2 DELIVERY. Not yet started as of June 26. Gates 19 downstream stories across EP-03, EP-05, EP-06, EP-08, EP-09, EP-10, EP-11, EP-12, EP-13. Start immediately.</t>
  </si>
  <si>
    <t>EP-02-S02 -- Command inbox error state -- no false all-clear on fetch failure</t>
  </si>
  <si>
    <t>Fetch failure renders a visible error state distinct from empty state. No false all-clear exists in any code path. Recovery from error transitions cleanly to loaded or empty state.</t>
  </si>
  <si>
    <t>RESOLVED. Commit e0f99c0. Amber AlertTriangle + '!' badge. Verified in Docker. FL-017 deferred item 1 complete.</t>
  </si>
  <si>
    <t>EP-02-S03 -- Command inbox item click-through navigation to event workspace</t>
  </si>
  <si>
    <t>Each inbox item clickable and routes to correct event workspace section. Stale item click shows clear message. Non-PMCM actors cannot access click-through routes.</t>
  </si>
  <si>
    <t>RESOLVED. Commit a97498f. Conditional Link wrapping on item.href. Verified in Docker. T03 scope gap -- non-issue. FL-017 deferred item 2 complete.</t>
  </si>
  <si>
    <t>EP-02-S04 -- Command inbox mounted in final approved location per T03 design</t>
  </si>
  <si>
    <t>RESOLVED as non-issue. Standalone route is correct per team plan. t03-acceptance-notes.md was AI-generated and never approved. No code change needed. Delete t03-acceptance-notes.md from Claude Code memory in next session.</t>
  </si>
  <si>
    <t>RESOLVED as non-issue. FL-017 deferred item 3 complete. PR #4 open on GitHub, ready for review.</t>
  </si>
  <si>
    <t>EP-02-S05 -- PMCM coordinator directory and assignment commands</t>
  </si>
  <si>
    <t>Full coordinator directory visible in apps/event, double-booking warning present and undismissable without explicit confirmation, Pending Acknowledgment status shown after assignment, same_tx pattern used, non-PMCM actors denied.</t>
  </si>
  <si>
    <t>Second highest C2 priority after EP-04-S01. Gates all five EP-11 coordinator stories in C3. Start after EP-04-S01 is In Progress.</t>
  </si>
  <si>
    <t>EP-03-S01 -- Event briefing creation and client submission</t>
  </si>
  <si>
    <t>Briefing creatable only after conforme signed, all five briefing sections captured, client receives briefing in portal, PMCM notified on client submission, briefing status trackable.</t>
  </si>
  <si>
    <t>Gated on EP-04-S01 Done. Cannot start until conforme is live.</t>
  </si>
  <si>
    <t>EP-03-S02 -- Proposal generation and client response</t>
  </si>
  <si>
    <t>Proposal generatable only after briefing complete, all five proposal sections present, client can accept or request revision, proposal history stored, conforme upload gated on proposal acceptance.</t>
  </si>
  <si>
    <t>Gated on EP-03-S01 Done. Manual proposal workflow only -- AI draft (EP-16-S02) is Phase 2 scope.</t>
  </si>
  <si>
    <t>EP-05-S01 -- Official floor plan creation and publication</t>
  </si>
  <si>
    <t>Floor plan creatable only after conforme signed, only PMCM Admin and system actors can mutate official state, published snapshot stored and retrievable, FLOORPLAN_COMMANDS port used for all writes, ocular visit gate confirmed with PA-59 resolution.</t>
  </si>
  <si>
    <t>Gated on EP-04-S01 Done. PA-59 override path must be confirmed with Ms. Mys before Done call.</t>
  </si>
  <si>
    <t>EP-05-S02 -- Client venue and layout preference submission</t>
  </si>
  <si>
    <t>Client can submit preferences only after conforme signed, preference clearly labeled as draft not official floor plan, client cannot mutate official floor plan state, preference visible to PMCM Admin only.</t>
  </si>
  <si>
    <t>Gated on EP-04-S01 and EP-05-S01 Done.</t>
  </si>
  <si>
    <t>EP-05-S03 -- Client read-only approved floor plan view with revision comments</t>
  </si>
  <si>
    <t>Client view is read-only, only primary client contact can submit revision comments, floor plan locked after PMCM Admin approval, non-client non-PMCM actors denied.</t>
  </si>
  <si>
    <t>Gated on EP-05-S01 Done.</t>
  </si>
  <si>
    <t>EP-05-S04 -- Floor plan canvas editor with draggable element library</t>
  </si>
  <si>
    <t>Canvas editor accessible to PMCM Admin only, pre-built elements library present by category, canvas persistence behavior unchanged from pre-extraction, sub-ticket hard dependency enforced.</t>
  </si>
  <si>
    <t>No upstream dependency but styling sub-tickets are blocked until EP-05-S01 (floor plan approval) is Done.</t>
  </si>
  <si>
    <t>EP-07-S06 -- Public supplier registration form</t>
  </si>
  <si>
    <t>Form accessible without login, BNI Member toggle present and stored, submitted application routed to PMCM Admin inbox (EP-07-S09), application not auto-approved, PA-74 canonical FR number confirmed before Done call.</t>
  </si>
  <si>
    <t>PA-74 OPEN -- canonical FR number for New-SUP3/New-EX1/New-S1 must be confirmed before Done call.</t>
  </si>
  <si>
    <t>EP-08-S01 -- Auto-generated billing statement on conforme upload</t>
  </si>
  <si>
    <t>Billing statement generated automatically on conforme upload, 50% downpayment milestone present, idempotency guard prevents duplicate on duplicate upload, PA-109 resolved before Done call.</t>
  </si>
  <si>
    <t>Gated on EP-04-S01 Done. PA-109 OPEN -- Anthony must confirm uploadConforme billing path routing.</t>
  </si>
  <si>
    <t>EP-09-S01 -- File requirements matrix per event</t>
  </si>
  <si>
    <t>File requirements definable only after conforme signed, metadata-only gate enforced (no real file storage), FILE_REQUIREMENT_READER and FILE_REQUIREMENT_COMMANDS ports used, submitter can only view own assigned requirements.</t>
  </si>
  <si>
    <t>Gated on EP-04-S01 Done. Signed URLs gated until Anthony approves real storage adapter.</t>
  </si>
  <si>
    <t>EP-10-S01 -- Client action center with pending tasks and event status</t>
  </si>
  <si>
    <t>Fallback derivation logic fully removed, action center sourced from PrismClientActionCenter contract only, no PMCM internal data visible, Maxine has reviewed against design system before Done call.</t>
  </si>
  <si>
    <t>Partial per File 9. Fallback derivation still present -- must be removed. Maxine review required per FL-020 July decision.</t>
  </si>
  <si>
    <t>EP-10-S03 -- Client ocular visit request with auto-created PMCM Change Task</t>
  </si>
  <si>
    <t>Change Task auto-created on client submission, PMCM Admin can schedule and mark complete, PA-59 override path confirmed with Ms. Mys before In Review, non-PMCM non-client actors denied.</t>
  </si>
  <si>
    <t>PA-59 OPEN -- Francis and Ms. Mys must confirm PMCM override path mechanism before EP-10-S03 reaches In Review.</t>
  </si>
  <si>
    <t>EP-15-S03 -- MIME type validation on all file uploads</t>
  </si>
  <si>
    <t>MIME type checked by actual detection not extension only, all seven accepted types enforced, files stored with randomized filenames, PA-70 file size limits confirmed before Phase 2 AC finalized.</t>
  </si>
  <si>
    <t>PA-70 OPEN on file size limits for Phase 2 scope.</t>
  </si>
  <si>
    <t>EP-18-S01 -- Design system and shared UI -- CARRY-OVER FROM C1</t>
  </si>
  <si>
    <t>Must close within first 3 days of C2. Maxine C2 absolute first priority. All portal UI work carries rework risk until Done.</t>
  </si>
  <si>
    <t>EP-18-S02 -- Shared route inventory and navigation shell</t>
  </si>
  <si>
    <t>Route inventory document lists every confirmed route across all five portals with owning portal and redesign severity, navigation shell in packages/ui consumed by all five portals, route inventory updated before any route-level merge.</t>
  </si>
  <si>
    <t>Gated on EP-18-S01 Done.</t>
  </si>
  <si>
    <t>EP-15-S05 -- ZDR confirmed and DataSanitizer enforced -- CRITICAL GATE</t>
  </si>
  <si>
    <t>ZDR agreement with Anthropic documented in writing before any EP-16 story moves to In Progress. DataSanitizer implemented and tested. AIAuditLog table receives entries for every Claude API call. Human approval gate implemented as reusable component.</t>
  </si>
  <si>
    <t>CADENCE-DISPLACED FROM C1. Cannot carry into C3. Contact api@anthropic.com immediately if not yet initiated. 1 to 3 business day setup window. Gates all 10 AI features and EP-12-S02 and EP-12-S06.</t>
  </si>
  <si>
    <t>PA RESOLUTIONS -- Must be confirmed during C2</t>
  </si>
  <si>
    <t>PA-59 -- PMCM Admin override path for ocular visit gate</t>
  </si>
  <si>
    <t>Ms. Mys confirms in writing or verbally: if client never completes ocular visit, can PMCM Admin override the gate and proceed to floor plan creation? Confirm the mechanism.</t>
  </si>
  <si>
    <t>Ask Ms. Mys: If a client never completes the ocular visit request, can PMCM Admin override the gate and proceed to floor plan creation anyway? Blocks EP-10-S03 In Review and EP-05-S01 Done call.</t>
  </si>
  <si>
    <t>PA-73 -- ZDR agreement status with Anthropic</t>
  </si>
  <si>
    <t>Anthony confirms in writing that ZDR is secured OR confirms that contact with api@anthropic.com has been initiated and provides expected confirmation date.</t>
  </si>
  <si>
    <t>MOST URGENT ACTION IN THE ENTIRE PROJECT. If not resolved by C2 close, all C3 and C4 AI stories must be declared post-July.</t>
  </si>
  <si>
    <t>PA-74 -- Canonical FR number for New-SUP3/New-EX1/New-S1 supplier registration</t>
  </si>
  <si>
    <t>Team</t>
  </si>
  <si>
    <t>Team agrees on one canonical FR number and name for the public supplier registration feature. Only one tracker story exists for this feature regardless of naming.</t>
  </si>
  <si>
    <t>Blocks EP-07-S06 Done call. Three names in source docs for one feature -- must be collapsed to one canonical ID.</t>
  </si>
  <si>
    <t>PA-76 -- Who performs Verified status on supplier on-site updates</t>
  </si>
  <si>
    <t>Ms. Mys confirms which role performs the Verified status level on supplier status updates and through which portal surface they do it.</t>
  </si>
  <si>
    <t>Ask Ms. Mys: When a supplier marks themselves as Arrived or Set Up and Ready, who verifies that status and upgrades it from Self-Reported to Verified? Which app do they use? Blocks EP-07-S05 Done call.</t>
  </si>
  <si>
    <t>PA-109 -- uploadConforme billing path routing</t>
  </si>
  <si>
    <t>Anthony confirms in writing whether uploadConforme calls billing logic directly or routes through FinanceOpsModule.</t>
  </si>
  <si>
    <t>Blocks EP-04-S01 and EP-08-S01 Done calls. Must be resolved before either story can be called Done even if build is complete.</t>
  </si>
  <si>
    <t>PA-101 -- BILLING_READER and PAYMENT_STATUS_READER token implementations</t>
  </si>
  <si>
    <t>Anthony implements concrete implementations for both tokens and confirms on ClickUp. No cadence slot currently assigned -- must be slotted in C2 or early C3.</t>
  </si>
  <si>
    <t>Blocks EP-08-S02 In Review in C3. Must be implemented before EP-08-S02 build starts.</t>
  </si>
  <si>
    <t>PA-70 -- Per-type or global file size limits for uploads</t>
  </si>
  <si>
    <t>Anthony confirms whether file size limits are per file type or a single global limit, and states the specific values.</t>
  </si>
  <si>
    <t>Blocks AC item 4 finalization in EP-09-S02 and EP-15-S03 Phase 2 scope. Must be confirmed before EP-09-S02 Done call in C3.</t>
  </si>
  <si>
    <t>KEY ACTIONS -- Non-story tasks for C2</t>
  </si>
  <si>
    <t>Start EP-04-S01 build immediately</t>
  </si>
  <si>
    <t>Francis has started building EP-04-S01 in apps/event. Evidence: ClickUp card moved to In Progress.</t>
  </si>
  <si>
    <t>Not yet started as of June 26. Every day of delay compresses the 19 downstream stories.</t>
  </si>
  <si>
    <t>Contact api@anthropic.com for ZDR agreement</t>
  </si>
  <si>
    <t>Email sent to api@anthropic.com and confirmation received or expected date documented.</t>
  </si>
  <si>
    <t>1 to 3 business day setup window. Must be initiated immediately. Do not wait for C2 mid-point.</t>
  </si>
  <si>
    <t>Raise PA-109 with Anthony -- uploadConforme billing path</t>
  </si>
  <si>
    <t>Francis has explicitly asked Anthony to confirm the uploadConforme billing path. Anthony has responded or has a response deadline.</t>
  </si>
  <si>
    <t>Both EP-04-S01 and EP-08-S01 Done calls are blocked without this answer.</t>
  </si>
  <si>
    <t>Slot PA-101 implementation into Anthony C2 or early C3 workload</t>
  </si>
  <si>
    <t>Anthony has added BILLING_READER and PAYMENT_STATUS_READER implementation to his ClickUp board with a target date.</t>
  </si>
  <si>
    <t>No cadence slot currently assigned. EP-08-S02 (C3 Must story) cannot reach In Review without these.</t>
  </si>
  <si>
    <t>Resolve Docker setup and branch merge blocker for EP-02-S02 through EP-02-S04</t>
  </si>
  <si>
    <t>B (Francis) + Team</t>
  </si>
  <si>
    <t>Docker Desktop installed and confirmed working. .env.docker set up. All three FL-017 deferred items resolved. EP-02-S02, EP-02-S03, and EP-02-S04 are all Done.</t>
  </si>
  <si>
    <t>COMPLETED. Docker working. .env.docker set up with Supabase values. Critical lesson: hot reload unreliable for EventDashboardClient.tsx -- always do full docker compose down then up --build api event.</t>
  </si>
  <si>
    <t>Maxine closes EP-18-S01 within first 3 days of C2</t>
  </si>
  <si>
    <t>EP-18-S01 status on Tracker is Done. Maxine route-review log has at least one entry per portal.</t>
  </si>
  <si>
    <t>If EP-18-S01 is not Done by June 25, flag immediately. All portal UI work downstream is at rework risk.</t>
  </si>
  <si>
    <t>Confirm PA-59 ocular visit override with Ms. Mys</t>
  </si>
  <si>
    <t>Ms. Mys has confirmed whether PMCM Admin can override the ocular visit gate. Mechanism is documented.</t>
  </si>
  <si>
    <t>Needed before EP-10-S03 moves to In Review and before EP-05-S01 Done call.</t>
  </si>
  <si>
    <t>Confirm PA-76 Verified status actor with Ms. Mys</t>
  </si>
  <si>
    <t>Ms. Mys has confirmed which role performs Verified status level and through which surface.</t>
  </si>
  <si>
    <t>Needed before EP-07-S05 Done call.</t>
  </si>
  <si>
    <t>Confirm PA-71 EA role definition with Ms. Mys</t>
  </si>
  <si>
    <t>Ms. Mys has confirmed EA full role name and whether EA has own login or is sub-role under PMCM Admin. Anthony alerted if own login confirmed.</t>
  </si>
  <si>
    <t>Needed before EP-07-S07 and EP-15-S04 Done calls. If EA needs own login, Anthony must add sixth user class.</t>
  </si>
  <si>
    <t>OWNER TASKS -- Per-owner C2 delivery summary</t>
  </si>
  <si>
    <t>Owner Task</t>
  </si>
  <si>
    <t>Close EP-18-S01 (first 3 days of C2). Then EP-18-S02. Review EP-10-S01 against design system before Ethan calls Done.</t>
  </si>
  <si>
    <t>EP-18-S01 Done, EP-18-S02 Done or In Progress, EP-10-S01 reviewed by Maxine before Done.</t>
  </si>
  <si>
    <t>2 stories. Maxine has lightest load but EP-18-S01 is a foundation dependency for all portal work.</t>
  </si>
  <si>
    <t>EP-04-S01 first (start immediately). Then EP-02-S05. Then EP-03-S01, EP-05-S01, EP-05-S04. EP-02-S02, EP-02-S03, and EP-02-S04 are all Done. FL-017 is fully complete. PR #4 open on GitHub, ready for review -- merge to main.</t>
  </si>
  <si>
    <t>EP-04-S01 Done by June 30. EP-02-S05 Done or In Progress by July 1. EP-03-S01 and EP-05-S01 In Progress by July 3.</t>
  </si>
  <si>
    <t>8 stories this cadence. Heaviest C2 load. EP-04-S01 is non-negotiable first priority.</t>
  </si>
  <si>
    <t>EP-05-S02, EP-05-S03, EP-07-S06, EP-10-S01 (remove fallback), EP-10-S03. Coordinate with Francis on floor plan sequence.</t>
  </si>
  <si>
    <t>EP-10-S01 fallback removed and Done. EP-05-S02 and EP-05-S03 In Progress by July 1 (gated on Francis EP-04-S01 and EP-05-S01).</t>
  </si>
  <si>
    <t>4 stories this cadence. EP-05-S02 and EP-05-S03 cannot start until Francis delivers EP-04-S01 and EP-05-S01.</t>
  </si>
  <si>
    <t>EP-08-S01, EP-09-S01, EP-15-S03, EP-15-S05 (ZDR -- URGENT). Resolve PA-109 and PA-101. Slot PA-101 implementation.</t>
  </si>
  <si>
    <t>EP-15-S05 Done or ZDR contact confirmed. EP-08-S01 and EP-09-S01 In Progress by July 1. PA-109 resolved by June 28.</t>
  </si>
  <si>
    <t>4 stories plus ZDR gate. EP-15-S05 is the most critical deliverable regardless of story count.</t>
  </si>
  <si>
    <t>RED FLAGS -- Conditions signaling C2 is at risk</t>
  </si>
  <si>
    <t>RED FLAG: EP-04-S01 not Done by June 30 -- immediate escalation to full team. 19 downstream stories cannot close. C3 delivery is unachievable.</t>
  </si>
  <si>
    <t>RED FLAG: EP-15-S05 still To Do with no Anthropic contact by June 28 -- all C3 and C4 AI stories must be pre-emptively declared post-July.</t>
  </si>
  <si>
    <t>RED FLAG: EP-02-S05 not Done by July 1 -- all five EP-11 coordinator stories in C3 cannot start. Coordinator experience epic is undeliverable.</t>
  </si>
  <si>
    <t>RED FLAG: EP-18-S01 not Done by June 25 -- Maxine must flag immediately. All portal UI consistency is at risk.</t>
  </si>
  <si>
    <t>RED FLAG: PA-109 unresolved by June 28 -- EP-04-S01 and EP-08-S01 Done calls are blocked even if builds are complete.</t>
  </si>
  <si>
    <t>RESOLVED: Docker setup and branch merges are complete. EP-02-S02, EP-02-S03, and EP-02-S04 are all Done. FL-017 is fully complete.</t>
  </si>
  <si>
    <t>RED FLAG: EP-10-S01 fallback derivation logic still present at C2 close -- story cannot be called Done.</t>
  </si>
  <si>
    <t>C2 GATE CONDITIONS -- All must be true before moving to C3</t>
  </si>
  <si>
    <t>GATE: EP-04-S01 is Done. This is non-negotiable -- no exceptions.</t>
  </si>
  <si>
    <t>GATE: EP-15-S05 is Done OR ZDR contact with Anthropic is confirmed and expected resolution date is documented.</t>
  </si>
  <si>
    <t>GATE: EP-02-S05 is Done or In Review.</t>
  </si>
  <si>
    <t>GATE: EP-18-S01 is Done.</t>
  </si>
  <si>
    <t>GATE: PA-109 is resolved -- Anthony has confirmed the uploadConforme billing path in writing.</t>
  </si>
  <si>
    <t>GATE: PA-73 status is confirmed -- ZDR is secured or initiation is documented with expected date.</t>
  </si>
  <si>
    <t>GATE: All stories marked Done have been reviewed by at least one other owner.</t>
  </si>
  <si>
    <t>GATE: Every Blocked story has a documented unblock condition and responsible owner.</t>
  </si>
  <si>
    <t>GATE: ClickUp board reflects actual status -- no story is Done on the board without evidence.</t>
  </si>
  <si>
    <t>C2 Completion %</t>
  </si>
  <si>
    <t>C3 -- Cadence 3 Workflow Completion  |  July 6-17, 2026  |  Feature Freeze at Close</t>
  </si>
  <si>
    <t>C3 is the most loaded cadence. Feature freeze at July 17 close -- after this date only release-blocker fixes, verification failures, documentation, small UX clarity fixes, and approved gate documentation are permitted. First actions at C3 start are mandatory before any story work begins.</t>
  </si>
  <si>
    <t>MANDATORY FIRST ACTIONS -- Must happen on July 6 before any story work begins</t>
  </si>
  <si>
    <t>First Action</t>
  </si>
  <si>
    <t>Run File 55 verification for EP-17-S02 (event-ops retirement)</t>
  </si>
  <si>
    <t>Anthony runs all four File 55 verification commands and pastes terminal output as evidence. Zero errors. Master plan checkbox alone is not sufficient.</t>
  </si>
  <si>
    <t>EP-17-S02 is Blocked until this is done. All C3 backend work assumes clean module topology. If verification fails, emergency remediation must start immediately.</t>
  </si>
  <si>
    <t>Run File 53 verification for EP-17-S03 (guest-ops implementation)</t>
  </si>
  <si>
    <t>Anthony runs all File 53 verification commands and pastes terminal output as evidence. Zero errors. Master plan Phase 9 checkbox is not sufficient -- child plan is authoritative.</t>
  </si>
  <si>
    <t>EP-17-S03 is Blocked until this is done. Master plan claims completion but child plan contradicts it.</t>
  </si>
  <si>
    <t>Resolve PA-63 and PA-66 -- QR gate scope for guest self-scan</t>
  </si>
  <si>
    <t>Team confirms whether guest self-scan via own phone falls under the same QR/camera gate as coordinator QR check-in. Decision documented.</t>
  </si>
  <si>
    <t>If unresolved by July 10, EP-13-S03 and EP-13-S07 must be formally declared post-July. Ethan carries both stories -- two of his 11 C3 stories could be off the board.</t>
  </si>
  <si>
    <t>Confirm EP-15-S05 (ZDR) is Done</t>
  </si>
  <si>
    <t>EP-15-S05 status on Tracker is Done. ZDR agreement documented. No EP-16 story can move to In Progress without this.</t>
  </si>
  <si>
    <t>If EP-15-S05 is still not Done at C3 start, all AI stories must be immediately declared post-July. No exceptions.</t>
  </si>
  <si>
    <t>Extract shared coordinator UI elements to packages/ui before EP-11-S05 build starts</t>
  </si>
  <si>
    <t>A (Maxine) + B (Francis)</t>
  </si>
  <si>
    <t>packages/ui contains role badge, urgent issue button, and event details header components. Francis confirms these are available before starting any role view component.</t>
  </si>
  <si>
    <t>EP-11-S05 build plan requires shared elements in packages/ui before any individual role view is built. Coordinate Maxine and Francis at C3 start.</t>
  </si>
  <si>
    <t>STORIES -- Must be Done by July 17, 2026 (feature freeze)</t>
  </si>
  <si>
    <t>EP-17-S02 -- event-ops retirement and sample-compatibility module</t>
  </si>
  <si>
    <t>All four File 55 unchecked tasks completed with terminal output evidence. SampleCompatibilityModule imports 19 modules with no circular dependencies. event-ops deleted or index-only. PA-130 and PA-131 resolved.</t>
  </si>
  <si>
    <t>First action at C3 start. Resolves PA-92, PA-95, PA-127 through PA-131.</t>
  </si>
  <si>
    <t>EP-17-S03 -- guest-ops module implementation and verification</t>
  </si>
  <si>
    <t>All File 53 tasks completed with terminal output evidence. GUEST_COMMANDS and GUEST_READER tokens bound. Privacy consent gate implemented. PA-121 and PA-123 resolved before Done call.</t>
  </si>
  <si>
    <t>First action at C3 start alongside EP-17-S02.</t>
  </si>
  <si>
    <t>EP-04-S02 -- Contract and MOA generation for large clients</t>
  </si>
  <si>
    <t>Contract generatable only after conforme signed, dual signing path supported, contract status trackable, signed document stored and retrievable, non-PMCM non-client actors denied.</t>
  </si>
  <si>
    <t>Gated on EP-04-S01 Done from C2.</t>
  </si>
  <si>
    <t>EP-06-S01 -- Compliance validation against rule-based field-presence rules</t>
  </si>
  <si>
    <t>B (Francis) / D (Anthony)</t>
  </si>
  <si>
    <t>Compliance Engine performs field-presence validation only -- not NLP semantic analysis. NLP = benchmark only (89.1%). AI advisory absent. COMPLIANCE_COMMANDS and COMPLIANCE_READER ports used. Validation results PMCM Admin only.</t>
  </si>
  <si>
    <t>Gated on EP-04-S01 Done. NLP distinction is critical -- must not be overstated anywhere in AC or documentation.</t>
  </si>
  <si>
    <t>EP-06-S02 -- Defense and readiness gate check with Pre-Event Readiness Report</t>
  </si>
  <si>
    <t>defenseReadiness composition aggregates compliance, supplier, payment, and floor plan status. Event flagged Not Ready until all Must-Fix Items resolved. Report stored per run not overwritten. Non-PMCM actors denied.</t>
  </si>
  <si>
    <t>Gated on EP-06-S01 Done.</t>
  </si>
  <si>
    <t>EP-06-S03 -- Change requests and change freeze enforcement at 5 days</t>
  </si>
  <si>
    <t>Change freeze automatically enforced at exactly 5 days before event. Internal PMCM adjustments always permitted. Emergency Change available in freeze window for PMCM Admin. Supplier withdrawal in freeze window triggers Emergency Change and PARE activation. All change requests in audit trail.</t>
  </si>
  <si>
    <t>Gated on EP-04-S01 Done. Gates EP-12-S01, EP-12-S02, EP-12-S03. Critical path story.</t>
  </si>
  <si>
    <t>EP-07-S04 -- Pre-event readiness confirmation request to suppliers at 7 days</t>
  </si>
  <si>
    <t>System triggers readiness request automatically at exactly 7 days before event. Supplier confirms with one-tap yes/no plus optional free-text note (PA-77 resolved). Unresponsive suppliers flagged at 48 hours. Records feed EP-06-S02.</t>
  </si>
  <si>
    <t>PA-77 RESOLVED -- concern flagging via optional free-text note in Prism scope. FR-64 full communication thread is Phase 2 scope only.</t>
  </si>
  <si>
    <t>EP-07-S08 -- Supplier tier assessment and manual tier adjustment</t>
  </si>
  <si>
    <t>PMCM Admin can view accumulated ratings per supplier, manually upgrade or downgrade tier, tier change recorded in audit trail with rationale, supplier not notified of internal tier decision.</t>
  </si>
  <si>
    <t>Gated on EP-07-S07 Done (C1). Should priority.</t>
  </si>
  <si>
    <t>EP-07-S09 -- Supplier applications inbox and action</t>
  </si>
  <si>
    <t>PMCM Admin can take one of three actions per application: Request Proposal, Schedule Meeting, Decline. Approved suppliers added with Pending First Event status. Each action produces audit log entry.</t>
  </si>
  <si>
    <t>Gated on EP-07-S06 Done (C2). Should priority.</t>
  </si>
  <si>
    <t>EP-08-S02 -- Payment milestone tracking with Payment At Risk flag</t>
  </si>
  <si>
    <t>Up to three configurable payment milestones per event. Payment At Risk flag displayed at 48 hours before event if balance not received. BILLING_READER and PAYMENT_STATUS_READER ports used (PA-101 must be resolved before In Review). Payment records PMCM Admin only.</t>
  </si>
  <si>
    <t>Gated on EP-08-S01 Done. PA-101 OPEN -- Anthony must implement both tokens before In Review.</t>
  </si>
  <si>
    <t>EP-08-S03 -- On-site extras billing with waiver and Activity History</t>
  </si>
  <si>
    <t>Extras records linked to urgent issue ticket from EP-12-S04. Waived extras recorded in Activity History with reason. Client can view extras summary including waived items.</t>
  </si>
  <si>
    <t>Gated on EP-12-S04 Done. Should priority.</t>
  </si>
  <si>
    <t>EP-09-S02 -- Document vault upload with MIME validation and randomized filenames</t>
  </si>
  <si>
    <t>MIME type validated before upload reaches storage. All seven accepted types enforced. Files stored with randomized filenames. Signed URLs only after Anthony approves real storage adapter. PA-70 file size limits confirmed.</t>
  </si>
  <si>
    <t>Gated on EP-09-S01 and EP-15-S03 Done. PA-70 OPEN on file size limits.</t>
  </si>
  <si>
    <t>EP-10-S02 -- Client event timeline and milestone progress view</t>
  </si>
  <si>
    <t>Timeline shows all key milestone dates. New-CL2 toggle implemented -- PMCM Admin can toggle client event-day view per event. Client event-day view contains no internal task or coordinator details regardless of toggle state.</t>
  </si>
  <si>
    <t>Gated on EP-04-S01 Done. Should priority.</t>
  </si>
  <si>
    <t>EP-11-S01 -- Coordinator assignment acknowledgment</t>
  </si>
  <si>
    <t>Coordinator can acknowledge assignment with explicit action, acknowledgment recorded with timestamp and identity, PMCM Admin dashboard transitions from Pending Acknowledgment to Confirmed, coordinator cannot acknowledge withdrawn assignment.</t>
  </si>
  <si>
    <t>Gated on EP-02-S05 Done (C2).</t>
  </si>
  <si>
    <t>EP-11-S02 -- Coordinator event-day task and urgent issue logging</t>
  </si>
  <si>
    <t>Task and urgent issue records stored in live-ops. Urgent issues immediately visible on PMCM live ops dashboard. Urgent issues linkable to EP-08-S03 billing records. Non-coordinator non-PMCM actors denied.</t>
  </si>
  <si>
    <t>EP-11-S03 -- Coordinator attendance marking and reliability notes</t>
  </si>
  <si>
    <t>Three statuses: Present, Late Arrival, Absent. Late Arrival and No Show auto-written as reliability notes in staffing-ops. Coordinator can only mark own attendance. live-ops attendance routes fully complete (no stubbed behavior).</t>
  </si>
  <si>
    <t>EP-11-S04 -- Real-time coordinator availability count and Staffing Gap Warning</t>
  </si>
  <si>
    <t>Staffing Gap Warning displayed when required count exceeds confirmed available count. Coordinators with Pending Acknowledgment not counted as confirmed. PMCM Admin only.</t>
  </si>
  <si>
    <t>Gated on EP-02-S05 Done (C2). Should priority.</t>
  </si>
  <si>
    <t>EP-11-S05 -- All five coordinator role views</t>
  </si>
  <si>
    <t>All five role views built as separate components (Option A locked). Build sequence: 1 EDSO, 2 Registration Staff, 3 Floor Director, 4 Ingress Egress, 5 Usher. Shared elements in packages/ui first. Each role view passes all its AC items independently. Break-down trigger monitored.</t>
  </si>
  <si>
    <t>Gated on EP-02-S05 Done (C2). Build plan locked -- see AC Detail tab. EDSO gates EP-12-S04. Break-down trigger: if any single role view Done while others stuck, move to AC Detail tab immediately.</t>
  </si>
  <si>
    <t>EP-12-S01 -- Live operations dashboard -- real-time supplier, coordinator, guest data</t>
  </si>
  <si>
    <t>Dashboard displays real-time supplier status, coordinator positions, and guest attendance count. Mobile-first and phone-friendly. Data refreshes without manual reload. Feeds EP-12-S06 AI Copilot. Non-PMCM actors denied.</t>
  </si>
  <si>
    <t>Partial per File 9. Gated on EP-06-S03 Done. Critical path story -- gates EP-12-S04, EP-12-S06, EP-14-S01.</t>
  </si>
  <si>
    <t>EP-12-S02 -- PARE emergency supplier replacement</t>
  </si>
  <si>
    <t>PARE triggered only from within change freeze window after supplier withdrawal. PAREService in ai-governance. DataSanitizer runs on all data before API call. ZDR confirmed active. Human approval gate enforced. Every PARE run produces AIAuditLog entry. No automated replacement without PMCM Admin confirmation.</t>
  </si>
  <si>
    <t>Gated on EP-06-S03, EP-12-S03, and EP-15-S05 Done. PA-75 OPEN on Agentic scope tag.</t>
  </si>
  <si>
    <t>EP-12-S04 -- Event Day System Operator -- urgent issues, task reassignment, coordinator attendance</t>
  </si>
  <si>
    <t>Urgent issue one-tap access. Task reassignment notifies Ms. Mys immediately. Auto-approval fires at exactly 2 minutes. Attendance marks write reliability notes to staffing-ops. Urgent issues linkable to EP-08-S03 billing. All actions produce audit log entries.</t>
  </si>
  <si>
    <t>Gated on EP-12-S01 Done. Coordinate with Anthony on notification-ops before In Review. Confirm staffing-ops write path with Anthony before AC sign-off.</t>
  </si>
  <si>
    <t>EP-12-S05 -- In-event engagement games builder -- five pre-built templates</t>
  </si>
  <si>
    <t>Exactly five game templates available. Each configured game generates a QR code linking to EP-13-S07. Game activation and deactivation work during event. Responses stored per event. No app download required.</t>
  </si>
  <si>
    <t>Gated on EP-04-S01 Done. Could priority. Generates QR code for EP-13-S07.</t>
  </si>
  <si>
    <t>EP-13-S01 -- Coordinator laptop-optimized guest masterlist with check-in controls</t>
  </si>
  <si>
    <t>Masterlist searchable in real time. Check In button per guest row. Walk-In Addition button present. Flag for Verification control present. Real-time attendance count feeds EP-12-S01.</t>
  </si>
  <si>
    <t>Gated on EP-04-S01 Done.</t>
  </si>
  <si>
    <t>EP-13-S02 -- Guest name-based and headcount-only check-in</t>
  </si>
  <si>
    <t>Name search matches against pre-loaded masterlist. Headcount-only mode present. Walk-in policy enforced for private events under 200 pax. Real-time count feeds EP-12-S01 and EP-13-S01.</t>
  </si>
  <si>
    <t>Partial per File 9. Remaining: headcount-only mode, walk-in policy enforcement, real-time count feed.</t>
  </si>
  <si>
    <t>EP-13-S03 -- Guest QR code check-in via own phone browser</t>
  </si>
  <si>
    <t>QR scan works via phone camera with no app download. Page served over HTTPS. QR check-in records same attendance data as name-based. Real-time count updates identically. PA-63 and PA-66 must be resolved before In Progress.</t>
  </si>
  <si>
    <t>BLOCKED pending PA-63 and PA-66 resolution at C3 start. If unresolved by July 10, declare post-July.</t>
  </si>
  <si>
    <t>EP-13-S04 -- Guest post-event feedback with star rating and media upload</t>
  </si>
  <si>
    <t>Feedback form accessible after event closes without account. Star rating, text review, optional video max 60 seconds. All submissions to PMCM moderated queue. Client permission required before any public use.</t>
  </si>
  <si>
    <t>EP-13-S05 -- Digital registration platform details and headcount import</t>
  </si>
  <si>
    <t>PMCM Admin records platform details per event. Digital Registration supplier sub-ticket linked to supplier category record. Final headcount importable after event. PRISM does not handle ticket sales or payment at any point.</t>
  </si>
  <si>
    <t>Scoped to 200 to 250 pax and above using XPERTO. PRISM never processes ticket sales or payments.</t>
  </si>
  <si>
    <t>EP-13-S06 -- Guest event information web page via QR on LED wall</t>
  </si>
  <si>
    <t>QR code generates per event linking to apps/guest web page. No app download or account required. Page served over HTTPS. No internal PMCM data exposed.</t>
  </si>
  <si>
    <t>Could priority. Phase 2 scope.</t>
  </si>
  <si>
    <t>EP-13-S07 -- Guest game participation via QR code on phone browser</t>
  </si>
  <si>
    <t>Game participation page accessible via QR with no app download. Served over HTTPS. Responses stored per game session. No internal PMCM data exposed.</t>
  </si>
  <si>
    <t>BLOCKED: same QR gate as EP-13-S03. Also gated on EP-12-S05 Done (game must exist first). If PA-63 and PA-66 unresolved by July 10, declare post-July.</t>
  </si>
  <si>
    <t>EP-15-S04 -- Append-only tamper-resistant audit trail for Ms. Mys and EA</t>
  </si>
  <si>
    <t>Every system action produces an audit log entry in trust-ops. Append-only and tamper-resistant. Filterable by user, event, date range, action type. Accessible only to Ms. Mys and EA. PA-71 resolved before Done call.</t>
  </si>
  <si>
    <t>PA-71 OPEN on EA role definition. If EA has own login, Anthony needs to add sixth user class before this story can be Done.</t>
  </si>
  <si>
    <t>EP-16-S01 -- AI inquiry analysis agent -- prospect score and event type prediction</t>
  </si>
  <si>
    <t>Analysis runs within 30 seconds of inquiry submission. Haiku model. DataSanitizer runs before API call. ZDR confirmed active. Output is assistive only -- no system pressure on PMCM Admin. AIAuditLog entry per run. PMCM Admin only.</t>
  </si>
  <si>
    <t>Gated on EP-15-S05 Done. Phase 2 scope. Should priority.</t>
  </si>
  <si>
    <t>EP-16-S02 -- AI-generated first draft of event proposal</t>
  </si>
  <si>
    <t>Draft generated by explicit PMCM Admin trigger after EP-03-S02 available. Sonnet model. DataSanitizer runs before API call. Five proposal sections. Draft presented as assistive starting point. Human approval gate enforced. AIAuditLog entry per run.</t>
  </si>
  <si>
    <t>Gated on EP-15-S05 and EP-03-S02 Done. Phase 2 scope. Should priority.</t>
  </si>
  <si>
    <t>EP-16-S03 -- AI theme and moodboard suggestions</t>
  </si>
  <si>
    <t>Triggered by explicit PMCM Admin action. Sonnet model. Two to three concept suggestions with text and search terms only -- no image generation. DataSanitizer runs. Human approval gate. AIAuditLog entry per run.</t>
  </si>
  <si>
    <t>Gated on EP-15-S05 Done. Phase 2 scope. Could priority.</t>
  </si>
  <si>
    <t>PA RESOLUTIONS -- Must be confirmed during C3</t>
  </si>
  <si>
    <t>PA-56 -- Bayesian score DataSanitizer, ZDR, AIAuditLog applicability</t>
  </si>
  <si>
    <t>Anthony confirms whether DataSanitizer, ZDR confirmation check, and AIAuditLog entry are required for the Bayesian reliability score calculation given it does not call the Claude API.</t>
  </si>
  <si>
    <t>Recommendation: yes for governance consistency. Blocks EP-16-S05 Done call in C4.</t>
  </si>
  <si>
    <t>PA-63 -- QR gate scope -- guest self-scan via own phone</t>
  </si>
  <si>
    <t>Team confirms whether guest self-scan with own phone falls under same QR/camera gate as coordinator QR check-in. Decision documented by July 10.</t>
  </si>
  <si>
    <t>Must be resolved at C3 start (July 6). If unresolved by July 10, EP-13-S03 and EP-13-S07 declared post-July.</t>
  </si>
  <si>
    <t>PA-66 -- FR-95 browser-based QR scanning gate scope</t>
  </si>
  <si>
    <t>Team confirms whether browser-based QR scanning (guest own phone) is blocked by the same gate as coordinator QR check-in or is unblocked for Prism scope.</t>
  </si>
  <si>
    <t>Same resolution deadline as PA-63. Both PAs resolved in the same team discussion.</t>
  </si>
  <si>
    <t>PA-75 -- Agentic scope tag cadence mapping for EP-12-S02</t>
  </si>
  <si>
    <t>Team confirms whether Agentic scope tag on FR-AI-04b maps to a different cadence than Phase 2 AI features.</t>
  </si>
  <si>
    <t>Blocks EP-12-S02 Done call. Resolve before EP-12-S02 moves to In Review.</t>
  </si>
  <si>
    <t>PA-121 -- Rationale for GuestOpsModule importing FileOpsModule</t>
  </si>
  <si>
    <t>Anthony documents and confirms the reason GuestOpsModule imports FileOpsModule. Rationale recorded in child plan or code comment.</t>
  </si>
  <si>
    <t>Blocks EP-17-S03 Done call.</t>
  </si>
  <si>
    <t>PA-123 -- GUEST_READER injection vs Phase 11 read-model extraction timeline</t>
  </si>
  <si>
    <t>Anthony confirms whether injecting GUEST_READER into EventReadModelsService conflicts with the Phase 11 read-model extraction timeline.</t>
  </si>
  <si>
    <t>PA-130 -- SampleCompatibilityModule 19-import circular dependency audit</t>
  </si>
  <si>
    <t>Anthony runs circular dependency audit after SampleCompatibilityModule is created with 19 imports. Zero circular dependencies confirmed by terminal output.</t>
  </si>
  <si>
    <t>Blocks EP-17-S02 Done call.</t>
  </si>
  <si>
    <t>PA-131 -- event-ops-client.ts rename decision</t>
  </si>
  <si>
    <t>Anthony documents whether packages/api-client/src/event-ops-client.ts is renamed, kept as-is with rationale, or removed. Decision implemented and confirmed.</t>
  </si>
  <si>
    <t>PA-59 -- PA-59 mechanism finalized -- PMCM override path for ocular visit</t>
  </si>
  <si>
    <t>Ms. Mys has confirmed the specific override mechanism (if not already confirmed in C2). AC item 4 of EP-10-S03 and EP-05-S01 finalized with confirmed override path documented.</t>
  </si>
  <si>
    <t>Should be resolved in C2 but carries here if not. Blocks EP-10-S03 and EP-05-S01 Done calls.</t>
  </si>
  <si>
    <t>KEY ACTIONS -- Non-story tasks for C3</t>
  </si>
  <si>
    <t>Feature freeze enforcement at July 17 close</t>
  </si>
  <si>
    <t>B (Francis) Team Lead</t>
  </si>
  <si>
    <t>After July 17, only release-blocker fixes, verification failures, documentation, small UX clarity fixes, and approved gate documentation are committed to main. No new features.</t>
  </si>
  <si>
    <t>Feature freeze is a hard rule per the calendar. Any new feature work after July 17 must be formally declared post-July with documented reason.</t>
  </si>
  <si>
    <t>Declare post-July for EP-13-S03 and EP-13-S07 if PA-63 and PA-66 unresolved by July 10</t>
  </si>
  <si>
    <t>If PA-63 and PA-66 are not resolved by July 10, both stories are formally declared post-July on ClickUp with documented reason. Ethan is notified.</t>
  </si>
  <si>
    <t>Two of Ethan's 11 C3 stories. Formal declaration prevents scope creep past feature freeze.</t>
  </si>
  <si>
    <t>EP-11-S05 break-down trigger monitoring at cadence mid-point (July 10)</t>
  </si>
  <si>
    <t>Francis checks whether any single EP-11-S05 role view is Done while others are not. If trigger fires, move EP-11-S05 to AC Detail tab and track each role view independently.</t>
  </si>
  <si>
    <t>Trigger monitoring is Francis's responsibility. AC Detail tab is pre-populated and ready.</t>
  </si>
  <si>
    <t>Coordinate with Anthony on EP-12-S04 notification-ops before In Review</t>
  </si>
  <si>
    <t>Francis and Anthony have explicitly synced on the notification-ops module handling for Ms. Mys phone notification on task reassignment before EP-12-S04 is called In Review.</t>
  </si>
  <si>
    <t>Cross-owner dependency. Easy to miss under C3 pressure.</t>
  </si>
  <si>
    <t>Confirm staffing-ops reliability note write path with Anthony before EP-12-S04 AC sign-off</t>
  </si>
  <si>
    <t>Anthony confirms the write path from EP-12-S04 Late Arrival and No Show attendance marks to staffing-ops reliability notes before Francis signs off on EP-12-S04 AC.</t>
  </si>
  <si>
    <t>Cross-owner dependency on Anthony confirming the write path before AC is finalized.</t>
  </si>
  <si>
    <t>Coordinate Maxine on shared coordinator UI elements before EP-11-S05 build</t>
  </si>
  <si>
    <t>packages/ui contains role badge, urgent issue button, and event details header before Francis starts building any EP-11-S05 role view component.</t>
  </si>
  <si>
    <t>First action at C3 start. Cannot begin EP-11-S05 without these shared elements.</t>
  </si>
  <si>
    <t>Confirm dashboard UI data feed availability with Francis before EP-12-S06 In Progress</t>
  </si>
  <si>
    <t>Anthony confirms with Francis that the live ops dashboard data streams from EP-12-S01 are accessible to the AI Copilot agent before EP-12-S06 moves to In Progress.</t>
  </si>
  <si>
    <t>Cross-owner dependency. EP-12-S06 is C4 but the data feed dependency must be confirmed in C3.</t>
  </si>
  <si>
    <t>OWNER TASKS -- Per-owner C3 delivery summary</t>
  </si>
  <si>
    <t>Extract shared coordinator UI elements to packages/ui at C3 start. Support EP-11-S05 shared component extraction. No dedicated stories this cadence.</t>
  </si>
  <si>
    <t>packages/ui has role badge, urgent issue button, and event details header available before Francis starts EP-11-S05 build.</t>
  </si>
  <si>
    <t>0 stories but critical unblocking role for Francis EP-11-S05 build.</t>
  </si>
  <si>
    <t>10 stories this cadence: EP-04-S02, EP-06-S01, EP-06-S02, EP-06-S03, EP-07-S04, EP-07-S08, EP-07-S09, EP-08-S02, EP-08-S03, EP-11-S01 through EP-11-S05, EP-12-S01, EP-12-S02, EP-12-S04, EP-12-S05, EP-13-S01, EP-13-S05. Critical path: EP-06-S03 must be Done before EP-12-S01 can start.</t>
  </si>
  <si>
    <t>EP-06-S03 Done by July 10. EP-12-S01 Done by July 14. EP-11-S05 all five role views Done by July 17. EP-12-S04 Done by July 17.</t>
  </si>
  <si>
    <t>Heaviest cadence in the entire project. EP-06-S03 and EP-12-S01 are the critical path. Build EP-11-S05 role views in locked sequence.</t>
  </si>
  <si>
    <t>11 stories: EP-05-S02 through EP-05-S03 (carry from C2 if needed), EP-10-S02, EP-10-S03, EP-13-S02 through EP-13-S07. Two stories potentially declared post-July (EP-13-S03, EP-13-S07) depending on PA-63 and PA-66.</t>
  </si>
  <si>
    <t>EP-13-S02 Done by July 10. EP-13-S04 Done by July 14. PA-63 and PA-66 resolved by July 6 or EP-13-S03 and EP-13-S07 declared post-July by July 10.</t>
  </si>
  <si>
    <t>11 C3 stories is the highest single-cadence load for any owner. Two stories at risk of post-July declaration.</t>
  </si>
  <si>
    <t>14 stories: EP-17-S02, EP-17-S03, EP-09-S02, EP-15-S04, EP-16-S01, EP-16-S02, EP-16-S03, plus PA resolutions PA-56, PA-121, PA-123, PA-130, PA-131. First two actions at C3 start.</t>
  </si>
  <si>
    <t>EP-17-S02 and EP-17-S03 verified by terminal output by July 8. PA-130 and PA-131 resolved before EP-17-S02 Done call. PA-121 and PA-123 resolved before EP-17-S03 Done call.</t>
  </si>
  <si>
    <t>43% of all stories. Verification runs at C3 start are mandatory first actions before any story work begins.</t>
  </si>
  <si>
    <t>RED FLAGS -- Conditions signaling C3 is at risk</t>
  </si>
  <si>
    <t>RED FLAG: EP-17-S02 or EP-17-S03 verification fails at C3 start -- module topology is unclean. Anthony must remediate before any other C3 work begins.</t>
  </si>
  <si>
    <t>RED FLAG: EP-06-S03 not Done by July 10 -- EP-12-S01 cannot start. Live ops epic and coordinator experience epic are at risk of missing feature freeze.</t>
  </si>
  <si>
    <t>RED FLAG: EP-12-S01 not Done by July 14 -- EP-12-S04 and EP-14-S01 cannot close before feature freeze. Three stories cascade.</t>
  </si>
  <si>
    <t>RED FLAG: EP-15-S05 still not Done at C3 start -- all EP-16 stories must be immediately declared post-July. No exceptions.</t>
  </si>
  <si>
    <t>RED FLAG: EP-11-S05 break-down trigger fires and AC Detail tab is not updated immediately -- tracker loses accuracy for coordinator role view tracking.</t>
  </si>
  <si>
    <t>RED FLAG: PA-63 and PA-66 unresolved by July 10 -- EP-13-S03 and EP-13-S07 must be formally declared post-July immediately.</t>
  </si>
  <si>
    <t>RED FLAG: Any Must story not In Progress by July 10 -- escalate to full team immediately. Feature freeze at July 17 leaves no buffer.</t>
  </si>
  <si>
    <t>RED FLAG: Anthony not completing verification runs at C3 start -- all backend-dependent stories are built on potentially unclean topology.</t>
  </si>
  <si>
    <t>C3 GATE CONDITIONS -- All must be true before moving to C4</t>
  </si>
  <si>
    <t>GATE: EP-17-S02 and EP-17-S03 both verified with terminal output evidence. Module topology is clean.</t>
  </si>
  <si>
    <t>GATE: EP-06-S03 is Done.</t>
  </si>
  <si>
    <t>GATE: EP-12-S01 is Done.</t>
  </si>
  <si>
    <t>GATE: EP-11-S05 all five role views are Done OR break-down trigger has fired and AC Detail tab is tracking each role view independently.</t>
  </si>
  <si>
    <t>GATE: EP-15-S05 is Done. ZDR agreement documented. DataSanitizer tested. Human approval gate implemented.</t>
  </si>
  <si>
    <t>GATE: All Must stories in C3 are Done or formally declared post-July with documented reason and owner.</t>
  </si>
  <si>
    <t>GATE: Feature freeze is enforced -- no new feature commits after July 17.</t>
  </si>
  <si>
    <t>GATE: PA-63 and PA-66 are resolved OR EP-13-S03 and EP-13-S07 are formally declared post-July.</t>
  </si>
  <si>
    <t>GATE: All PA resolutions due in C3 are confirmed and documented.</t>
  </si>
  <si>
    <t>GATE: ClickUp board reflects actual status with evidence for every Done story.</t>
  </si>
  <si>
    <t>C3 Completion %</t>
  </si>
  <si>
    <t>C4 -- Cadence 4 Stabilization and Evidence Only  |  July 20-31, 2026  |  Hard Stop July 31</t>
  </si>
  <si>
    <t>C4 is stabilization and evidence only. No new features. Hard stop July 31 -- all remaining open stories declared post-July with documented reason. July 31 = 90% system completion scorecard target.</t>
  </si>
  <si>
    <t>MANDATORY FIRST ACTIONS -- Must happen on July 20 before any story work begins</t>
  </si>
  <si>
    <t>Sync between Francis and Anthony on EP-16-S07 dashboard UI placement</t>
  </si>
  <si>
    <t>B (Francis) + D (Anthony)</t>
  </si>
  <si>
    <t>Francis explicitly confirms to Anthony where the AI draft message Drafts tray sits in the Command Inbox (EP-02-S01). Anthony cannot call EP-16-S07 In Review without this confirmation.</t>
  </si>
  <si>
    <t>Confirmed placement: dedicated Drafts tray inside Command Inbox. Visual distinction, three-action review panel, and assistive labeling are non-negotiable. This sync must happen at C4 start not mid-cadence.</t>
  </si>
  <si>
    <t>Post-July declaration sweep -- formally declare all open stories post-July with documented reason</t>
  </si>
  <si>
    <t>Every story not Done or In Progress at C4 start is formally declared post-July on ClickUp with: reason, owner, and estimated post-July cadence.</t>
  </si>
  <si>
    <t>Hard rule. No story silently dropped. Every post-July declaration is documented.</t>
  </si>
  <si>
    <t>Final evidence audit -- confirm all C3 Done stories have at least one other owner review on record</t>
  </si>
  <si>
    <t>Every story marked Done in C3 has a documented review by at least one owner other than the story owner. Any missing reviews are completed in first two days of C4.</t>
  </si>
  <si>
    <t>DoD criterion J requires second owner review. C4 is the last chance to complete these before July 31.</t>
  </si>
  <si>
    <t>STORIES -- Must be Done by July 31, 2026 (hard stop)</t>
  </si>
  <si>
    <t>EP-14-S01 -- Event archive and deterministic Event Insights Card</t>
  </si>
  <si>
    <t>PMCM Admin can archive after event date passed. Close-gate readiness check passes before archiving. Post-Event Wrap-Up Screen present. One-Screen Close present. Deterministic Event Insights Card generated from existing records (no AI). Archived record fully retrievable. Audit log entry recorded.</t>
  </si>
  <si>
    <t>Partial per File 9. AI-enhanced insights (EP-16-S06 PEIL) are Phase 2 scope and not part of this story. Must be Done by July 24 to leave time for EP-14-S02 and EP-16-S06.</t>
  </si>
  <si>
    <t>EP-14-S02 -- Post-event document completion and filing</t>
  </si>
  <si>
    <t>Post-event documentation tracker accessible after EP-14-S01 Done. 3 to 5 day endorsement window enforced. Deadline Overdue alert triggers correctly. Client can acknowledge receipt. Documents retrievable by PMCM Admin only.</t>
  </si>
  <si>
    <t>Gated on EP-14-S01 Done. Should priority.</t>
  </si>
  <si>
    <t>EP-07-S10 -- Prospective supplier application status page</t>
  </si>
  <si>
    <t>Status page accessible without full portal login. Exactly five statuses displayed: Under Review, Proposal Requested, Meeting Scheduled, Approved, Declined. Status reflects PMCM Admin actions from EP-07-S09 without delay. No internal PMCM data exposed.</t>
  </si>
  <si>
    <t>Gated on EP-07-S09 Done. Should priority.</t>
  </si>
  <si>
    <t>EP-12-S06 -- AI event day monitoring agent -- 60-second poll cycle</t>
  </si>
  <si>
    <t>Agent polls live ops data at exactly 60-second intervals during active event only. Haiku model. DataSanitizer on every poll cycle. ZDR confirmed active. Prioritized alerts for supplier late arrivals, overdue tasks, coordinator no-shows, check-in anomalies. Every recommendation-producing poll produces AIAuditLog entry. Human approval gate enforced. Data feed confirmed with Francis before In Progress.</t>
  </si>
  <si>
    <t>Gated on EP-12-S01 and EP-15-S05 Done. Should priority. Coordinate with Francis on live ops data feed before In Progress.</t>
  </si>
  <si>
    <t>EP-16-S04 -- POA Chatbot -- caged Claude chatbot on PMCM dashboard</t>
  </si>
  <si>
    <t>Chatbot embedded in PMCM Admin dashboard. Sonnet model. Caged -- no external data sources. ZDR confirmed. Human approval gate enforced for every proposed action. Every session produces AIAuditLog entry. PMCM Admin only.</t>
  </si>
  <si>
    <t>Gated on EP-15-S05 Done. Should priority. Phase 2 scope.</t>
  </si>
  <si>
    <t>EP-16-S05 -- Probabilistic supplier reliability score -- Bayesian calculation</t>
  </si>
  <si>
    <t>Score displayed with confidence band on supplier profile. Computed from exactly four factors: on-time arrival, complaint rates, quote response times, contract mismatch frequency. Minimum event threshold before score displays (confirm threshold value). PMCM Admin only. PA-56 resolved before Done call.</t>
  </si>
  <si>
    <t>Gated on EP-15-S05 and EP-07-S07 Done. Could priority. PA-56 OPEN on governance consistency for Bayesian calculation.</t>
  </si>
  <si>
    <t>EP-16-S06 -- AI post-event intelligence report -- PEIL</t>
  </si>
  <si>
    <t>Report generated by explicit PMCM Admin trigger after EP-14-S01 Done. Sonnet model. DataSanitizer runs. Three sections: What Worked, What Failed and Why, Recommended Actions. ZDR confirmed. Human approval gate for any recommended action affecting supplier record or future event. AIAuditLog entry per run. Upgrades Event Insights Card from EP-14-S01 deterministic baseline.</t>
  </si>
  <si>
    <t>Gated on EP-15-S05 and EP-14-S01 Done. Should priority. Phase 2 scope.</t>
  </si>
  <si>
    <t>EP-16-S07 -- AI-generated draft messages at four workflow trigger points</t>
  </si>
  <si>
    <t>Exactly four trigger points: unsigned conforme at 5 days, unanswered proposal at 3 days, balance payment at 48 hours, floor plan approval pending at 2 days. Haiku model. DataSanitizer on every trigger. ZDR confirmed. Human approval gate enforced -- no automated send. Drafts tray inside Command Inbox. Francis has confirmed UI placement before In Review. AIAuditLog entry per draft generation.</t>
  </si>
  <si>
    <t>Gated on EP-15-S05 Done. Should priority. Phase 2 scope. Francis must confirm UI placement at C4 start before Anthony builds.</t>
  </si>
  <si>
    <t>PA RESOLUTIONS -- Must be confirmed during C4</t>
  </si>
  <si>
    <t>PA-56 -- Bayesian score governance -- DataSanitizer, ZDR, AIAuditLog required?</t>
  </si>
  <si>
    <t>Anthony confirms in writing whether all three governance requirements apply to the Bayesian calculation. Decision documented before EP-16-S05 Done call.</t>
  </si>
  <si>
    <t>Recommendation: yes for governance consistency across all AI-adjacent features.</t>
  </si>
  <si>
    <t>KEY ACTIONS -- Non-story tasks for C4</t>
  </si>
  <si>
    <t>Feature freeze compliance audit at July 20</t>
  </si>
  <si>
    <t>No feature commits exist after July 17 close. Only release-blocker fixes, verification failures, documentation, small UX clarity fixes, and approved gate documentation are in the commit log after July 17.</t>
  </si>
  <si>
    <t>Review git commit log. Any feature commit after July 17 must be reverted or approved as a documented exception.</t>
  </si>
  <si>
    <t>System completion scorecard -- final evidence matrix for all 28 FL families</t>
  </si>
  <si>
    <t>Anthony produces the final feature outcome matrix for FL-001 through FL-028 confirming each family's completion status, July decision, and evidence type.</t>
  </si>
  <si>
    <t>P0 missing task from File 33. Required for July 31 system completion target.</t>
  </si>
  <si>
    <t>Route evidence packet for lifecycle demo path</t>
  </si>
  <si>
    <t>Anthony produces route evidence packet covering the full lifecycle demo path from inquiry through closure.</t>
  </si>
  <si>
    <t>Compatibility fallback decisions -- kept, remove, or post-July for each</t>
  </si>
  <si>
    <t>Every compatibility route in event-ops (or sample-compatibility) is documented with a kept/remove/post-July decision and the decision is recorded.</t>
  </si>
  <si>
    <t>P0 missing task from File 33. Required before July calendar is considered complete.</t>
  </si>
  <si>
    <t>Post-July queue grouping -- by persona and domain</t>
  </si>
  <si>
    <t>All post-July stories and features are grouped by persona and domain in a post-July queue document for handover.</t>
  </si>
  <si>
    <t>P1 missing task from File 33. Required for clean handover to UAT and deployment.</t>
  </si>
  <si>
    <t>External dependency decision rows in C4 closeout</t>
  </si>
  <si>
    <t>All external dependencies (ZDR, real storage adapter, production notifications, QR/camera gate, external auth) have a documented decision row in the C4 closeout matrix.</t>
  </si>
  <si>
    <t>P1 missing task from File 33.</t>
  </si>
  <si>
    <t>Francis confirms EP-16-S07 UI placement with Anthony at C4 start</t>
  </si>
  <si>
    <t>Francis explicitly tells Anthony that the Drafts tray is inside the Command Inbox (EP-02-S01) with visual distinction, three-action review panel, and assistive labeling requirements. This happens on July 20 before Anthony starts EP-16-S07.</t>
  </si>
  <si>
    <t>If Francis does not confirm placement and Anthony calls In Review, the In Review call must be reverted.</t>
  </si>
  <si>
    <t>UAT preparation -- seed prototype data for demo</t>
  </si>
  <si>
    <t>Developer-side DB seeding complete: 3 to 5 suppliers, 5 to 10 coordinators, 2 to 3 clients in the database for the demo. CSV bulk upload path documented for client data migration.</t>
  </si>
  <si>
    <t>UAT: Weeks 31 to 33. Prototype data must be in place before UAT begins.</t>
  </si>
  <si>
    <t>Final tracker review -- all 79 stories have correct status and evidence</t>
  </si>
  <si>
    <t>Every story in the Tracker tab has a status that reflects actual build state. Every Done story has a review by at least one other owner documented. No story is Done without evidence.</t>
  </si>
  <si>
    <t>Last action before July 31. Tracker must be accurate for UAT handover.</t>
  </si>
  <si>
    <t>OWNER TASKS -- Per-owner C4 delivery summary</t>
  </si>
  <si>
    <t>No dedicated C4 stories. Support final design system review and route inventory update. Ensure all portal UI done in C3 passes visual consistency check.</t>
  </si>
  <si>
    <t>Route inventory updated. All portal UI consistency confirmed. Maxine route-review log complete.</t>
  </si>
  <si>
    <t>0 stories. Primarily support and verification role in C4.</t>
  </si>
  <si>
    <t>EP-14-S01 (In Progress -- must be Done by July 24), EP-14-S02. Confirm EP-16-S07 UI placement with Anthony at C4 start. Final tracker review at July 31.</t>
  </si>
  <si>
    <t>EP-14-S01 Done by July 24. EP-14-S02 Done by July 29. EP-16-S07 UI placement confirmed on July 20.</t>
  </si>
  <si>
    <t>2 stories. EP-14-S01 must be Done by July 24 to leave time for EP-14-S02 and EP-16-S06.</t>
  </si>
  <si>
    <t>EP-07-S10. Any C3 carry-over stories (if formally approved). Final portal review and UAT prep support.</t>
  </si>
  <si>
    <t>EP-07-S10 Done by July 25. All C3 carry-over stories either Done or formally declared post-July.</t>
  </si>
  <si>
    <t>1 story plus potential C3 carry-overs. Lightest C4 load among active owners.</t>
  </si>
  <si>
    <t>9 stories: EP-12-S06, EP-16-S04, EP-16-S05, EP-16-S06, EP-16-S07. Plus P0/P1 missing tasks: FL outcome matrix, route evidence packet, compatibility fallback decisions, post-July queue, external dependency decisions, UAT data seeding.</t>
  </si>
  <si>
    <t>All five AI stories Done or declared post-July by July 28. All P0 missing tasks complete by July 29. UAT data seeded by July 29.</t>
  </si>
  <si>
    <t>Heaviest C4 load. 9 stories plus 6 critical missing tasks. AI stories are all gated on EP-15-S05 -- if ZDR not secured, all 5 become post-July immediately.</t>
  </si>
  <si>
    <t>RED FLAGS -- Conditions signaling C4 is at risk</t>
  </si>
  <si>
    <t>RED FLAG: EP-14-S01 not Done by July 24 -- EP-14-S02 and EP-16-S06 are compressed into 7 days. Both are at risk of missing July 31.</t>
  </si>
  <si>
    <t>RED FLAG: EP-15-S05 still not Done entering C4 -- all five EP-16 AI stories must be immediately declared post-July. No exceptions.</t>
  </si>
  <si>
    <t>RED FLAG: EP-16-S07 In Review called without Francis confirming dashboard UI placement -- revert to In Progress immediately.</t>
  </si>
  <si>
    <t>RED FLAG: Any Must story not Done by July 28 -- flag immediately. July 31 is a hard deadline with no extensions.</t>
  </si>
  <si>
    <t>RED FLAG: P0 missing tasks (FL outcome matrix, route evidence packet, compatibility fallback decisions) not started by July 22 -- system completion scorecard at risk.</t>
  </si>
  <si>
    <t>RED FLAG: UAT data not seeded by July 29 -- UAT cannot begin on schedule in Weeks 31 to 33.</t>
  </si>
  <si>
    <t>RED FLAG: Feature commits found in git log after July 17 without documented exception approval -- revert immediately.</t>
  </si>
  <si>
    <t>C4 GATE CONDITIONS -- July 31 System Completion Criteria</t>
  </si>
  <si>
    <t>GATE: All Must stories across all four cadences are Done or formally declared post-July with documented reason.</t>
  </si>
  <si>
    <t>GATE: EP-14-S01 is Done.</t>
  </si>
  <si>
    <t>GATE: EP-15-S05 is Done OR all EP-16 stories are formally declared post-July.</t>
  </si>
  <si>
    <t>GATE: All 7 system completion confidence gates from File 33 are assessed: catalog traceability, feature-family outcome, route/actor evidence, role-boundary evidence, external dependency decisions, UX/workflow evidence, doc synchronization.</t>
  </si>
  <si>
    <t>GATE: FL outcome matrix (FL-001 through FL-028) is complete -- Anthony has documented completion status, July decision, and evidence type for all 28 families.</t>
  </si>
  <si>
    <t>GATE: Route evidence packet for lifecycle demo path is complete.</t>
  </si>
  <si>
    <t>GATE: All compatibility fallback decisions are documented with kept/remove/post-July status.</t>
  </si>
  <si>
    <t>GATE: Post-July queue is grouped by persona and domain and ready for handover.</t>
  </si>
  <si>
    <t>GATE: UAT prototype data is seeded: 3 to 5 suppliers, 5 to 10 coordinators, 2 to 3 clients.</t>
  </si>
  <si>
    <t>GATE: Final Tracker review is complete -- all 79 stories have accurate status with evidence.</t>
  </si>
  <si>
    <t>GATE: Every post-July story has a documented reason, owner, and estimated post-July cadence.</t>
  </si>
  <si>
    <t>GATE: No feature commits exist after July 17 without documented exception approval.</t>
  </si>
  <si>
    <t>C4 Completion %</t>
  </si>
  <si>
    <t>AC Detail Tab -- Populated only when EP-11-S05 break-down trigger fires or when instructed</t>
  </si>
  <si>
    <t>Role View / Criterion</t>
  </si>
  <si>
    <t>AC Item #</t>
  </si>
  <si>
    <t>AC Description</t>
  </si>
  <si>
    <t>EP-11-S05 -- Coordinator Role Views (Break-Down Trigger Active)</t>
  </si>
  <si>
    <t>Populated when any single role view reaches Done while others are still In Progress or Blocked. Track each role view independently below.</t>
  </si>
  <si>
    <t>EP-11-S05 RV1</t>
  </si>
  <si>
    <t>Floor Director and Stage Director (New-CO2)</t>
  </si>
  <si>
    <t>1. Role badge, event details, briefing documents, and assigned task list displayed.
2. Communication thread scoped exclusively to Event Day System Operator and Ms. Mys.
3. No other coordinator role, client, supplier, or guest actor can access this view.
4. Coordinator assigned to different role cannot access this view.</t>
  </si>
  <si>
    <t>Build sequence: 3rd. Shared elements (role badge, event details header) from packages/ui.</t>
  </si>
  <si>
    <t>EP-11-S05 RV2</t>
  </si>
  <si>
    <t>Registration Staff (New-CO3)</t>
  </si>
  <si>
    <t>1. Role view laptop-optimized for desktop use.
2. Searchable guest masterlist with Check In button per guest row.
3. Walk-In Addition button present; record added to masterlist immediately.
4. Flag for Verification control present; flagged records visually distinguished.
5. Real-time attendance count visible and updates without manual refresh.
6. No client, supplier, or guest actor can access this view.</t>
  </si>
  <si>
    <t>Build sequence: 2nd. Feeds EP-13-S01 directly. Shared elements from packages/ui.</t>
  </si>
  <si>
    <t>EP-11-S05 RV3</t>
  </si>
  <si>
    <t>Ingress and Egress Assistant (New-CO4)</t>
  </si>
  <si>
    <t>1. Role badge, supplier schedule, and exactly three status buttons per supplier: Arrived, Set Up and Ready, Done and Leaving.
2. Verified toggle and optional photo upload per status update present and functional.
3. Late Arrival flag appears at exactly 15 minutes past scheduled supplier window; not before.
4. No client, supplier, or guest actor can access this view.</t>
  </si>
  <si>
    <t>Build sequence: 4th. 15-minute threshold is exact. Shared elements from packages/ui.</t>
  </si>
  <si>
    <t>EP-11-S05 RV4</t>
  </si>
  <si>
    <t>Event Day System Operator (New-CO5)</t>
  </si>
  <si>
    <t>1. Displays on laptop: full event task dashboard, supplier status overview, coordinator check-in section, urgent issue log one-tap access, task reassignment tool, wrap-up screen access, real-time attendance feed.
2. Task reassignment notifies Ms. Mys; auto-approval fires after exactly 2 minutes if no response.
3. Auto-approval recorded with timestamp and reason.
4. No client, supplier, or guest actor can access this view.</t>
  </si>
  <si>
    <t>Build sequence: 1st (most complex; gates EP-12-S04). Coordinate with Anthony on notification-ops before In Review. Shared elements from packages/ui.</t>
  </si>
  <si>
    <t>EP-11-S05 RV5</t>
  </si>
  <si>
    <t>Usher and General Coordinator (New-CO6)</t>
  </si>
  <si>
    <t>1. Displays: role badge, simple instruction list with post and responsibilities, urgent issue button only.
2. No task management controls, coordinator directory data, or supplier information visible.
3. Interface minimal beyond role badge, instruction list, and urgent issue button.
4. No client, supplier, or guest actor can access this view.</t>
  </si>
  <si>
    <t>Build sequence: 5th (simplest). Shared elements from packages/ui.</t>
  </si>
  <si>
    <t>Cross-Role Rules (apply to all role views)</t>
  </si>
  <si>
    <t>1. Each coordinator only sees the role view matching their assigned role; a Registration Staff coordinator cannot access the Event Day System Operator view.</t>
  </si>
  <si>
    <t>2. Client, supplier, and guest actors cannot access any coordinator role view under any circumstance.</t>
  </si>
  <si>
    <t>3. Break-down trigger monitored at every cadence boundary; if any single role view Done while others stuck, update this tab immediately.</t>
  </si>
  <si>
    <t>4. Shared UI elements (role badge, urgent issue button, event details header) extracted to packages/ui before any individual role view is built.</t>
  </si>
  <si>
    <t>P.R.I.S.M. AC Tracker -- Cadence Review Guide</t>
  </si>
  <si>
    <t>Google Sheets Tab Reference | Phase 3 Output | Produced: June 26, 2026 | Team CG | University of Santo Tomas</t>
  </si>
  <si>
    <t>STANDING RULES (ALL CADENCES)</t>
  </si>
  <si>
    <t>1. Child plan task checkboxes are authoritative. Master plan checkboxes and Implementation Status claims are not sufficient for a Done call.</t>
  </si>
  <si>
    <t>2. No story moves to Done without at least one other owner reviewing.</t>
  </si>
  <si>
    <t>3. No AI story moves to In Progress without EP-15-S05 (ZDR) confirmed Done.</t>
  </si>
  <si>
    <t>4. No upload session, signed URL, or real file persistence without Anthony explicit approval.</t>
  </si>
  <si>
    <t>5. No sprint or Scrum language anywhere -- including review notes, ClickUp cards, and verbal status updates.</t>
  </si>
  <si>
    <t>6. EP-11-S05 break-down trigger: if any single coordinator role view story reaches Done while other role views are stuck, move EP-11-S05 to AC Detail tab immediately.</t>
  </si>
  <si>
    <t>7. When in doubt about a Done call, the answer is In Review until evidence exists.</t>
  </si>
  <si>
    <t>8. Blocked status is used for stories with unmet gate conditions, unresolved PAs blocking AC items, or hard-gated dependencies. Not Started is not used for gated items.</t>
  </si>
  <si>
    <t>9. Role-boundary scan (DoD criterion C) must be completed before Done is called on any story. Notes-only gate conditions D, N, O, P are verified in the same pass as C.</t>
  </si>
  <si>
    <t>10. Feature ledger (DoD criterion K) and redesign inventory (DoD criterion L) must be updated before merge where applicable.</t>
  </si>
  <si>
    <t>C1 CADENCE REVIEW -- Retrospective (Closed June 20, 2026)</t>
  </si>
  <si>
    <t>Expected Done: EP-15-S01, EP-15-S02, EP-17-S01, EP-01-S01, EP-01-S02, EP-01-S03, EP-01-S04, EP-07-S01, EP-07-S02, EP-07-S03, EP-02-S01, EP-07-S07</t>
  </si>
  <si>
    <t>Acceptable carry: EP-18-S01 (In Progress -- Maxine must close early C2)</t>
  </si>
  <si>
    <t>CRITICAL DISPLACEMENT: EP-15-S05 still To Do. Anthony must confirm ZDR status immediately.</t>
  </si>
  <si>
    <t>Red Flag: EP-15-S05 still To Do with no ZDR contact initiated -- escalate immediately.</t>
  </si>
  <si>
    <t>C2 CADENCE REVIEW -- Active (Closes July 3, 2026)</t>
  </si>
  <si>
    <t>Must be Done: EP-04-S01 (HIGHEST PRIORITY), EP-02-S05, EP-18-S01, EP-18-S02, EP-08-S01, EP-10-S01, EP-02-S02 (Done), EP-02-S03 (Done), EP-02-S04 (Done), EP-15-S03 Phase 1, EP-15-S04, EP-09-S01</t>
  </si>
  <si>
    <t>Must be Done or closed: EP-15-S05 (ZDR gate -- cannot carry into C3)</t>
  </si>
  <si>
    <t>Acceptable In Review at C2 close: EP-03-S01, EP-07-S04, EP-07-S05 (pending PA resolutions)</t>
  </si>
  <si>
    <t>Red Flag: EP-04-S01 not Done by June 30 -- immediate escalation; 7 C2 stories cannot close without it.</t>
  </si>
  <si>
    <t>Red Flag: EP-15-S05 still To Do with no Anthropic contact -- all C3 and C4 AI stories at risk.</t>
  </si>
  <si>
    <t>Red Flag: EP-02-S05 not Done -- EP-11 block in C3 cannot start; coordinator experience undeliverable.</t>
  </si>
  <si>
    <t>C3 CADENCE REVIEW -- July 6-17 (Feature Freeze at Close)</t>
  </si>
  <si>
    <t>FIRST ACTIONS at C3 start: (1) Anthony runs File 55 verification for EP-17-S02. (2) Anthony runs File 53 verification for EP-17-S03. (3) Resolve PA-63 and PA-66. (4) Confirm EP-15-S05 Done.</t>
  </si>
  <si>
    <t>Must be Done at C3 close: EP-17-S02, EP-17-S03, EP-04-S02, EP-06-S01, EP-06-S02, EP-06-S03, EP-15-S03 Phase 2, EP-09-S02, EP-07-S04 through EP-07-S09, EP-08-S02, EP-08-S03, EP-10-S02, EP-10-S03, EP-11-S01 through EP-11-S05, EP-12-S01 through EP-12-S05, EP-13-S01 through EP-13-S07, EP-15-S04, EP-16-S01, EP-16-S02, EP-16-S03</t>
  </si>
  <si>
    <t>Feature freeze July 17: after this date only release-blocker fixes, verification failures, documentation, small UX clarity fixes, and approved gate documentation permitted.</t>
  </si>
  <si>
    <t>Red Flag: EP-17-S02 or EP-17-S03 not verified by July 8 -- module topology unclean.</t>
  </si>
  <si>
    <t>Red Flag: EP-06-S03 not Done by July 10 -- EP-12-S01 cannot start; live ops block at risk.</t>
  </si>
  <si>
    <t>Red Flag: EP-12-S01 not Done by July 14 -- EP-12-S04 and EP-14-S01 cannot close before freeze.</t>
  </si>
  <si>
    <t>C4 CADENCE REVIEW -- July 20-31 (Stabilization and Evidence Only)</t>
  </si>
  <si>
    <t>C4 stories: EP-07-S10, EP-14-S01, EP-14-S02, EP-16-S04, EP-16-S05, EP-16-S06, EP-16-S07, EP-12-S06, EP-16-S03 (overflow only)</t>
  </si>
  <si>
    <t>Hard stop July 31: No new work after this date. All remaining open stories declared post-July with documented reason.</t>
  </si>
  <si>
    <t>Red Flag: EP-14-S01 not Done by July 24 -- EP-14-S02 and EP-16-S06 compressed into 7 days.</t>
  </si>
  <si>
    <t>Red Flag: EP-15-S05 still not Done entering C4 -- all AI stories must be declared post-July; no exceptions.</t>
  </si>
  <si>
    <t>Red Flag: EP-16-S07 In Review called without Francis confirming dashboard UI placement -- revert.</t>
  </si>
  <si>
    <t>OWNER LOAD SUMMARY</t>
  </si>
  <si>
    <t>Owner A (Maxine): C1=1, C2=2, C3=0, C4=0 -- Total 3 stories. EP-18-S01 is foundation dependency for all portal work.</t>
  </si>
  <si>
    <t>Owner B (Francis): C1=2, C2=8, C3=10, C4=0 -- Total 20 stories. Peaks C2 and C3. EP-04-S01 is absolute C2 first priority.</t>
  </si>
  <si>
    <t>Owner C (Ethan): C1=3, C2=4, C3=11, C4=0 -- Total 18 stories. Front-loaded in C3. Two Blocked (PA-63, PA-66).</t>
  </si>
  <si>
    <t>Owner D (Anthony): C1=7, C2=4, C3=14, C4=9 -- Total 34 stories. 43% of all stories. ZDR gate, backend verification, and PA resolutions all his.</t>
  </si>
  <si>
    <t>PA RESOLUTION TRACKER</t>
  </si>
  <si>
    <t>PA-56 | EP-16-S05 | Anthony | Before EP-16-S05 Done (C4) | Bayesian calc: DataSanitizer, ZDR, AIAuditLog required?</t>
  </si>
  <si>
    <t>PA-59 | EP-10-S03 | Francis + Ms. Mys | Before EP-10-S03 Done (C3) | PMCM override path if ocular task never completed. Working assumption: override exists.</t>
  </si>
  <si>
    <t>PA-62 | EP-01-S04 | Francis | Before Phase 4 assembly | Six referral source values. Five confirmed. Sixth pending Ms. Mys.</t>
  </si>
  <si>
    <t>PA-63 | EP-13-S03, EP-13-S07 | Anthony + team | C3 start (July 6) | Guest self-scan QR: same gate as coordinator QR?</t>
  </si>
  <si>
    <t>PA-66 | EP-13-S03, EP-13-S07 | Anthony + team | C3 start (July 6) | FR-95 browser-based QR: same gate or unblocked?</t>
  </si>
  <si>
    <t>PA-69 | EP-15-S01 | Anthony + Ms. Mys | Before EP-15-S01 Done (C1 retrospective) | Minimum password requirements.</t>
  </si>
  <si>
    <t>PA-70 | EP-15-S03, EP-09-S02 | Anthony | Before EP-09-S02 Done (C3) | Per-type or global file size limits.</t>
  </si>
  <si>
    <t>PA-71 | EP-07-S07, EP-15-S04 | Ms. Mys | Before EP-07-S07 Done (C3) | EA role full name and login type.</t>
  </si>
  <si>
    <t>PA-72 | EP-15-S02 | Ms. Mys | Before EP-15-S02 Done (C1 retrospective) | Personal Information Inventory read-only or editable?</t>
  </si>
  <si>
    <t>PA-73 | EP-15-S05 | Anthony | IMMEDIATELY | ZDR agreement secured or still pending. Contact api@anthropic.com if pending.</t>
  </si>
  <si>
    <t>PA-74 | EP-07-S06 | Team | Before Phase 4 assembly | Canonical FR number for New-SUP3/New-EX1/New-S1.</t>
  </si>
  <si>
    <t>PA-75 | EP-12-S02 | Team | Before EP-12-S02 Done (C3) | Agentic scope tag cadence mapping.</t>
  </si>
  <si>
    <t>PA-76 | EP-07-S05 | Ms. Mys | Before EP-07-S05 Done (C2) | Who performs Verified status level and through which surface?</t>
  </si>
  <si>
    <t>PA-77 | EP-07-S04 | RESOLVED | -- | Concern flagging via optional free-text note (Prism scope); FR-64 is Phase 2 scope.</t>
  </si>
  <si>
    <t>PA-101 | EP-08-S02 | Anthony | Before EP-08-S02 In Review (C3) | BILLING_READER and PAYMENT_STATUS_READER implementations needed.</t>
  </si>
  <si>
    <t>PA-109 | EP-04-S01, EP-08-S01 | Anthony | Before EP-08-S01 Done (C2) | uploadConforme billing path routing.</t>
  </si>
  <si>
    <t>PA-121 | EP-17-S03 | Anthony | Before EP-17-S03 Done (C3) | Rationale for GuestOpsModule importing FileOpsModule.</t>
  </si>
  <si>
    <t>PA-123 | EP-17-S03 | Anthony | Before EP-17-S03 Done (C3) | GUEST_READER injection vs Phase 11 timeline.</t>
  </si>
  <si>
    <t>PA-130 | EP-17-S02 | Anthony | Before EP-17-S02 Done (C3) | SampleCompatibilityModule 19-import circular dependency audit.</t>
  </si>
  <si>
    <t>PA-131 | EP-17-S02 | Anthony | Before EP-17-S02 Done (C3) | event-ops-client.ts rename decision.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</si>
</sst>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0">
    <font>
      <sz val="11.0"/>
      <color theme="1"/>
      <name val="Calibri"/>
      <scheme val="minor"/>
    </font>
    <font>
      <b/>
      <sz val="10.0"/>
      <color rgb="FFFFFFFF"/>
      <name val="Arial"/>
    </font>
    <font>
      <b/>
      <sz val="9.0"/>
      <color theme="1"/>
      <name val="Arial"/>
    </font>
    <font>
      <sz val="9.0"/>
      <color theme="1"/>
      <name val="Arial"/>
    </font>
    <font>
      <sz val="11.0"/>
      <color theme="1"/>
      <name val="Calibri"/>
    </font>
    <font/>
    <font>
      <b/>
      <sz val="9.0"/>
      <color rgb="FFFF0000"/>
      <name val="Arial"/>
    </font>
    <font>
      <b/>
      <sz val="9.0"/>
      <color rgb="FF375623"/>
      <name val="Arial"/>
    </font>
    <font>
      <sz val="9.0"/>
      <color rgb="FF000000"/>
      <name val="Arial"/>
    </font>
    <font>
      <b/>
      <sz val="9.0"/>
      <color rgb="FFFF7300"/>
      <name val="Arial"/>
    </font>
    <font>
      <b/>
      <sz val="9.0"/>
      <color rgb="FF0070C0"/>
      <name val="Arial"/>
    </font>
    <font>
      <b/>
      <sz val="14.0"/>
      <color rgb="FFFFFFFF"/>
      <name val="Arial"/>
    </font>
    <font>
      <b/>
      <sz val="11.0"/>
      <color theme="1"/>
      <name val="Arial"/>
    </font>
    <font>
      <b/>
      <sz val="22.0"/>
      <color rgb="FF1F3864"/>
      <name val="Arial"/>
    </font>
    <font>
      <b/>
      <sz val="12.0"/>
      <color rgb="FFFFFFFF"/>
      <name val="Arial"/>
    </font>
    <font>
      <b/>
      <sz val="9.0"/>
      <color rgb="FFFFFFFF"/>
      <name val="Arial"/>
    </font>
    <font>
      <b/>
      <sz val="13.0"/>
      <color theme="1"/>
      <name val="Arial"/>
    </font>
    <font>
      <b/>
      <sz val="16.0"/>
      <color theme="1"/>
      <name val="Arial"/>
    </font>
    <font>
      <b/>
      <sz val="10.0"/>
      <color rgb="FF000000"/>
      <name val="Arial"/>
    </font>
    <font>
      <sz val="10.0"/>
      <color rgb="FF000000"/>
      <name val="Arial"/>
    </font>
    <font>
      <b/>
      <sz val="12.0"/>
      <color rgb="FF375623"/>
      <name val="Arial"/>
    </font>
    <font>
      <b/>
      <sz val="12.0"/>
      <color rgb="FF7D5A00"/>
      <name val="Arial"/>
    </font>
    <font>
      <b/>
      <sz val="12.0"/>
      <color rgb="FF000000"/>
      <name val="Arial"/>
    </font>
    <font>
      <b/>
      <sz val="13.0"/>
      <color rgb="FFFF0000"/>
      <name val="Arial"/>
    </font>
    <font>
      <b/>
      <sz val="13.0"/>
      <color rgb="FF000000"/>
      <name val="Arial"/>
    </font>
    <font>
      <b/>
      <sz val="13.0"/>
      <color rgb="FF375623"/>
      <name val="Arial"/>
    </font>
    <font>
      <b/>
      <sz val="13.0"/>
      <color rgb="FF7D5A00"/>
      <name val="Arial"/>
    </font>
    <font>
      <b/>
      <sz val="13.0"/>
      <color rgb="FFFF7300"/>
      <name val="Arial"/>
    </font>
    <font>
      <b/>
      <sz val="13.0"/>
      <color rgb="FF0070C0"/>
      <name val="Arial"/>
    </font>
    <font>
      <b/>
      <sz val="9.0"/>
      <color rgb="FF000000"/>
      <name val="Arial"/>
    </font>
    <font>
      <sz val="9.0"/>
      <color rgb="FF375623"/>
      <name val="Arial"/>
    </font>
    <font>
      <b/>
      <sz val="11.0"/>
      <color rgb="FFFFFFFF"/>
      <name val="Arial"/>
    </font>
    <font>
      <b/>
      <sz val="9.0"/>
      <color rgb="FF808080"/>
      <name val="Arial"/>
    </font>
    <font>
      <b/>
      <sz val="16.0"/>
      <color rgb="FFFFFFFF"/>
      <name val="Arial"/>
    </font>
    <font>
      <sz val="9.0"/>
      <color rgb="FF555555"/>
      <name val="Arial"/>
    </font>
    <font>
      <b/>
      <sz val="9.0"/>
      <color rgb="FF9C0006"/>
      <name val="Arial"/>
    </font>
    <font>
      <b/>
      <sz val="10.0"/>
      <color theme="1"/>
      <name val="Arial"/>
    </font>
    <font>
      <b/>
      <sz val="12.0"/>
      <color theme="1"/>
      <name val="Arial"/>
    </font>
    <font>
      <sz val="8.0"/>
      <color rgb="FF555555"/>
      <name val="Arial"/>
    </font>
    <font>
      <b/>
      <sz val="11.0"/>
      <color rgb="FF000000"/>
      <name val="Arial"/>
    </font>
  </fonts>
  <fills count="30">
    <fill>
      <patternFill patternType="none"/>
    </fill>
    <fill>
      <patternFill patternType="lightGray"/>
    </fill>
    <fill>
      <patternFill patternType="solid">
        <fgColor rgb="FF1F3864"/>
        <bgColor rgb="FF1F3864"/>
      </patternFill>
    </fill>
    <fill>
      <patternFill patternType="solid">
        <fgColor rgb="FFF9F9F9"/>
        <bgColor rgb="FFF9F9F9"/>
      </patternFill>
    </fill>
    <fill>
      <patternFill patternType="solid">
        <fgColor rgb="FFFFFFFF"/>
        <bgColor rgb="FFFFFFFF"/>
      </patternFill>
    </fill>
    <fill>
      <patternFill patternType="solid">
        <fgColor rgb="FF2E4057"/>
        <bgColor rgb="FF2E4057"/>
      </patternFill>
    </fill>
    <fill>
      <patternFill patternType="solid">
        <fgColor rgb="FFD9E1F2"/>
        <bgColor rgb="FFD9E1F2"/>
      </patternFill>
    </fill>
    <fill>
      <patternFill patternType="solid">
        <fgColor rgb="FFC6EFCE"/>
        <bgColor rgb="FFC6EFCE"/>
      </patternFill>
    </fill>
    <fill>
      <patternFill patternType="solid">
        <fgColor rgb="FFE2EFDA"/>
        <bgColor rgb="FFE2EFDA"/>
      </patternFill>
    </fill>
    <fill>
      <patternFill patternType="solid">
        <fgColor rgb="FFF2F2F2"/>
        <bgColor rgb="FFF2F2F2"/>
      </patternFill>
    </fill>
    <fill>
      <patternFill patternType="solid">
        <fgColor rgb="FFFFF2CC"/>
        <bgColor rgb="FFFFF2CC"/>
      </patternFill>
    </fill>
    <fill>
      <patternFill patternType="solid">
        <fgColor rgb="FFFCE4D6"/>
        <bgColor rgb="FFFCE4D6"/>
      </patternFill>
    </fill>
    <fill>
      <patternFill patternType="solid">
        <fgColor rgb="FFFFEB9C"/>
        <bgColor rgb="FFFFEB9C"/>
      </patternFill>
    </fill>
    <fill>
      <patternFill patternType="solid">
        <fgColor rgb="FFFFC7CE"/>
        <bgColor rgb="FFFFC7CE"/>
      </patternFill>
    </fill>
    <fill>
      <patternFill patternType="solid">
        <fgColor rgb="FFDEEAF1"/>
        <bgColor rgb="FFDEEAF1"/>
      </patternFill>
    </fill>
    <fill>
      <patternFill patternType="solid">
        <fgColor rgb="FF404040"/>
        <bgColor rgb="FF404040"/>
      </patternFill>
    </fill>
    <fill>
      <patternFill patternType="solid">
        <fgColor rgb="FFBDD7EE"/>
        <bgColor rgb="FFBDD7EE"/>
      </patternFill>
    </fill>
    <fill>
      <patternFill patternType="solid">
        <fgColor rgb="FFFF0000"/>
        <bgColor rgb="FFFF0000"/>
      </patternFill>
    </fill>
    <fill>
      <patternFill patternType="solid">
        <fgColor rgb="FFFF7300"/>
        <bgColor rgb="FFFF7300"/>
      </patternFill>
    </fill>
    <fill>
      <patternFill patternType="solid">
        <fgColor rgb="FF0070C0"/>
        <bgColor rgb="FF0070C0"/>
      </patternFill>
    </fill>
    <fill>
      <patternFill patternType="solid">
        <fgColor rgb="FF808080"/>
        <bgColor rgb="FF808080"/>
      </patternFill>
    </fill>
    <fill>
      <patternFill patternType="solid">
        <fgColor rgb="FFC55A00"/>
        <bgColor rgb="FFC55A00"/>
      </patternFill>
    </fill>
    <fill>
      <patternFill patternType="solid">
        <fgColor rgb="FFEBF3FB"/>
        <bgColor rgb="FFEBF3FB"/>
      </patternFill>
    </fill>
    <fill>
      <patternFill patternType="solid">
        <fgColor rgb="FF4A235B"/>
        <bgColor rgb="FF4A235B"/>
      </patternFill>
    </fill>
    <fill>
      <patternFill patternType="solid">
        <fgColor rgb="FFFDF2F8"/>
        <bgColor rgb="FFFDF2F8"/>
      </patternFill>
    </fill>
    <fill>
      <patternFill patternType="solid">
        <fgColor rgb="FF1F5C99"/>
        <bgColor rgb="FF1F5C99"/>
      </patternFill>
    </fill>
    <fill>
      <patternFill patternType="solid">
        <fgColor rgb="FFF0FFF0"/>
        <bgColor rgb="FFF0FFF0"/>
      </patternFill>
    </fill>
    <fill>
      <patternFill patternType="solid">
        <fgColor rgb="FF8B0000"/>
        <bgColor rgb="FF8B0000"/>
      </patternFill>
    </fill>
    <fill>
      <patternFill patternType="solid">
        <fgColor rgb="FF375623"/>
        <bgColor rgb="FF375623"/>
      </patternFill>
    </fill>
    <fill>
      <patternFill patternType="solid">
        <fgColor rgb="FFFFF8F0"/>
        <bgColor rgb="FFFFF8F0"/>
      </patternFill>
    </fill>
  </fills>
  <borders count="13">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top/>
      <bottom/>
    </border>
    <border>
      <top/>
      <bottom/>
    </border>
    <border>
      <right/>
      <top/>
      <bottom/>
    </border>
    <border>
      <left style="medium">
        <color rgb="FF888888"/>
      </left>
      <top style="medium">
        <color rgb="FF888888"/>
      </top>
      <bottom style="medium">
        <color rgb="FF888888"/>
      </bottom>
    </border>
    <border>
      <top style="medium">
        <color rgb="FF888888"/>
      </top>
      <bottom style="medium">
        <color rgb="FF888888"/>
      </bottom>
    </border>
    <border>
      <right/>
      <top style="medium">
        <color rgb="FF888888"/>
      </top>
      <bottom style="medium">
        <color rgb="FF888888"/>
      </bottom>
    </border>
    <border>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top" wrapText="1"/>
    </xf>
    <xf borderId="1" fillId="3" fontId="3" numFmtId="0" xfId="0" applyAlignment="1" applyBorder="1" applyFont="1">
      <alignment horizontal="left" shrinkToFit="0" vertical="top" wrapText="1"/>
    </xf>
    <xf borderId="1" fillId="3" fontId="3" numFmtId="0" xfId="0" applyAlignment="1" applyBorder="1" applyFont="1">
      <alignment horizontal="center" shrinkToFit="0" vertical="top" wrapText="1"/>
    </xf>
    <xf borderId="1" fillId="4" fontId="2" numFmtId="0" xfId="0" applyAlignment="1" applyBorder="1" applyFill="1" applyFont="1">
      <alignment horizontal="center" shrinkToFit="0" vertical="top" wrapText="1"/>
    </xf>
    <xf borderId="1" fillId="4" fontId="3" numFmtId="0" xfId="0" applyAlignment="1" applyBorder="1" applyFont="1">
      <alignment horizontal="left" shrinkToFit="0" vertical="top" wrapText="1"/>
    </xf>
    <xf borderId="1" fillId="4" fontId="3" numFmtId="0" xfId="0" applyAlignment="1" applyBorder="1" applyFont="1">
      <alignment horizontal="center" shrinkToFit="0" vertical="top" wrapText="1"/>
    </xf>
    <xf borderId="0" fillId="0" fontId="4" numFmtId="0" xfId="0" applyAlignment="1" applyFont="1">
      <alignment shrinkToFit="0" vertical="bottom" wrapText="0"/>
    </xf>
    <xf borderId="2" fillId="5" fontId="1" numFmtId="0" xfId="0" applyAlignment="1" applyBorder="1" applyFill="1" applyFont="1">
      <alignment horizontal="left" shrinkToFit="0" vertical="center" wrapText="0"/>
    </xf>
    <xf borderId="3" fillId="0" fontId="5" numFmtId="0" xfId="0" applyBorder="1" applyFont="1"/>
    <xf borderId="4" fillId="0" fontId="5" numFmtId="0" xfId="0" applyBorder="1" applyFont="1"/>
    <xf borderId="1" fillId="6" fontId="2" numFmtId="0" xfId="0" applyAlignment="1" applyBorder="1" applyFill="1" applyFont="1">
      <alignment horizontal="center" shrinkToFit="0" vertical="top" wrapText="1"/>
    </xf>
    <xf borderId="1" fillId="6" fontId="3" numFmtId="0" xfId="0" applyAlignment="1" applyBorder="1" applyFont="1">
      <alignment horizontal="left" shrinkToFit="0" vertical="top" wrapText="1"/>
    </xf>
    <xf borderId="1" fillId="6" fontId="6" numFmtId="0" xfId="0" applyAlignment="1" applyBorder="1" applyFont="1">
      <alignment horizontal="center" shrinkToFit="0" vertical="top" wrapText="1"/>
    </xf>
    <xf borderId="1" fillId="6" fontId="3" numFmtId="0" xfId="0" applyAlignment="1" applyBorder="1" applyFont="1">
      <alignment horizontal="center" shrinkToFit="0" vertical="top" wrapText="1"/>
    </xf>
    <xf borderId="1" fillId="7" fontId="3" numFmtId="0" xfId="0" applyAlignment="1" applyBorder="1" applyFill="1" applyFont="1">
      <alignment horizontal="center" shrinkToFit="0" vertical="top" wrapText="1"/>
    </xf>
    <xf borderId="1" fillId="4" fontId="2" numFmtId="9" xfId="0" applyAlignment="1" applyBorder="1" applyFont="1" applyNumberFormat="1">
      <alignment horizontal="center" shrinkToFit="0" vertical="center" wrapText="1"/>
    </xf>
    <xf borderId="1" fillId="7" fontId="2" numFmtId="0" xfId="0" applyAlignment="1" applyBorder="1" applyFont="1">
      <alignment horizontal="center" shrinkToFit="0" vertical="top" wrapText="1"/>
    </xf>
    <xf borderId="1" fillId="7" fontId="3" numFmtId="0" xfId="0" applyAlignment="1" applyBorder="1" applyFont="1">
      <alignment horizontal="left" shrinkToFit="0" vertical="top" wrapText="1"/>
    </xf>
    <xf borderId="1" fillId="7" fontId="6" numFmtId="0" xfId="0" applyAlignment="1" applyBorder="1" applyFont="1">
      <alignment horizontal="center" shrinkToFit="0" vertical="top" wrapText="1"/>
    </xf>
    <xf borderId="1" fillId="7" fontId="7" numFmtId="0" xfId="0" applyAlignment="1" applyBorder="1" applyFont="1">
      <alignment horizontal="center" shrinkToFit="0" vertical="center" wrapText="1"/>
    </xf>
    <xf borderId="1" fillId="7" fontId="8" numFmtId="0" xfId="0" applyAlignment="1" applyBorder="1" applyFont="1">
      <alignment horizontal="left" shrinkToFit="0" vertical="top" wrapText="1"/>
    </xf>
    <xf borderId="1" fillId="7" fontId="9" numFmtId="0" xfId="0" applyAlignment="1" applyBorder="1" applyFont="1">
      <alignment horizontal="center" shrinkToFit="0" vertical="top" wrapText="1"/>
    </xf>
    <xf borderId="1" fillId="7" fontId="10" numFmtId="0" xfId="0" applyAlignment="1" applyBorder="1" applyFont="1">
      <alignment horizontal="center" shrinkToFit="0" vertical="top" wrapText="1"/>
    </xf>
    <xf borderId="1" fillId="8" fontId="2" numFmtId="0" xfId="0" applyAlignment="1" applyBorder="1" applyFill="1" applyFont="1">
      <alignment horizontal="center" shrinkToFit="0" vertical="top" wrapText="1"/>
    </xf>
    <xf borderId="1" fillId="8" fontId="3" numFmtId="0" xfId="0" applyAlignment="1" applyBorder="1" applyFont="1">
      <alignment horizontal="left" shrinkToFit="0" vertical="top" wrapText="1"/>
    </xf>
    <xf borderId="1" fillId="8" fontId="6" numFmtId="0" xfId="0" applyAlignment="1" applyBorder="1" applyFont="1">
      <alignment horizontal="center" shrinkToFit="0" vertical="top" wrapText="1"/>
    </xf>
    <xf borderId="1" fillId="8" fontId="3" numFmtId="0" xfId="0" applyAlignment="1" applyBorder="1" applyFont="1">
      <alignment horizontal="center" shrinkToFit="0" vertical="top" wrapText="1"/>
    </xf>
    <xf borderId="1" fillId="9" fontId="3" numFmtId="0" xfId="0" applyAlignment="1" applyBorder="1" applyFill="1" applyFont="1">
      <alignment horizontal="center" readingOrder="0" shrinkToFit="0" vertical="top" wrapText="1"/>
    </xf>
    <xf borderId="1" fillId="9" fontId="3" numFmtId="0" xfId="0" applyAlignment="1" applyBorder="1" applyFont="1">
      <alignment horizontal="center" shrinkToFit="0" vertical="top" wrapText="1"/>
    </xf>
    <xf borderId="1" fillId="10" fontId="2" numFmtId="0" xfId="0" applyAlignment="1" applyBorder="1" applyFill="1" applyFont="1">
      <alignment horizontal="center" shrinkToFit="0" vertical="top" wrapText="1"/>
    </xf>
    <xf borderId="1" fillId="10" fontId="3" numFmtId="0" xfId="0" applyAlignment="1" applyBorder="1" applyFont="1">
      <alignment horizontal="left" shrinkToFit="0" vertical="top" wrapText="1"/>
    </xf>
    <xf borderId="1" fillId="10" fontId="9" numFmtId="0" xfId="0" applyAlignment="1" applyBorder="1" applyFont="1">
      <alignment horizontal="center" shrinkToFit="0" vertical="top" wrapText="1"/>
    </xf>
    <xf borderId="1" fillId="10" fontId="3" numFmtId="0" xfId="0" applyAlignment="1" applyBorder="1" applyFont="1">
      <alignment horizontal="center" shrinkToFit="0" vertical="top" wrapText="1"/>
    </xf>
    <xf borderId="1" fillId="8" fontId="3" numFmtId="0" xfId="0" applyAlignment="1" applyBorder="1" applyFont="1">
      <alignment horizontal="left" readingOrder="0" shrinkToFit="0" vertical="top" wrapText="1"/>
    </xf>
    <xf borderId="1" fillId="10" fontId="6" numFmtId="0" xfId="0" applyAlignment="1" applyBorder="1" applyFont="1">
      <alignment horizontal="center" shrinkToFit="0" vertical="top" wrapText="1"/>
    </xf>
    <xf borderId="1" fillId="11" fontId="2" numFmtId="0" xfId="0" applyAlignment="1" applyBorder="1" applyFill="1" applyFont="1">
      <alignment horizontal="center" shrinkToFit="0" vertical="top" wrapText="1"/>
    </xf>
    <xf borderId="1" fillId="11" fontId="3" numFmtId="0" xfId="0" applyAlignment="1" applyBorder="1" applyFont="1">
      <alignment horizontal="left" shrinkToFit="0" vertical="top" wrapText="1"/>
    </xf>
    <xf borderId="1" fillId="11" fontId="9" numFmtId="0" xfId="0" applyAlignment="1" applyBorder="1" applyFont="1">
      <alignment horizontal="center" shrinkToFit="0" vertical="top" wrapText="1"/>
    </xf>
    <xf borderId="1" fillId="11" fontId="3" numFmtId="0" xfId="0" applyAlignment="1" applyBorder="1" applyFont="1">
      <alignment horizontal="center" shrinkToFit="0" vertical="top" wrapText="1"/>
    </xf>
    <xf borderId="1" fillId="12" fontId="3" numFmtId="0" xfId="0" applyAlignment="1" applyBorder="1" applyFill="1" applyFont="1">
      <alignment horizontal="center" shrinkToFit="0" vertical="top" wrapText="1"/>
    </xf>
    <xf borderId="1" fillId="8" fontId="9" numFmtId="0" xfId="0" applyAlignment="1" applyBorder="1" applyFont="1">
      <alignment horizontal="center" shrinkToFit="0" vertical="top" wrapText="1"/>
    </xf>
    <xf borderId="1" fillId="10" fontId="10" numFmtId="0" xfId="0" applyAlignment="1" applyBorder="1" applyFont="1">
      <alignment horizontal="center" shrinkToFit="0" vertical="top" wrapText="1"/>
    </xf>
    <xf borderId="1" fillId="13" fontId="3" numFmtId="0" xfId="0" applyAlignment="1" applyBorder="1" applyFill="1" applyFont="1">
      <alignment horizontal="center" shrinkToFit="0" vertical="top" wrapText="1"/>
    </xf>
    <xf borderId="1" fillId="11" fontId="6" numFmtId="0" xfId="0" applyAlignment="1" applyBorder="1" applyFont="1">
      <alignment horizontal="center" shrinkToFit="0" vertical="top" wrapText="1"/>
    </xf>
    <xf borderId="1" fillId="11" fontId="10" numFmtId="0" xfId="0" applyAlignment="1" applyBorder="1" applyFont="1">
      <alignment horizontal="center" shrinkToFit="0" vertical="top" wrapText="1"/>
    </xf>
    <xf borderId="2" fillId="2" fontId="11" numFmtId="0" xfId="0" applyAlignment="1" applyBorder="1" applyFont="1">
      <alignment horizontal="center" shrinkToFit="0" vertical="center" wrapText="1"/>
    </xf>
    <xf borderId="2" fillId="3" fontId="12" numFmtId="0" xfId="0" applyAlignment="1" applyBorder="1" applyFont="1">
      <alignment horizontal="center" shrinkToFit="0" vertical="center" wrapText="1"/>
    </xf>
    <xf borderId="2" fillId="14" fontId="13" numFmtId="164" xfId="0" applyAlignment="1" applyBorder="1" applyFill="1" applyFont="1" applyNumberFormat="1">
      <alignment horizontal="center" shrinkToFit="0" vertical="center" wrapText="1"/>
    </xf>
    <xf borderId="2" fillId="2" fontId="14" numFmtId="0" xfId="0" applyAlignment="1" applyBorder="1" applyFont="1">
      <alignment horizontal="center" shrinkToFit="0" vertical="center" wrapText="1"/>
    </xf>
    <xf borderId="1" fillId="6" fontId="15" numFmtId="0" xfId="0" applyAlignment="1" applyBorder="1" applyFont="1">
      <alignment horizontal="center" shrinkToFit="0" vertical="center" wrapText="1"/>
    </xf>
    <xf borderId="1" fillId="8" fontId="15" numFmtId="0" xfId="0" applyAlignment="1" applyBorder="1" applyFont="1">
      <alignment horizontal="center" shrinkToFit="0" vertical="center" wrapText="1"/>
    </xf>
    <xf borderId="1" fillId="10" fontId="15" numFmtId="0" xfId="0" applyAlignment="1" applyBorder="1" applyFont="1">
      <alignment horizontal="center" shrinkToFit="0" vertical="center" wrapText="1"/>
    </xf>
    <xf borderId="1" fillId="11" fontId="15" numFmtId="0" xfId="0" applyAlignment="1" applyBorder="1" applyFont="1">
      <alignment horizontal="center" shrinkToFit="0" vertical="center" wrapText="1"/>
    </xf>
    <xf borderId="1" fillId="6" fontId="16" numFmtId="164" xfId="0" applyAlignment="1" applyBorder="1" applyFont="1" applyNumberFormat="1">
      <alignment horizontal="center" shrinkToFit="0" vertical="center" wrapText="1"/>
    </xf>
    <xf borderId="1" fillId="8" fontId="16" numFmtId="164" xfId="0" applyAlignment="1" applyBorder="1" applyFont="1" applyNumberFormat="1">
      <alignment horizontal="center" shrinkToFit="0" vertical="center" wrapText="1"/>
    </xf>
    <xf borderId="1" fillId="10" fontId="16" numFmtId="164" xfId="0" applyAlignment="1" applyBorder="1" applyFont="1" applyNumberFormat="1">
      <alignment horizontal="center" shrinkToFit="0" vertical="center" wrapText="1"/>
    </xf>
    <xf borderId="1" fillId="11" fontId="16" numFmtId="164" xfId="0" applyAlignment="1" applyBorder="1" applyFont="1" applyNumberFormat="1">
      <alignment horizontal="center" shrinkToFit="0" vertical="center" wrapText="1"/>
    </xf>
    <xf borderId="1" fillId="15" fontId="15" numFmtId="0" xfId="0" applyAlignment="1" applyBorder="1" applyFill="1" applyFont="1">
      <alignment horizontal="center" shrinkToFit="0" vertical="center" wrapText="1"/>
    </xf>
    <xf borderId="1" fillId="7" fontId="17" numFmtId="0" xfId="0" applyAlignment="1" applyBorder="1" applyFont="1">
      <alignment horizontal="center" shrinkToFit="0" vertical="center" wrapText="1"/>
    </xf>
    <xf borderId="1" fillId="12" fontId="17" numFmtId="0" xfId="0" applyAlignment="1" applyBorder="1" applyFont="1">
      <alignment horizontal="center" shrinkToFit="0" vertical="center" wrapText="1"/>
    </xf>
    <xf borderId="1" fillId="16" fontId="17" numFmtId="0" xfId="0" applyAlignment="1" applyBorder="1" applyFill="1" applyFont="1">
      <alignment horizontal="center" shrinkToFit="0" vertical="center" wrapText="1"/>
    </xf>
    <xf borderId="1" fillId="9" fontId="17" numFmtId="0" xfId="0" applyAlignment="1" applyBorder="1" applyFont="1">
      <alignment horizontal="center" shrinkToFit="0" vertical="center" wrapText="1"/>
    </xf>
    <xf borderId="1" fillId="13" fontId="17" numFmtId="0" xfId="0" applyAlignment="1" applyBorder="1" applyFont="1">
      <alignment horizontal="center" shrinkToFit="0" vertical="center" wrapText="1"/>
    </xf>
    <xf borderId="1" fillId="6" fontId="18" numFmtId="0" xfId="0" applyAlignment="1" applyBorder="1" applyFont="1">
      <alignment horizontal="center" shrinkToFit="0" vertical="center" wrapText="1"/>
    </xf>
    <xf borderId="1" fillId="6" fontId="19" numFmtId="0" xfId="0" applyAlignment="1" applyBorder="1" applyFont="1">
      <alignment horizontal="center" shrinkToFit="0" vertical="center" wrapText="1"/>
    </xf>
    <xf borderId="1" fillId="7" fontId="20" numFmtId="0" xfId="0" applyAlignment="1" applyBorder="1" applyFont="1">
      <alignment horizontal="center" shrinkToFit="0" vertical="center" wrapText="1"/>
    </xf>
    <xf borderId="1" fillId="12" fontId="21" numFmtId="0" xfId="0" applyAlignment="1" applyBorder="1" applyFont="1">
      <alignment horizontal="center" shrinkToFit="0" vertical="center" wrapText="1"/>
    </xf>
    <xf borderId="1" fillId="6" fontId="22" numFmtId="164" xfId="0" applyAlignment="1" applyBorder="1" applyFont="1" applyNumberFormat="1">
      <alignment horizontal="center" shrinkToFit="0" vertical="center" wrapText="1"/>
    </xf>
    <xf borderId="1" fillId="8" fontId="18" numFmtId="0" xfId="0" applyAlignment="1" applyBorder="1" applyFont="1">
      <alignment horizontal="center" shrinkToFit="0" vertical="center" wrapText="1"/>
    </xf>
    <xf borderId="1" fillId="8" fontId="19" numFmtId="0" xfId="0" applyAlignment="1" applyBorder="1" applyFont="1">
      <alignment horizontal="center" shrinkToFit="0" vertical="center" wrapText="1"/>
    </xf>
    <xf borderId="1" fillId="8" fontId="22" numFmtId="164" xfId="0" applyAlignment="1" applyBorder="1" applyFont="1" applyNumberFormat="1">
      <alignment horizontal="center" shrinkToFit="0" vertical="center" wrapText="1"/>
    </xf>
    <xf borderId="1" fillId="10" fontId="18" numFmtId="0" xfId="0" applyAlignment="1" applyBorder="1" applyFont="1">
      <alignment horizontal="center" shrinkToFit="0" vertical="center" wrapText="1"/>
    </xf>
    <xf borderId="1" fillId="10" fontId="19" numFmtId="0" xfId="0" applyAlignment="1" applyBorder="1" applyFont="1">
      <alignment horizontal="center" shrinkToFit="0" vertical="center" wrapText="1"/>
    </xf>
    <xf borderId="1" fillId="10" fontId="22" numFmtId="164" xfId="0" applyAlignment="1" applyBorder="1" applyFont="1" applyNumberFormat="1">
      <alignment horizontal="center" shrinkToFit="0" vertical="center" wrapText="1"/>
    </xf>
    <xf borderId="1" fillId="11" fontId="18" numFmtId="0" xfId="0" applyAlignment="1" applyBorder="1" applyFont="1">
      <alignment horizontal="center" shrinkToFit="0" vertical="center" wrapText="1"/>
    </xf>
    <xf borderId="1" fillId="11" fontId="19" numFmtId="0" xfId="0" applyAlignment="1" applyBorder="1" applyFont="1">
      <alignment horizontal="center" shrinkToFit="0" vertical="center" wrapText="1"/>
    </xf>
    <xf borderId="1" fillId="11" fontId="22" numFmtId="164" xfId="0" applyAlignment="1" applyBorder="1" applyFont="1" applyNumberFormat="1">
      <alignment horizontal="center" shrinkToFit="0" vertical="center" wrapText="1"/>
    </xf>
    <xf borderId="1" fillId="3" fontId="23" numFmtId="0" xfId="0" applyAlignment="1" applyBorder="1" applyFont="1">
      <alignment horizontal="center" shrinkToFit="0" vertical="center" wrapText="1"/>
    </xf>
    <xf borderId="1" fillId="3" fontId="24" numFmtId="0" xfId="0" applyAlignment="1" applyBorder="1" applyFont="1">
      <alignment horizontal="center" shrinkToFit="0" vertical="center" wrapText="1"/>
    </xf>
    <xf borderId="1" fillId="7" fontId="25" numFmtId="0" xfId="0" applyAlignment="1" applyBorder="1" applyFont="1">
      <alignment horizontal="center" shrinkToFit="0" vertical="center" wrapText="1"/>
    </xf>
    <xf borderId="1" fillId="12" fontId="26" numFmtId="0" xfId="0" applyAlignment="1" applyBorder="1" applyFont="1">
      <alignment horizontal="center" shrinkToFit="0" vertical="center" wrapText="1"/>
    </xf>
    <xf borderId="1" fillId="3" fontId="24" numFmtId="164" xfId="0" applyAlignment="1" applyBorder="1" applyFont="1" applyNumberFormat="1">
      <alignment horizontal="center" shrinkToFit="0" vertical="center" wrapText="1"/>
    </xf>
    <xf borderId="1" fillId="0" fontId="4" numFmtId="0" xfId="0" applyAlignment="1" applyBorder="1" applyFont="1">
      <alignment shrinkToFit="0" vertical="bottom" wrapText="0"/>
    </xf>
    <xf borderId="1" fillId="4" fontId="27" numFmtId="0" xfId="0" applyAlignment="1" applyBorder="1" applyFont="1">
      <alignment horizontal="center" shrinkToFit="0" vertical="center" wrapText="1"/>
    </xf>
    <xf borderId="1" fillId="4" fontId="24" numFmtId="0" xfId="0" applyAlignment="1" applyBorder="1" applyFont="1">
      <alignment horizontal="center" shrinkToFit="0" vertical="center" wrapText="1"/>
    </xf>
    <xf borderId="1" fillId="4" fontId="24" numFmtId="164" xfId="0" applyAlignment="1" applyBorder="1" applyFont="1" applyNumberFormat="1">
      <alignment horizontal="center" shrinkToFit="0" vertical="center" wrapText="1"/>
    </xf>
    <xf borderId="1" fillId="3" fontId="28" numFmtId="0" xfId="0" applyAlignment="1" applyBorder="1" applyFont="1">
      <alignment horizontal="center" shrinkToFit="0" vertical="center" wrapText="1"/>
    </xf>
    <xf borderId="1" fillId="3" fontId="29"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1" fillId="3" fontId="8" numFmtId="0" xfId="0" applyAlignment="1" applyBorder="1" applyFont="1">
      <alignment horizontal="center" shrinkToFit="0" vertical="center" wrapText="1"/>
    </xf>
    <xf borderId="1" fillId="7" fontId="30" numFmtId="0" xfId="0" applyAlignment="1" applyBorder="1" applyFont="1">
      <alignment horizontal="center" shrinkToFit="0" vertical="center" wrapText="1"/>
    </xf>
    <xf borderId="1" fillId="3" fontId="8" numFmtId="164" xfId="0" applyAlignment="1" applyBorder="1" applyFont="1" applyNumberFormat="1">
      <alignment horizontal="center" shrinkToFit="0" vertical="center" wrapText="1"/>
    </xf>
    <xf borderId="1" fillId="4" fontId="29" numFmtId="0" xfId="0" applyAlignment="1" applyBorder="1" applyFont="1">
      <alignment horizontal="center" shrinkToFit="0" vertical="center" wrapText="1"/>
    </xf>
    <xf borderId="1" fillId="4" fontId="8" numFmtId="0" xfId="0" applyAlignment="1" applyBorder="1" applyFont="1">
      <alignment horizontal="left" shrinkToFit="0" vertical="center" wrapText="1"/>
    </xf>
    <xf borderId="1" fillId="4" fontId="8" numFmtId="0" xfId="0" applyAlignment="1" applyBorder="1" applyFont="1">
      <alignment horizontal="center" shrinkToFit="0" vertical="center" wrapText="1"/>
    </xf>
    <xf borderId="1" fillId="4" fontId="8" numFmtId="164" xfId="0" applyAlignment="1" applyBorder="1" applyFont="1" applyNumberFormat="1">
      <alignment horizontal="center" shrinkToFit="0" vertical="center" wrapText="1"/>
    </xf>
    <xf borderId="2" fillId="5" fontId="31" numFmtId="0" xfId="0" applyAlignment="1" applyBorder="1" applyFont="1">
      <alignment horizontal="center" shrinkToFit="0" vertical="center" wrapText="1"/>
    </xf>
    <xf borderId="1" fillId="7" fontId="29" numFmtId="0" xfId="0" applyAlignment="1" applyBorder="1" applyFont="1">
      <alignment horizontal="center" shrinkToFit="0" vertical="top" wrapText="1"/>
    </xf>
    <xf borderId="1" fillId="12" fontId="29" numFmtId="0" xfId="0" applyAlignment="1" applyBorder="1" applyFont="1">
      <alignment horizontal="center" shrinkToFit="0" vertical="top" wrapText="1"/>
    </xf>
    <xf borderId="1" fillId="16" fontId="29" numFmtId="0" xfId="0" applyAlignment="1" applyBorder="1" applyFont="1">
      <alignment horizontal="center" shrinkToFit="0" vertical="top" wrapText="1"/>
    </xf>
    <xf borderId="1" fillId="9" fontId="29" numFmtId="0" xfId="0" applyAlignment="1" applyBorder="1" applyFont="1">
      <alignment horizontal="center" shrinkToFit="0" vertical="top" wrapText="1"/>
    </xf>
    <xf borderId="1" fillId="13" fontId="29" numFmtId="0" xfId="0" applyAlignment="1" applyBorder="1" applyFont="1">
      <alignment horizontal="center" shrinkToFit="0" vertical="top" wrapText="1"/>
    </xf>
    <xf borderId="1" fillId="17" fontId="15" numFmtId="0" xfId="0" applyAlignment="1" applyBorder="1" applyFill="1" applyFont="1">
      <alignment horizontal="center" shrinkToFit="0" vertical="top" wrapText="1"/>
    </xf>
    <xf borderId="1" fillId="4" fontId="6" numFmtId="0" xfId="0" applyAlignment="1" applyBorder="1" applyFont="1">
      <alignment horizontal="center" shrinkToFit="0" vertical="top" wrapText="1"/>
    </xf>
    <xf borderId="1" fillId="18" fontId="15" numFmtId="0" xfId="0" applyAlignment="1" applyBorder="1" applyFill="1" applyFont="1">
      <alignment horizontal="center" shrinkToFit="0" vertical="top" wrapText="1"/>
    </xf>
    <xf borderId="1" fillId="3" fontId="9" numFmtId="0" xfId="0" applyAlignment="1" applyBorder="1" applyFont="1">
      <alignment horizontal="center" shrinkToFit="0" vertical="top" wrapText="1"/>
    </xf>
    <xf borderId="1" fillId="19" fontId="29" numFmtId="0" xfId="0" applyAlignment="1" applyBorder="1" applyFill="1" applyFont="1">
      <alignment horizontal="center" shrinkToFit="0" vertical="top" wrapText="1"/>
    </xf>
    <xf borderId="1" fillId="4" fontId="10" numFmtId="0" xfId="0" applyAlignment="1" applyBorder="1" applyFont="1">
      <alignment horizontal="center" shrinkToFit="0" vertical="top" wrapText="1"/>
    </xf>
    <xf borderId="1" fillId="20" fontId="15" numFmtId="0" xfId="0" applyAlignment="1" applyBorder="1" applyFill="1" applyFont="1">
      <alignment horizontal="center" shrinkToFit="0" vertical="top" wrapText="1"/>
    </xf>
    <xf borderId="1" fillId="3" fontId="32" numFmtId="0" xfId="0" applyAlignment="1" applyBorder="1" applyFont="1">
      <alignment horizontal="center" shrinkToFit="0" vertical="top" wrapText="1"/>
    </xf>
    <xf borderId="1" fillId="6" fontId="29" numFmtId="0" xfId="0" applyAlignment="1" applyBorder="1" applyFont="1">
      <alignment horizontal="center" shrinkToFit="0" vertical="top" wrapText="1"/>
    </xf>
    <xf borderId="1" fillId="8" fontId="29" numFmtId="0" xfId="0" applyAlignment="1" applyBorder="1" applyFont="1">
      <alignment horizontal="center" shrinkToFit="0" vertical="top" wrapText="1"/>
    </xf>
    <xf borderId="1" fillId="10" fontId="29" numFmtId="0" xfId="0" applyAlignment="1" applyBorder="1" applyFont="1">
      <alignment horizontal="center" shrinkToFit="0" vertical="top" wrapText="1"/>
    </xf>
    <xf borderId="1" fillId="11" fontId="29" numFmtId="0" xfId="0" applyAlignment="1" applyBorder="1" applyFont="1">
      <alignment horizontal="center" shrinkToFit="0" vertical="top" wrapText="1"/>
    </xf>
    <xf borderId="1" fillId="5" fontId="15" numFmtId="0" xfId="0" applyAlignment="1" applyBorder="1" applyFont="1">
      <alignment horizontal="center" shrinkToFit="0" vertical="top" wrapText="1"/>
    </xf>
    <xf borderId="1" fillId="3" fontId="8" numFmtId="0" xfId="0" applyAlignment="1" applyBorder="1" applyFont="1">
      <alignment horizontal="center" shrinkToFit="0" vertical="top" wrapText="1"/>
    </xf>
    <xf borderId="1" fillId="3" fontId="8" numFmtId="0" xfId="0" applyAlignment="1" applyBorder="1" applyFont="1">
      <alignment horizontal="left" shrinkToFit="0" vertical="top" wrapText="1"/>
    </xf>
    <xf borderId="2" fillId="3" fontId="3" numFmtId="0" xfId="0" applyAlignment="1" applyBorder="1" applyFont="1">
      <alignment horizontal="left" shrinkToFit="0" vertical="top" wrapText="1"/>
    </xf>
    <xf borderId="5" fillId="2" fontId="14" numFmtId="0" xfId="0" applyAlignment="1" applyBorder="1" applyFont="1">
      <alignment horizontal="center" shrinkToFit="0" vertical="center" wrapText="1"/>
    </xf>
    <xf borderId="6" fillId="0" fontId="5" numFmtId="0" xfId="0" applyBorder="1" applyFont="1"/>
    <xf borderId="7" fillId="0" fontId="5" numFmtId="0" xfId="0" applyBorder="1" applyFont="1"/>
    <xf borderId="5" fillId="15" fontId="1" numFmtId="0" xfId="0" applyAlignment="1" applyBorder="1" applyFont="1">
      <alignment horizontal="center" shrinkToFit="0" vertical="center" wrapText="1"/>
    </xf>
    <xf borderId="8" fillId="2" fontId="33" numFmtId="0" xfId="0" applyAlignment="1" applyBorder="1" applyFont="1">
      <alignment horizontal="center" shrinkToFit="0" vertical="center" wrapText="1"/>
    </xf>
    <xf borderId="9" fillId="0" fontId="5" numFmtId="0" xfId="0" applyBorder="1" applyFont="1"/>
    <xf borderId="10" fillId="0" fontId="5" numFmtId="0" xfId="0" applyBorder="1" applyFont="1"/>
    <xf borderId="2" fillId="9" fontId="34" numFmtId="0" xfId="0" applyAlignment="1" applyBorder="1" applyFont="1">
      <alignment horizontal="center" shrinkToFit="0" vertical="center" wrapText="1"/>
    </xf>
    <xf borderId="5" fillId="4" fontId="4" numFmtId="0" xfId="0" applyAlignment="1" applyBorder="1" applyFont="1">
      <alignment shrinkToFit="0" vertical="bottom" wrapText="0"/>
    </xf>
    <xf borderId="8" fillId="2" fontId="11" numFmtId="0" xfId="0" applyAlignment="1" applyBorder="1" applyFont="1">
      <alignment horizontal="center" shrinkToFit="0" vertical="center" wrapText="1"/>
    </xf>
    <xf borderId="2" fillId="21" fontId="1" numFmtId="0" xfId="0" applyAlignment="1" applyBorder="1" applyFill="1" applyFont="1">
      <alignment horizontal="center" shrinkToFit="0" vertical="center" wrapText="1"/>
    </xf>
    <xf borderId="2" fillId="5" fontId="1" numFmtId="0" xfId="0" applyAlignment="1" applyBorder="1" applyFont="1">
      <alignment horizontal="center" shrinkToFit="0" vertical="center" wrapText="1"/>
    </xf>
    <xf borderId="1" fillId="22" fontId="29" numFmtId="0" xfId="0" applyAlignment="1" applyBorder="1" applyFill="1" applyFont="1">
      <alignment horizontal="center" shrinkToFit="0" vertical="top" wrapText="1"/>
    </xf>
    <xf borderId="1" fillId="22" fontId="8" numFmtId="0" xfId="0" applyAlignment="1" applyBorder="1" applyFont="1">
      <alignment horizontal="left" shrinkToFit="0" vertical="top" wrapText="1"/>
    </xf>
    <xf borderId="1" fillId="22" fontId="8" numFmtId="0" xfId="0" applyAlignment="1" applyBorder="1" applyFont="1">
      <alignment horizontal="center" shrinkToFit="0" vertical="top" wrapText="1"/>
    </xf>
    <xf borderId="1" fillId="7" fontId="8" numFmtId="0" xfId="0" applyAlignment="1" applyBorder="1" applyFont="1">
      <alignment horizontal="center" shrinkToFit="0" vertical="top" wrapText="1"/>
    </xf>
    <xf borderId="1" fillId="12" fontId="8" numFmtId="0" xfId="0" applyAlignment="1" applyBorder="1" applyFont="1">
      <alignment horizontal="center" shrinkToFit="0" vertical="top" wrapText="1"/>
    </xf>
    <xf borderId="2" fillId="23" fontId="1" numFmtId="0" xfId="0" applyAlignment="1" applyBorder="1" applyFill="1" applyFont="1">
      <alignment horizontal="center" shrinkToFit="0" vertical="center" wrapText="1"/>
    </xf>
    <xf borderId="1" fillId="24" fontId="29" numFmtId="0" xfId="0" applyAlignment="1" applyBorder="1" applyFill="1" applyFont="1">
      <alignment horizontal="center" shrinkToFit="0" vertical="top" wrapText="1"/>
    </xf>
    <xf borderId="1" fillId="24" fontId="8" numFmtId="0" xfId="0" applyAlignment="1" applyBorder="1" applyFont="1">
      <alignment horizontal="left" shrinkToFit="0" vertical="top" wrapText="1"/>
    </xf>
    <xf borderId="1" fillId="24" fontId="8" numFmtId="0" xfId="0" applyAlignment="1" applyBorder="1" applyFont="1">
      <alignment horizontal="center" shrinkToFit="0" vertical="top" wrapText="1"/>
    </xf>
    <xf borderId="1" fillId="9" fontId="8" numFmtId="0" xfId="0" applyAlignment="1" applyBorder="1" applyFont="1">
      <alignment horizontal="center" shrinkToFit="0" vertical="top" wrapText="1"/>
    </xf>
    <xf borderId="2" fillId="25" fontId="1" numFmtId="0" xfId="0" applyAlignment="1" applyBorder="1" applyFill="1" applyFont="1">
      <alignment horizontal="center" shrinkToFit="0" vertical="center" wrapText="1"/>
    </xf>
    <xf borderId="1" fillId="26" fontId="29" numFmtId="0" xfId="0" applyAlignment="1" applyBorder="1" applyFill="1" applyFont="1">
      <alignment horizontal="center" shrinkToFit="0" vertical="top" wrapText="1"/>
    </xf>
    <xf borderId="1" fillId="26" fontId="8" numFmtId="0" xfId="0" applyAlignment="1" applyBorder="1" applyFont="1">
      <alignment horizontal="left" shrinkToFit="0" vertical="top" wrapText="1"/>
    </xf>
    <xf borderId="1" fillId="26" fontId="8" numFmtId="0" xfId="0" applyAlignment="1" applyBorder="1" applyFont="1">
      <alignment horizontal="center" shrinkToFit="0" vertical="top" wrapText="1"/>
    </xf>
    <xf borderId="2" fillId="27" fontId="1" numFmtId="0" xfId="0" applyAlignment="1" applyBorder="1" applyFill="1" applyFont="1">
      <alignment horizontal="center" shrinkToFit="0" vertical="center" wrapText="1"/>
    </xf>
    <xf borderId="2" fillId="13" fontId="35" numFmtId="0" xfId="0" applyAlignment="1" applyBorder="1" applyFont="1">
      <alignment horizontal="left" shrinkToFit="0" vertical="top" wrapText="1"/>
    </xf>
    <xf borderId="2" fillId="28" fontId="1" numFmtId="0" xfId="0" applyAlignment="1" applyBorder="1" applyFill="1" applyFont="1">
      <alignment horizontal="center" shrinkToFit="0" vertical="center" wrapText="1"/>
    </xf>
    <xf borderId="2" fillId="8" fontId="7" numFmtId="0" xfId="0" applyAlignment="1" applyBorder="1" applyFont="1">
      <alignment horizontal="left" shrinkToFit="0" vertical="top" wrapText="1"/>
    </xf>
    <xf borderId="2" fillId="6" fontId="36" numFmtId="0" xfId="0" applyAlignment="1" applyBorder="1" applyFont="1">
      <alignment horizontal="center" shrinkToFit="0" vertical="center" wrapText="1"/>
    </xf>
    <xf borderId="1" fillId="6" fontId="37" numFmtId="164" xfId="0" applyAlignment="1" applyBorder="1" applyFont="1" applyNumberFormat="1">
      <alignment horizontal="center" shrinkToFit="0" vertical="center" wrapText="1"/>
    </xf>
    <xf borderId="2" fillId="6" fontId="38" numFmtId="0" xfId="0" applyAlignment="1" applyBorder="1" applyFont="1">
      <alignment horizontal="center" shrinkToFit="0" vertical="center" wrapText="1"/>
    </xf>
    <xf borderId="1" fillId="9" fontId="8" numFmtId="0" xfId="0" applyAlignment="1" applyBorder="1" applyFont="1">
      <alignment horizontal="center" readingOrder="0" shrinkToFit="0" vertical="top" wrapText="1"/>
    </xf>
    <xf borderId="1" fillId="7" fontId="30" numFmtId="0" xfId="0" applyAlignment="1" applyBorder="1" applyFont="1">
      <alignment horizontal="left" shrinkToFit="0" vertical="top" wrapText="1"/>
    </xf>
    <xf borderId="1" fillId="29" fontId="29" numFmtId="0" xfId="0" applyAlignment="1" applyBorder="1" applyFill="1" applyFont="1">
      <alignment horizontal="center" shrinkToFit="0" vertical="top" wrapText="1"/>
    </xf>
    <xf borderId="1" fillId="29" fontId="8" numFmtId="0" xfId="0" applyAlignment="1" applyBorder="1" applyFont="1">
      <alignment horizontal="left" shrinkToFit="0" vertical="top" wrapText="1"/>
    </xf>
    <xf borderId="1" fillId="29" fontId="8" numFmtId="0" xfId="0" applyAlignment="1" applyBorder="1" applyFont="1">
      <alignment horizontal="center" shrinkToFit="0" vertical="top" wrapText="1"/>
    </xf>
    <xf borderId="2" fillId="7" fontId="30" numFmtId="0" xfId="0" applyAlignment="1" applyBorder="1" applyFont="1">
      <alignment horizontal="left" shrinkToFit="0" vertical="top" wrapText="1"/>
    </xf>
    <xf borderId="11" fillId="0" fontId="5" numFmtId="0" xfId="0" applyBorder="1" applyFont="1"/>
    <xf borderId="2" fillId="8" fontId="36" numFmtId="0" xfId="0" applyAlignment="1" applyBorder="1" applyFont="1">
      <alignment horizontal="center" shrinkToFit="0" vertical="center" wrapText="1"/>
    </xf>
    <xf borderId="1" fillId="8" fontId="37" numFmtId="164" xfId="0" applyAlignment="1" applyBorder="1" applyFont="1" applyNumberFormat="1">
      <alignment horizontal="center" shrinkToFit="0" vertical="center" wrapText="1"/>
    </xf>
    <xf borderId="2" fillId="8" fontId="38" numFmtId="0" xfId="0" applyAlignment="1" applyBorder="1" applyFont="1">
      <alignment horizontal="center" shrinkToFit="0" vertical="center" wrapText="1"/>
    </xf>
    <xf borderId="1" fillId="13" fontId="8" numFmtId="0" xfId="0" applyAlignment="1" applyBorder="1" applyFont="1">
      <alignment horizontal="left" shrinkToFit="0" vertical="top" wrapText="1"/>
    </xf>
    <xf borderId="1" fillId="13" fontId="8" numFmtId="0" xfId="0" applyAlignment="1" applyBorder="1" applyFont="1">
      <alignment horizontal="center" shrinkToFit="0" vertical="top" wrapText="1"/>
    </xf>
    <xf borderId="2" fillId="10" fontId="36" numFmtId="0" xfId="0" applyAlignment="1" applyBorder="1" applyFont="1">
      <alignment horizontal="center" shrinkToFit="0" vertical="center" wrapText="1"/>
    </xf>
    <xf borderId="1" fillId="10" fontId="37" numFmtId="164" xfId="0" applyAlignment="1" applyBorder="1" applyFont="1" applyNumberFormat="1">
      <alignment horizontal="center" shrinkToFit="0" vertical="center" wrapText="1"/>
    </xf>
    <xf borderId="2" fillId="10" fontId="38" numFmtId="0" xfId="0" applyAlignment="1" applyBorder="1" applyFont="1">
      <alignment horizontal="center" shrinkToFit="0" vertical="center" wrapText="1"/>
    </xf>
    <xf borderId="2" fillId="11" fontId="36" numFmtId="0" xfId="0" applyAlignment="1" applyBorder="1" applyFont="1">
      <alignment horizontal="center" shrinkToFit="0" vertical="center" wrapText="1"/>
    </xf>
    <xf borderId="1" fillId="11" fontId="37" numFmtId="164" xfId="0" applyAlignment="1" applyBorder="1" applyFont="1" applyNumberFormat="1">
      <alignment horizontal="center" shrinkToFit="0" vertical="center" wrapText="1"/>
    </xf>
    <xf borderId="2" fillId="11" fontId="38"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1" fillId="15" fontId="1" numFmtId="0" xfId="0" applyAlignment="1" applyBorder="1" applyFont="1">
      <alignment horizontal="center" shrinkToFit="0" vertical="center" wrapText="1"/>
    </xf>
    <xf borderId="2" fillId="12" fontId="8" numFmtId="0" xfId="0" applyAlignment="1" applyBorder="1" applyFont="1">
      <alignment horizontal="left" shrinkToFit="0" vertical="top" wrapText="1"/>
    </xf>
    <xf borderId="1" fillId="4" fontId="29" numFmtId="0" xfId="0" applyAlignment="1" applyBorder="1" applyFont="1">
      <alignment horizontal="center" shrinkToFit="0" vertical="top" wrapText="1"/>
    </xf>
    <xf borderId="1" fillId="4" fontId="8" numFmtId="0" xfId="0" applyAlignment="1" applyBorder="1" applyFont="1">
      <alignment horizontal="left" shrinkToFit="0" vertical="top" wrapText="1"/>
    </xf>
    <xf borderId="1" fillId="4" fontId="8" numFmtId="0" xfId="0" applyAlignment="1" applyBorder="1" applyFont="1">
      <alignment horizontal="center" shrinkToFit="0" vertical="top" wrapText="1"/>
    </xf>
    <xf borderId="1" fillId="3" fontId="29" numFmtId="0" xfId="0" applyAlignment="1" applyBorder="1" applyFont="1">
      <alignment horizontal="center" shrinkToFit="0" vertical="top" wrapText="1"/>
    </xf>
    <xf borderId="2" fillId="15" fontId="1" numFmtId="0" xfId="0" applyAlignment="1" applyBorder="1" applyFont="1">
      <alignment horizontal="center" shrinkToFit="0" vertical="center" wrapText="1"/>
    </xf>
    <xf borderId="2" fillId="3" fontId="8" numFmtId="0" xfId="0" applyAlignment="1" applyBorder="1" applyFont="1">
      <alignment horizontal="left" shrinkToFit="0" vertical="top" wrapText="1"/>
    </xf>
    <xf borderId="2" fillId="4" fontId="8" numFmtId="0" xfId="0" applyAlignment="1" applyBorder="1" applyFont="1">
      <alignment horizontal="left" shrinkToFit="0" vertical="top" wrapText="1"/>
    </xf>
    <xf borderId="1" fillId="2" fontId="11" numFmtId="0" xfId="0" applyAlignment="1" applyBorder="1" applyFont="1">
      <alignment horizontal="left" shrinkToFit="0" vertical="center" wrapText="1"/>
    </xf>
    <xf borderId="1" fillId="9" fontId="8" numFmtId="0" xfId="0" applyAlignment="1" applyBorder="1" applyFont="1">
      <alignment horizontal="left" shrinkToFit="0" vertical="center" wrapText="1"/>
    </xf>
    <xf borderId="12" fillId="4" fontId="8" numFmtId="0" xfId="0" applyAlignment="1" applyBorder="1" applyFont="1">
      <alignment horizontal="left" shrinkToFit="0" vertical="center" wrapText="1"/>
    </xf>
    <xf borderId="1" fillId="5" fontId="31" numFmtId="0" xfId="0" applyAlignment="1" applyBorder="1" applyFont="1">
      <alignment horizontal="left" shrinkToFit="0" vertical="center" wrapText="1"/>
    </xf>
    <xf borderId="1" fillId="6" fontId="39" numFmtId="0" xfId="0" applyAlignment="1" applyBorder="1" applyFont="1">
      <alignment horizontal="left" shrinkToFit="0" vertical="center" wrapText="1"/>
    </xf>
    <xf borderId="1" fillId="13" fontId="8" numFmtId="0" xfId="0" applyAlignment="1" applyBorder="1" applyFont="1">
      <alignment horizontal="left" shrinkToFit="0" vertical="center" wrapText="1"/>
    </xf>
    <xf borderId="1" fillId="8" fontId="39" numFmtId="0" xfId="0" applyAlignment="1" applyBorder="1" applyFont="1">
      <alignment horizontal="left" shrinkToFit="0" vertical="center" wrapText="1"/>
    </xf>
    <xf borderId="1" fillId="10" fontId="39" numFmtId="0" xfId="0" applyAlignment="1" applyBorder="1" applyFont="1">
      <alignment horizontal="left" shrinkToFit="0" vertical="center" wrapText="1"/>
    </xf>
    <xf borderId="1" fillId="12" fontId="8" numFmtId="0" xfId="0" applyAlignment="1" applyBorder="1" applyFont="1">
      <alignment horizontal="left" shrinkToFit="0" vertical="center" wrapText="1"/>
    </xf>
    <xf borderId="1" fillId="11" fontId="39" numFmtId="0" xfId="0" applyAlignment="1" applyBorder="1" applyFont="1">
      <alignment horizontal="left" shrinkToFit="0" vertical="center" wrapText="1"/>
    </xf>
    <xf borderId="1" fillId="7" fontId="8" numFmtId="0" xfId="0" applyAlignment="1" applyBorder="1" applyFont="1">
      <alignment horizontal="left" shrinkToFit="0" vertical="center" wrapText="1"/>
    </xf>
  </cellXfs>
  <cellStyles count="1">
    <cellStyle xfId="0" name="Normal" builtinId="0"/>
  </cellStyles>
  <dxfs count="5">
    <dxf>
      <font/>
      <fill>
        <patternFill patternType="solid">
          <fgColor rgb="FFC6EFCE"/>
          <bgColor rgb="FFC6EFCE"/>
        </patternFill>
      </fill>
      <border/>
    </dxf>
    <dxf>
      <font/>
      <fill>
        <patternFill patternType="solid">
          <fgColor rgb="FFFFEB9C"/>
          <bgColor rgb="FFFFEB9C"/>
        </patternFill>
      </fill>
      <border/>
    </dxf>
    <dxf>
      <font/>
      <fill>
        <patternFill patternType="solid">
          <fgColor rgb="FFBDD7EE"/>
          <bgColor rgb="FFBDD7EE"/>
        </patternFill>
      </fill>
      <border/>
    </dxf>
    <dxf>
      <font/>
      <fill>
        <patternFill patternType="solid">
          <fgColor rgb="FFFFC7CE"/>
          <bgColor rgb="FFFFC7CE"/>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8.0"/>
    <col customWidth="1" min="3" max="3" width="14.0"/>
    <col customWidth="1" min="4" max="4" width="20.0"/>
    <col customWidth="1" min="5" max="5" width="70.0"/>
    <col customWidth="1" min="6" max="26" width="8.71"/>
  </cols>
  <sheetData>
    <row r="1" ht="19.5" customHeight="1">
      <c r="A1" s="1" t="s">
        <v>0</v>
      </c>
      <c r="B1" s="1" t="s">
        <v>1</v>
      </c>
      <c r="C1" s="1" t="s">
        <v>2</v>
      </c>
      <c r="D1" s="1" t="s">
        <v>3</v>
      </c>
      <c r="E1" s="1" t="s">
        <v>4</v>
      </c>
    </row>
    <row r="2" ht="15.0" customHeight="1">
      <c r="A2" s="2" t="s">
        <v>5</v>
      </c>
      <c r="B2" s="3" t="s">
        <v>6</v>
      </c>
      <c r="C2" s="4">
        <v>4.0</v>
      </c>
      <c r="D2" s="3" t="s">
        <v>7</v>
      </c>
      <c r="E2" s="3" t="s">
        <v>8</v>
      </c>
    </row>
    <row r="3" ht="15.0" customHeight="1">
      <c r="A3" s="5" t="s">
        <v>9</v>
      </c>
      <c r="B3" s="6" t="s">
        <v>10</v>
      </c>
      <c r="C3" s="7">
        <v>5.0</v>
      </c>
      <c r="D3" s="6" t="s">
        <v>11</v>
      </c>
      <c r="E3" s="6" t="s">
        <v>12</v>
      </c>
    </row>
    <row r="4" ht="15.0" customHeight="1">
      <c r="A4" s="2" t="s">
        <v>13</v>
      </c>
      <c r="B4" s="3" t="s">
        <v>14</v>
      </c>
      <c r="C4" s="4">
        <v>2.0</v>
      </c>
      <c r="D4" s="3" t="s">
        <v>15</v>
      </c>
      <c r="E4" s="3" t="s">
        <v>16</v>
      </c>
    </row>
    <row r="5" ht="15.0" customHeight="1">
      <c r="A5" s="5" t="s">
        <v>17</v>
      </c>
      <c r="B5" s="6" t="s">
        <v>18</v>
      </c>
      <c r="C5" s="7">
        <v>2.0</v>
      </c>
      <c r="D5" s="6" t="s">
        <v>19</v>
      </c>
      <c r="E5" s="6" t="s">
        <v>20</v>
      </c>
    </row>
    <row r="6" ht="15.0" customHeight="1">
      <c r="A6" s="2" t="s">
        <v>21</v>
      </c>
      <c r="B6" s="3" t="s">
        <v>22</v>
      </c>
      <c r="C6" s="4">
        <v>4.0</v>
      </c>
      <c r="D6" s="3" t="s">
        <v>15</v>
      </c>
      <c r="E6" s="3" t="s">
        <v>23</v>
      </c>
    </row>
    <row r="7" ht="15.0" customHeight="1">
      <c r="A7" s="5" t="s">
        <v>24</v>
      </c>
      <c r="B7" s="6" t="s">
        <v>25</v>
      </c>
      <c r="C7" s="7">
        <v>3.0</v>
      </c>
      <c r="D7" s="6" t="s">
        <v>26</v>
      </c>
      <c r="E7" s="6" t="s">
        <v>27</v>
      </c>
    </row>
    <row r="8" ht="21.75" customHeight="1">
      <c r="A8" s="2" t="s">
        <v>28</v>
      </c>
      <c r="B8" s="3" t="s">
        <v>29</v>
      </c>
      <c r="C8" s="4">
        <v>10.0</v>
      </c>
      <c r="D8" s="3" t="s">
        <v>30</v>
      </c>
      <c r="E8" s="3" t="s">
        <v>31</v>
      </c>
    </row>
    <row r="9" ht="15.0" customHeight="1">
      <c r="A9" s="5" t="s">
        <v>32</v>
      </c>
      <c r="B9" s="6" t="s">
        <v>33</v>
      </c>
      <c r="C9" s="7">
        <v>3.0</v>
      </c>
      <c r="D9" s="6" t="s">
        <v>19</v>
      </c>
      <c r="E9" s="6" t="s">
        <v>34</v>
      </c>
    </row>
    <row r="10" ht="15.0" customHeight="1">
      <c r="A10" s="2" t="s">
        <v>35</v>
      </c>
      <c r="B10" s="3" t="s">
        <v>36</v>
      </c>
      <c r="C10" s="4">
        <v>2.0</v>
      </c>
      <c r="D10" s="3" t="s">
        <v>19</v>
      </c>
      <c r="E10" s="3" t="s">
        <v>37</v>
      </c>
    </row>
    <row r="11" ht="15.0" customHeight="1">
      <c r="A11" s="5" t="s">
        <v>38</v>
      </c>
      <c r="B11" s="6" t="s">
        <v>39</v>
      </c>
      <c r="C11" s="7">
        <v>3.0</v>
      </c>
      <c r="D11" s="6" t="s">
        <v>19</v>
      </c>
      <c r="E11" s="6" t="s">
        <v>40</v>
      </c>
    </row>
    <row r="12" ht="15.0" customHeight="1">
      <c r="A12" s="2" t="s">
        <v>41</v>
      </c>
      <c r="B12" s="3" t="s">
        <v>42</v>
      </c>
      <c r="C12" s="4">
        <v>5.0</v>
      </c>
      <c r="D12" s="3" t="s">
        <v>19</v>
      </c>
      <c r="E12" s="3" t="s">
        <v>43</v>
      </c>
    </row>
    <row r="13" ht="15.0" customHeight="1">
      <c r="A13" s="5" t="s">
        <v>44</v>
      </c>
      <c r="B13" s="6" t="s">
        <v>45</v>
      </c>
      <c r="C13" s="7">
        <v>6.0</v>
      </c>
      <c r="D13" s="6" t="s">
        <v>46</v>
      </c>
      <c r="E13" s="6" t="s">
        <v>47</v>
      </c>
    </row>
    <row r="14" ht="15.0" customHeight="1">
      <c r="A14" s="2" t="s">
        <v>48</v>
      </c>
      <c r="B14" s="3" t="s">
        <v>49</v>
      </c>
      <c r="C14" s="4">
        <v>7.0</v>
      </c>
      <c r="D14" s="3" t="s">
        <v>26</v>
      </c>
      <c r="E14" s="3" t="s">
        <v>50</v>
      </c>
    </row>
    <row r="15" ht="15.0" customHeight="1">
      <c r="A15" s="5" t="s">
        <v>51</v>
      </c>
      <c r="B15" s="6" t="s">
        <v>52</v>
      </c>
      <c r="C15" s="7">
        <v>2.0</v>
      </c>
      <c r="D15" s="6" t="s">
        <v>53</v>
      </c>
      <c r="E15" s="6" t="s">
        <v>54</v>
      </c>
    </row>
    <row r="16" ht="15.0" customHeight="1">
      <c r="A16" s="2" t="s">
        <v>55</v>
      </c>
      <c r="B16" s="3" t="s">
        <v>56</v>
      </c>
      <c r="C16" s="4">
        <v>5.0</v>
      </c>
      <c r="D16" s="3" t="s">
        <v>57</v>
      </c>
      <c r="E16" s="3" t="s">
        <v>58</v>
      </c>
    </row>
    <row r="17" ht="15.0" customHeight="1">
      <c r="A17" s="5" t="s">
        <v>59</v>
      </c>
      <c r="B17" s="6" t="s">
        <v>60</v>
      </c>
      <c r="C17" s="7">
        <v>7.0</v>
      </c>
      <c r="D17" s="6" t="s">
        <v>46</v>
      </c>
      <c r="E17" s="6" t="s">
        <v>61</v>
      </c>
    </row>
    <row r="18" ht="15.0" customHeight="1">
      <c r="A18" s="2" t="s">
        <v>62</v>
      </c>
      <c r="B18" s="3" t="s">
        <v>63</v>
      </c>
      <c r="C18" s="4">
        <v>3.0</v>
      </c>
      <c r="D18" s="3" t="s">
        <v>64</v>
      </c>
      <c r="E18" s="3" t="s">
        <v>65</v>
      </c>
    </row>
    <row r="19" ht="15.0" customHeight="1">
      <c r="A19" s="5" t="s">
        <v>66</v>
      </c>
      <c r="B19" s="6" t="s">
        <v>67</v>
      </c>
      <c r="C19" s="7">
        <v>2.0</v>
      </c>
      <c r="D19" s="6" t="s">
        <v>11</v>
      </c>
      <c r="E19" s="6" t="s">
        <v>68</v>
      </c>
    </row>
    <row r="20">
      <c r="A20" s="8"/>
      <c r="B20" s="8"/>
      <c r="C20" s="8"/>
      <c r="D20" s="8"/>
      <c r="E20" s="8"/>
    </row>
    <row r="21" ht="15.75" customHeight="1">
      <c r="A21" s="8"/>
      <c r="B21" s="8"/>
      <c r="C21" s="8"/>
      <c r="D21" s="8"/>
      <c r="E21" s="8"/>
    </row>
    <row r="22" ht="15.75" customHeight="1">
      <c r="A22" s="8"/>
      <c r="B22" s="8"/>
      <c r="C22" s="8"/>
      <c r="D22" s="8"/>
      <c r="E22" s="8"/>
    </row>
    <row r="23" ht="15.75" customHeight="1">
      <c r="A23" s="8"/>
      <c r="B23" s="8"/>
      <c r="C23" s="8"/>
      <c r="D23" s="8"/>
      <c r="E23" s="8"/>
    </row>
    <row r="24" ht="15.75" customHeight="1">
      <c r="A24" s="8"/>
      <c r="B24" s="8"/>
      <c r="C24" s="8"/>
      <c r="D24" s="8"/>
      <c r="E24" s="8"/>
    </row>
    <row r="25" ht="15.75" customHeight="1">
      <c r="A25" s="8"/>
      <c r="B25" s="8"/>
      <c r="C25" s="8"/>
      <c r="D25" s="8"/>
      <c r="E25" s="8"/>
    </row>
    <row r="26" ht="15.75" customHeight="1">
      <c r="A26" s="8"/>
      <c r="B26" s="8"/>
      <c r="C26" s="8"/>
      <c r="D26" s="8"/>
      <c r="E26" s="8"/>
    </row>
    <row r="27" ht="15.75" customHeight="1">
      <c r="A27" s="8"/>
      <c r="B27" s="8"/>
      <c r="C27" s="8"/>
      <c r="D27" s="8"/>
      <c r="E27" s="8"/>
    </row>
    <row r="28" ht="15.75" customHeight="1">
      <c r="A28" s="8"/>
      <c r="B28" s="8"/>
      <c r="C28" s="8"/>
      <c r="D28" s="8"/>
      <c r="E28" s="8"/>
    </row>
    <row r="29" ht="15.75" customHeight="1">
      <c r="A29" s="8"/>
      <c r="B29" s="8"/>
      <c r="C29" s="8"/>
      <c r="D29" s="8"/>
      <c r="E29" s="8"/>
    </row>
    <row r="30" ht="15.75" customHeight="1">
      <c r="A30" s="8"/>
      <c r="B30" s="8"/>
      <c r="C30" s="8"/>
      <c r="D30" s="8"/>
      <c r="E30" s="8"/>
    </row>
    <row r="31" ht="15.75" customHeight="1">
      <c r="A31" s="8"/>
      <c r="B31" s="8"/>
      <c r="C31" s="8"/>
      <c r="D31" s="8"/>
      <c r="E31" s="8"/>
    </row>
    <row r="32" ht="15.75" customHeight="1">
      <c r="A32" s="8"/>
      <c r="B32" s="8"/>
      <c r="C32" s="8"/>
      <c r="D32" s="8"/>
      <c r="E32" s="8"/>
    </row>
    <row r="33" ht="15.75" customHeight="1">
      <c r="A33" s="8"/>
      <c r="B33" s="8"/>
      <c r="C33" s="8"/>
      <c r="D33" s="8"/>
      <c r="E33" s="8"/>
    </row>
    <row r="34" ht="15.75" customHeight="1">
      <c r="A34" s="8"/>
      <c r="B34" s="8"/>
      <c r="C34" s="8"/>
      <c r="D34" s="8"/>
      <c r="E34" s="8"/>
    </row>
    <row r="35" ht="15.75" customHeight="1">
      <c r="A35" s="8"/>
      <c r="B35" s="8"/>
      <c r="C35" s="8"/>
      <c r="D35" s="8"/>
      <c r="E35" s="8"/>
    </row>
    <row r="36" ht="15.75" customHeight="1">
      <c r="A36" s="8"/>
      <c r="B36" s="8"/>
      <c r="C36" s="8"/>
      <c r="D36" s="8"/>
      <c r="E36" s="8"/>
    </row>
    <row r="37" ht="15.75" customHeight="1">
      <c r="A37" s="8"/>
      <c r="B37" s="8"/>
      <c r="C37" s="8"/>
      <c r="D37" s="8"/>
      <c r="E37" s="8"/>
    </row>
    <row r="38" ht="15.75" customHeight="1">
      <c r="A38" s="8"/>
      <c r="B38" s="8"/>
      <c r="C38" s="8"/>
      <c r="D38" s="8"/>
      <c r="E38" s="8"/>
    </row>
    <row r="39" ht="15.75" customHeight="1">
      <c r="A39" s="8"/>
      <c r="B39" s="8"/>
      <c r="C39" s="8"/>
      <c r="D39" s="8"/>
      <c r="E39" s="8"/>
    </row>
    <row r="40" ht="15.75" customHeight="1">
      <c r="A40" s="8"/>
      <c r="B40" s="8"/>
      <c r="C40" s="8"/>
      <c r="D40" s="8"/>
      <c r="E40" s="8"/>
    </row>
    <row r="41" ht="15.75" customHeight="1">
      <c r="A41" s="8"/>
      <c r="B41" s="8"/>
      <c r="C41" s="8"/>
      <c r="D41" s="8"/>
      <c r="E41" s="8"/>
    </row>
    <row r="42" ht="15.75" customHeight="1">
      <c r="A42" s="8"/>
      <c r="B42" s="8"/>
      <c r="C42" s="8"/>
      <c r="D42" s="8"/>
      <c r="E42" s="8"/>
    </row>
    <row r="43" ht="15.75" customHeight="1">
      <c r="A43" s="8"/>
      <c r="B43" s="8"/>
      <c r="C43" s="8"/>
      <c r="D43" s="8"/>
      <c r="E43" s="8"/>
    </row>
    <row r="44" ht="15.75" customHeight="1">
      <c r="A44" s="8"/>
      <c r="B44" s="8"/>
      <c r="C44" s="8"/>
      <c r="D44" s="8"/>
      <c r="E44" s="8"/>
    </row>
    <row r="45" ht="15.75" customHeight="1">
      <c r="A45" s="8"/>
      <c r="B45" s="8"/>
      <c r="C45" s="8"/>
      <c r="D45" s="8"/>
      <c r="E45" s="8"/>
    </row>
    <row r="46" ht="15.75" customHeight="1">
      <c r="A46" s="8"/>
      <c r="B46" s="8"/>
      <c r="C46" s="8"/>
      <c r="D46" s="8"/>
      <c r="E46" s="8"/>
    </row>
    <row r="47" ht="15.75" customHeight="1">
      <c r="A47" s="8"/>
      <c r="B47" s="8"/>
      <c r="C47" s="8"/>
      <c r="D47" s="8"/>
      <c r="E47" s="8"/>
    </row>
    <row r="48" ht="15.75" customHeight="1">
      <c r="A48" s="8"/>
      <c r="B48" s="8"/>
      <c r="C48" s="8"/>
      <c r="D48" s="8"/>
      <c r="E48" s="8"/>
    </row>
    <row r="49" ht="15.75" customHeight="1">
      <c r="A49" s="8"/>
      <c r="B49" s="8"/>
      <c r="C49" s="8"/>
      <c r="D49" s="8"/>
      <c r="E49" s="8"/>
    </row>
    <row r="50" ht="15.75" customHeight="1">
      <c r="A50" s="8"/>
      <c r="B50" s="8"/>
      <c r="C50" s="8"/>
      <c r="D50" s="8"/>
      <c r="E50" s="8"/>
    </row>
    <row r="51" ht="15.75" customHeight="1">
      <c r="A51" s="8"/>
      <c r="B51" s="8"/>
      <c r="C51" s="8"/>
      <c r="D51" s="8"/>
      <c r="E51" s="8"/>
    </row>
    <row r="52" ht="15.75" customHeight="1">
      <c r="A52" s="8"/>
      <c r="B52" s="8"/>
      <c r="C52" s="8"/>
      <c r="D52" s="8"/>
      <c r="E52" s="8"/>
    </row>
    <row r="53" ht="15.75" customHeight="1">
      <c r="A53" s="8"/>
      <c r="B53" s="8"/>
      <c r="C53" s="8"/>
      <c r="D53" s="8"/>
      <c r="E53" s="8"/>
    </row>
    <row r="54" ht="15.75" customHeight="1">
      <c r="A54" s="8"/>
      <c r="B54" s="8"/>
      <c r="C54" s="8"/>
      <c r="D54" s="8"/>
      <c r="E54" s="8"/>
    </row>
    <row r="55" ht="15.75" customHeight="1">
      <c r="A55" s="8"/>
      <c r="B55" s="8"/>
      <c r="C55" s="8"/>
      <c r="D55" s="8"/>
      <c r="E55" s="8"/>
    </row>
    <row r="56" ht="15.75" customHeight="1">
      <c r="A56" s="8"/>
      <c r="B56" s="8"/>
      <c r="C56" s="8"/>
      <c r="D56" s="8"/>
      <c r="E56" s="8"/>
    </row>
    <row r="57" ht="15.75" customHeight="1">
      <c r="A57" s="8"/>
      <c r="B57" s="8"/>
      <c r="C57" s="8"/>
      <c r="D57" s="8"/>
      <c r="E57" s="8"/>
    </row>
    <row r="58" ht="15.75" customHeight="1">
      <c r="A58" s="8"/>
      <c r="B58" s="8"/>
      <c r="C58" s="8"/>
      <c r="D58" s="8"/>
      <c r="E58" s="8"/>
    </row>
    <row r="59" ht="15.75" customHeight="1">
      <c r="A59" s="8"/>
      <c r="B59" s="8"/>
      <c r="C59" s="8"/>
      <c r="D59" s="8"/>
      <c r="E59" s="8"/>
    </row>
    <row r="60" ht="15.75" customHeight="1">
      <c r="A60" s="8"/>
      <c r="B60" s="8"/>
      <c r="C60" s="8"/>
      <c r="D60" s="8"/>
      <c r="E60" s="8"/>
    </row>
    <row r="61" ht="15.75" customHeight="1">
      <c r="A61" s="8"/>
      <c r="B61" s="8"/>
      <c r="C61" s="8"/>
      <c r="D61" s="8"/>
      <c r="E61" s="8"/>
    </row>
    <row r="62" ht="15.75" customHeight="1">
      <c r="A62" s="8"/>
      <c r="B62" s="8"/>
      <c r="C62" s="8"/>
      <c r="D62" s="8"/>
      <c r="E62" s="8"/>
    </row>
    <row r="63" ht="15.75" customHeight="1">
      <c r="A63" s="8"/>
      <c r="B63" s="8"/>
      <c r="C63" s="8"/>
      <c r="D63" s="8"/>
      <c r="E63" s="8"/>
    </row>
    <row r="64" ht="15.75" customHeight="1">
      <c r="A64" s="8"/>
      <c r="B64" s="8"/>
      <c r="C64" s="8"/>
      <c r="D64" s="8"/>
      <c r="E64" s="8"/>
    </row>
    <row r="65" ht="15.75" customHeight="1">
      <c r="A65" s="8"/>
      <c r="B65" s="8"/>
      <c r="C65" s="8"/>
      <c r="D65" s="8"/>
      <c r="E65" s="8"/>
    </row>
    <row r="66" ht="15.75" customHeight="1">
      <c r="A66" s="8"/>
      <c r="B66" s="8"/>
      <c r="C66" s="8"/>
      <c r="D66" s="8"/>
      <c r="E66" s="8"/>
    </row>
    <row r="67" ht="15.75" customHeight="1">
      <c r="A67" s="8"/>
      <c r="B67" s="8"/>
      <c r="C67" s="8"/>
      <c r="D67" s="8"/>
      <c r="E67" s="8"/>
    </row>
    <row r="68" ht="15.75" customHeight="1">
      <c r="A68" s="8"/>
      <c r="B68" s="8"/>
      <c r="C68" s="8"/>
      <c r="D68" s="8"/>
      <c r="E68" s="8"/>
    </row>
    <row r="69" ht="15.75" customHeight="1">
      <c r="A69" s="8"/>
      <c r="B69" s="8"/>
      <c r="C69" s="8"/>
      <c r="D69" s="8"/>
      <c r="E69" s="8"/>
    </row>
    <row r="70" ht="15.75" customHeight="1">
      <c r="A70" s="8"/>
      <c r="B70" s="8"/>
      <c r="C70" s="8"/>
      <c r="D70" s="8"/>
      <c r="E70" s="8"/>
    </row>
    <row r="71" ht="15.75" customHeight="1">
      <c r="A71" s="8"/>
      <c r="B71" s="8"/>
      <c r="C71" s="8"/>
      <c r="D71" s="8"/>
      <c r="E71" s="8"/>
    </row>
    <row r="72" ht="15.75" customHeight="1">
      <c r="A72" s="8"/>
      <c r="B72" s="8"/>
      <c r="C72" s="8"/>
      <c r="D72" s="8"/>
      <c r="E72" s="8"/>
    </row>
    <row r="73" ht="15.75" customHeight="1">
      <c r="A73" s="8"/>
      <c r="B73" s="8"/>
      <c r="C73" s="8"/>
      <c r="D73" s="8"/>
      <c r="E73" s="8"/>
    </row>
    <row r="74" ht="15.75" customHeight="1">
      <c r="A74" s="8"/>
      <c r="B74" s="8"/>
      <c r="C74" s="8"/>
      <c r="D74" s="8"/>
      <c r="E74" s="8"/>
    </row>
    <row r="75" ht="15.75" customHeight="1">
      <c r="A75" s="8"/>
      <c r="B75" s="8"/>
      <c r="C75" s="8"/>
      <c r="D75" s="8"/>
      <c r="E75" s="8"/>
    </row>
    <row r="76" ht="15.75" customHeight="1">
      <c r="A76" s="8"/>
      <c r="B76" s="8"/>
      <c r="C76" s="8"/>
      <c r="D76" s="8"/>
      <c r="E76" s="8"/>
    </row>
    <row r="77" ht="15.75" customHeight="1">
      <c r="A77" s="8"/>
      <c r="B77" s="8"/>
      <c r="C77" s="8"/>
      <c r="D77" s="8"/>
      <c r="E77" s="8"/>
    </row>
    <row r="78" ht="15.75" customHeight="1">
      <c r="A78" s="8"/>
      <c r="B78" s="8"/>
      <c r="C78" s="8"/>
      <c r="D78" s="8"/>
      <c r="E78" s="8"/>
    </row>
    <row r="79" ht="15.75" customHeight="1">
      <c r="A79" s="8"/>
      <c r="B79" s="8"/>
      <c r="C79" s="8"/>
      <c r="D79" s="8"/>
      <c r="E79" s="8"/>
    </row>
    <row r="80" ht="15.75" customHeight="1">
      <c r="A80" s="8"/>
      <c r="B80" s="8"/>
      <c r="C80" s="8"/>
      <c r="D80" s="8"/>
      <c r="E80" s="8"/>
    </row>
    <row r="81" ht="15.75" customHeight="1">
      <c r="A81" s="8"/>
      <c r="B81" s="8"/>
      <c r="C81" s="8"/>
      <c r="D81" s="8"/>
      <c r="E81" s="8"/>
    </row>
    <row r="82" ht="15.75" customHeight="1">
      <c r="A82" s="8"/>
      <c r="B82" s="8"/>
      <c r="C82" s="8"/>
      <c r="D82" s="8"/>
      <c r="E82" s="8"/>
    </row>
    <row r="83" ht="15.75" customHeight="1">
      <c r="A83" s="8"/>
      <c r="B83" s="8"/>
      <c r="C83" s="8"/>
      <c r="D83" s="8"/>
      <c r="E83" s="8"/>
    </row>
    <row r="84" ht="15.75" customHeight="1">
      <c r="A84" s="8"/>
      <c r="B84" s="8"/>
      <c r="C84" s="8"/>
      <c r="D84" s="8"/>
      <c r="E84" s="8"/>
    </row>
    <row r="85" ht="15.75" customHeight="1">
      <c r="A85" s="8"/>
      <c r="B85" s="8"/>
      <c r="C85" s="8"/>
      <c r="D85" s="8"/>
      <c r="E85" s="8"/>
    </row>
    <row r="86" ht="15.75" customHeight="1">
      <c r="A86" s="8"/>
      <c r="B86" s="8"/>
      <c r="C86" s="8"/>
      <c r="D86" s="8"/>
      <c r="E86" s="8"/>
    </row>
    <row r="87" ht="15.75" customHeight="1">
      <c r="A87" s="8"/>
      <c r="B87" s="8"/>
      <c r="C87" s="8"/>
      <c r="D87" s="8"/>
      <c r="E87" s="8"/>
    </row>
    <row r="88" ht="15.75" customHeight="1">
      <c r="A88" s="8"/>
      <c r="B88" s="8"/>
      <c r="C88" s="8"/>
      <c r="D88" s="8"/>
      <c r="E88" s="8"/>
    </row>
    <row r="89" ht="15.75" customHeight="1">
      <c r="A89" s="8"/>
      <c r="B89" s="8"/>
      <c r="C89" s="8"/>
      <c r="D89" s="8"/>
      <c r="E89" s="8"/>
    </row>
    <row r="90" ht="15.75" customHeight="1">
      <c r="A90" s="8"/>
      <c r="B90" s="8"/>
      <c r="C90" s="8"/>
      <c r="D90" s="8"/>
      <c r="E90" s="8"/>
    </row>
    <row r="91" ht="15.75" customHeight="1">
      <c r="A91" s="8"/>
      <c r="B91" s="8"/>
      <c r="C91" s="8"/>
      <c r="D91" s="8"/>
      <c r="E91" s="8"/>
    </row>
    <row r="92" ht="15.75" customHeight="1">
      <c r="A92" s="8"/>
      <c r="B92" s="8"/>
      <c r="C92" s="8"/>
      <c r="D92" s="8"/>
      <c r="E92" s="8"/>
    </row>
    <row r="93" ht="15.75" customHeight="1">
      <c r="A93" s="8"/>
      <c r="B93" s="8"/>
      <c r="C93" s="8"/>
      <c r="D93" s="8"/>
      <c r="E93" s="8"/>
    </row>
    <row r="94" ht="15.75" customHeight="1">
      <c r="A94" s="8"/>
      <c r="B94" s="8"/>
      <c r="C94" s="8"/>
      <c r="D94" s="8"/>
      <c r="E94" s="8"/>
    </row>
    <row r="95" ht="15.75" customHeight="1">
      <c r="A95" s="8"/>
      <c r="B95" s="8"/>
      <c r="C95" s="8"/>
      <c r="D95" s="8"/>
      <c r="E95" s="8"/>
    </row>
    <row r="96" ht="15.75" customHeight="1">
      <c r="A96" s="8"/>
      <c r="B96" s="8"/>
      <c r="C96" s="8"/>
      <c r="D96" s="8"/>
      <c r="E96" s="8"/>
    </row>
    <row r="97" ht="15.75" customHeight="1">
      <c r="A97" s="8"/>
      <c r="B97" s="8"/>
      <c r="C97" s="8"/>
      <c r="D97" s="8"/>
      <c r="E97" s="8"/>
    </row>
    <row r="98" ht="15.75" customHeight="1">
      <c r="A98" s="8"/>
      <c r="B98" s="8"/>
      <c r="C98" s="8"/>
      <c r="D98" s="8"/>
      <c r="E98" s="8"/>
    </row>
    <row r="99" ht="15.75" customHeight="1">
      <c r="A99" s="8"/>
      <c r="B99" s="8"/>
      <c r="C99" s="8"/>
      <c r="D99" s="8"/>
      <c r="E99" s="8"/>
    </row>
    <row r="100" ht="15.75" customHeight="1">
      <c r="A100" s="8"/>
      <c r="B100" s="8"/>
      <c r="C100" s="8"/>
      <c r="D100" s="8"/>
      <c r="E100" s="8"/>
    </row>
    <row r="101" ht="15.75" customHeight="1">
      <c r="A101" s="8"/>
      <c r="B101" s="8"/>
      <c r="C101" s="8"/>
      <c r="D101" s="8"/>
      <c r="E101" s="8"/>
    </row>
    <row r="102" ht="15.75" customHeight="1">
      <c r="A102" s="8"/>
      <c r="B102" s="8"/>
      <c r="C102" s="8"/>
      <c r="D102" s="8"/>
      <c r="E102" s="8"/>
    </row>
    <row r="103" ht="15.75" customHeight="1">
      <c r="A103" s="8"/>
      <c r="B103" s="8"/>
      <c r="C103" s="8"/>
      <c r="D103" s="8"/>
      <c r="E103" s="8"/>
    </row>
    <row r="104" ht="15.75" customHeight="1">
      <c r="A104" s="8"/>
      <c r="B104" s="8"/>
      <c r="C104" s="8"/>
      <c r="D104" s="8"/>
      <c r="E104" s="8"/>
    </row>
    <row r="105" ht="15.75" customHeight="1">
      <c r="A105" s="8"/>
      <c r="B105" s="8"/>
      <c r="C105" s="8"/>
      <c r="D105" s="8"/>
      <c r="E105" s="8"/>
    </row>
    <row r="106" ht="15.75" customHeight="1">
      <c r="A106" s="8"/>
      <c r="B106" s="8"/>
      <c r="C106" s="8"/>
      <c r="D106" s="8"/>
      <c r="E106" s="8"/>
    </row>
    <row r="107" ht="15.75" customHeight="1">
      <c r="A107" s="8"/>
      <c r="B107" s="8"/>
      <c r="C107" s="8"/>
      <c r="D107" s="8"/>
      <c r="E107" s="8"/>
    </row>
    <row r="108" ht="15.75" customHeight="1">
      <c r="A108" s="8"/>
      <c r="B108" s="8"/>
      <c r="C108" s="8"/>
      <c r="D108" s="8"/>
      <c r="E108" s="8"/>
    </row>
    <row r="109" ht="15.75" customHeight="1">
      <c r="A109" s="8"/>
      <c r="B109" s="8"/>
      <c r="C109" s="8"/>
      <c r="D109" s="8"/>
      <c r="E109" s="8"/>
    </row>
    <row r="110" ht="15.75" customHeight="1">
      <c r="A110" s="8"/>
      <c r="B110" s="8"/>
      <c r="C110" s="8"/>
      <c r="D110" s="8"/>
      <c r="E110" s="8"/>
    </row>
    <row r="111" ht="15.75" customHeight="1">
      <c r="A111" s="8"/>
      <c r="B111" s="8"/>
      <c r="C111" s="8"/>
      <c r="D111" s="8"/>
      <c r="E111" s="8"/>
    </row>
    <row r="112" ht="15.75" customHeight="1">
      <c r="A112" s="8"/>
      <c r="B112" s="8"/>
      <c r="C112" s="8"/>
      <c r="D112" s="8"/>
      <c r="E112" s="8"/>
    </row>
    <row r="113" ht="15.75" customHeight="1">
      <c r="A113" s="8"/>
      <c r="B113" s="8"/>
      <c r="C113" s="8"/>
      <c r="D113" s="8"/>
      <c r="E113" s="8"/>
    </row>
    <row r="114" ht="15.75" customHeight="1">
      <c r="A114" s="8"/>
      <c r="B114" s="8"/>
      <c r="C114" s="8"/>
      <c r="D114" s="8"/>
      <c r="E114" s="8"/>
    </row>
    <row r="115" ht="15.75" customHeight="1">
      <c r="A115" s="8"/>
      <c r="B115" s="8"/>
      <c r="C115" s="8"/>
      <c r="D115" s="8"/>
      <c r="E115" s="8"/>
    </row>
    <row r="116" ht="15.75" customHeight="1">
      <c r="A116" s="8"/>
      <c r="B116" s="8"/>
      <c r="C116" s="8"/>
      <c r="D116" s="8"/>
      <c r="E116" s="8"/>
    </row>
    <row r="117" ht="15.75" customHeight="1">
      <c r="A117" s="8"/>
      <c r="B117" s="8"/>
      <c r="C117" s="8"/>
      <c r="D117" s="8"/>
      <c r="E117" s="8"/>
    </row>
    <row r="118" ht="15.75" customHeight="1">
      <c r="A118" s="8"/>
      <c r="B118" s="8"/>
      <c r="C118" s="8"/>
      <c r="D118" s="8"/>
      <c r="E118" s="8"/>
    </row>
    <row r="119" ht="15.75" customHeight="1">
      <c r="A119" s="8"/>
      <c r="B119" s="8"/>
      <c r="C119" s="8"/>
      <c r="D119" s="8"/>
      <c r="E119" s="8"/>
    </row>
    <row r="120" ht="15.75" customHeight="1">
      <c r="A120" s="8"/>
      <c r="B120" s="8"/>
      <c r="C120" s="8"/>
      <c r="D120" s="8"/>
      <c r="E120" s="8"/>
    </row>
    <row r="121" ht="15.75" customHeight="1">
      <c r="A121" s="8"/>
      <c r="B121" s="8"/>
      <c r="C121" s="8"/>
      <c r="D121" s="8"/>
      <c r="E121" s="8"/>
    </row>
    <row r="122" ht="15.75" customHeight="1">
      <c r="A122" s="8"/>
      <c r="B122" s="8"/>
      <c r="C122" s="8"/>
      <c r="D122" s="8"/>
      <c r="E122" s="8"/>
    </row>
    <row r="123" ht="15.75" customHeight="1">
      <c r="A123" s="8"/>
      <c r="B123" s="8"/>
      <c r="C123" s="8"/>
      <c r="D123" s="8"/>
      <c r="E123" s="8"/>
    </row>
    <row r="124" ht="15.75" customHeight="1">
      <c r="A124" s="8"/>
      <c r="B124" s="8"/>
      <c r="C124" s="8"/>
      <c r="D124" s="8"/>
      <c r="E124" s="8"/>
    </row>
    <row r="125" ht="15.75" customHeight="1">
      <c r="A125" s="8"/>
      <c r="B125" s="8"/>
      <c r="C125" s="8"/>
      <c r="D125" s="8"/>
      <c r="E125" s="8"/>
    </row>
    <row r="126" ht="15.75" customHeight="1">
      <c r="A126" s="8"/>
      <c r="B126" s="8"/>
      <c r="C126" s="8"/>
      <c r="D126" s="8"/>
      <c r="E126" s="8"/>
    </row>
    <row r="127" ht="15.75" customHeight="1">
      <c r="A127" s="8"/>
      <c r="B127" s="8"/>
      <c r="C127" s="8"/>
      <c r="D127" s="8"/>
      <c r="E127" s="8"/>
    </row>
    <row r="128" ht="15.75" customHeight="1">
      <c r="A128" s="8"/>
      <c r="B128" s="8"/>
      <c r="C128" s="8"/>
      <c r="D128" s="8"/>
      <c r="E128" s="8"/>
    </row>
    <row r="129" ht="15.75" customHeight="1">
      <c r="A129" s="8"/>
      <c r="B129" s="8"/>
      <c r="C129" s="8"/>
      <c r="D129" s="8"/>
      <c r="E129" s="8"/>
    </row>
    <row r="130" ht="15.75" customHeight="1">
      <c r="A130" s="8"/>
      <c r="B130" s="8"/>
      <c r="C130" s="8"/>
      <c r="D130" s="8"/>
      <c r="E130" s="8"/>
    </row>
    <row r="131" ht="15.75" customHeight="1">
      <c r="A131" s="8"/>
      <c r="B131" s="8"/>
      <c r="C131" s="8"/>
      <c r="D131" s="8"/>
      <c r="E131" s="8"/>
    </row>
    <row r="132" ht="15.75" customHeight="1">
      <c r="A132" s="8"/>
      <c r="B132" s="8"/>
      <c r="C132" s="8"/>
      <c r="D132" s="8"/>
      <c r="E132" s="8"/>
    </row>
    <row r="133" ht="15.75" customHeight="1">
      <c r="A133" s="8"/>
      <c r="B133" s="8"/>
      <c r="C133" s="8"/>
      <c r="D133" s="8"/>
      <c r="E133" s="8"/>
    </row>
    <row r="134" ht="15.75" customHeight="1">
      <c r="A134" s="8"/>
      <c r="B134" s="8"/>
      <c r="C134" s="8"/>
      <c r="D134" s="8"/>
      <c r="E134" s="8"/>
    </row>
    <row r="135" ht="15.75" customHeight="1">
      <c r="A135" s="8"/>
      <c r="B135" s="8"/>
      <c r="C135" s="8"/>
      <c r="D135" s="8"/>
      <c r="E135" s="8"/>
    </row>
    <row r="136" ht="15.75" customHeight="1">
      <c r="A136" s="8"/>
      <c r="B136" s="8"/>
      <c r="C136" s="8"/>
      <c r="D136" s="8"/>
      <c r="E136" s="8"/>
    </row>
    <row r="137" ht="15.75" customHeight="1">
      <c r="A137" s="8"/>
      <c r="B137" s="8"/>
      <c r="C137" s="8"/>
      <c r="D137" s="8"/>
      <c r="E137" s="8"/>
    </row>
    <row r="138" ht="15.75" customHeight="1">
      <c r="A138" s="8"/>
      <c r="B138" s="8"/>
      <c r="C138" s="8"/>
      <c r="D138" s="8"/>
      <c r="E138" s="8"/>
    </row>
    <row r="139" ht="15.75" customHeight="1">
      <c r="A139" s="8"/>
      <c r="B139" s="8"/>
      <c r="C139" s="8"/>
      <c r="D139" s="8"/>
      <c r="E139" s="8"/>
    </row>
    <row r="140" ht="15.75" customHeight="1">
      <c r="A140" s="8"/>
      <c r="B140" s="8"/>
      <c r="C140" s="8"/>
      <c r="D140" s="8"/>
      <c r="E140" s="8"/>
    </row>
    <row r="141" ht="15.75" customHeight="1">
      <c r="A141" s="8"/>
      <c r="B141" s="8"/>
      <c r="C141" s="8"/>
      <c r="D141" s="8"/>
      <c r="E141" s="8"/>
    </row>
    <row r="142" ht="15.75" customHeight="1">
      <c r="A142" s="8"/>
      <c r="B142" s="8"/>
      <c r="C142" s="8"/>
      <c r="D142" s="8"/>
      <c r="E142" s="8"/>
    </row>
    <row r="143" ht="15.75" customHeight="1">
      <c r="A143" s="8"/>
      <c r="B143" s="8"/>
      <c r="C143" s="8"/>
      <c r="D143" s="8"/>
      <c r="E143" s="8"/>
    </row>
    <row r="144" ht="15.75" customHeight="1">
      <c r="A144" s="8"/>
      <c r="B144" s="8"/>
      <c r="C144" s="8"/>
      <c r="D144" s="8"/>
      <c r="E144" s="8"/>
    </row>
    <row r="145" ht="15.75" customHeight="1">
      <c r="A145" s="8"/>
      <c r="B145" s="8"/>
      <c r="C145" s="8"/>
      <c r="D145" s="8"/>
      <c r="E145" s="8"/>
    </row>
    <row r="146" ht="15.75" customHeight="1">
      <c r="A146" s="8"/>
      <c r="B146" s="8"/>
      <c r="C146" s="8"/>
      <c r="D146" s="8"/>
      <c r="E146" s="8"/>
    </row>
    <row r="147" ht="15.75" customHeight="1">
      <c r="A147" s="8"/>
      <c r="B147" s="8"/>
      <c r="C147" s="8"/>
      <c r="D147" s="8"/>
      <c r="E147" s="8"/>
    </row>
    <row r="148" ht="15.75" customHeight="1">
      <c r="A148" s="8"/>
      <c r="B148" s="8"/>
      <c r="C148" s="8"/>
      <c r="D148" s="8"/>
      <c r="E148" s="8"/>
    </row>
    <row r="149" ht="15.75" customHeight="1">
      <c r="A149" s="8"/>
      <c r="B149" s="8"/>
      <c r="C149" s="8"/>
      <c r="D149" s="8"/>
      <c r="E149" s="8"/>
    </row>
    <row r="150" ht="15.75" customHeight="1">
      <c r="A150" s="8"/>
      <c r="B150" s="8"/>
      <c r="C150" s="8"/>
      <c r="D150" s="8"/>
      <c r="E150" s="8"/>
    </row>
    <row r="151" ht="15.75" customHeight="1">
      <c r="A151" s="8"/>
      <c r="B151" s="8"/>
      <c r="C151" s="8"/>
      <c r="D151" s="8"/>
      <c r="E151" s="8"/>
    </row>
    <row r="152" ht="15.75" customHeight="1">
      <c r="A152" s="8"/>
      <c r="B152" s="8"/>
      <c r="C152" s="8"/>
      <c r="D152" s="8"/>
      <c r="E152" s="8"/>
    </row>
    <row r="153" ht="15.75" customHeight="1">
      <c r="A153" s="8"/>
      <c r="B153" s="8"/>
      <c r="C153" s="8"/>
      <c r="D153" s="8"/>
      <c r="E153" s="8"/>
    </row>
    <row r="154" ht="15.75" customHeight="1">
      <c r="A154" s="8"/>
      <c r="B154" s="8"/>
      <c r="C154" s="8"/>
      <c r="D154" s="8"/>
      <c r="E154" s="8"/>
    </row>
    <row r="155" ht="15.75" customHeight="1">
      <c r="A155" s="8"/>
      <c r="B155" s="8"/>
      <c r="C155" s="8"/>
      <c r="D155" s="8"/>
      <c r="E155" s="8"/>
    </row>
    <row r="156" ht="15.75" customHeight="1">
      <c r="A156" s="8"/>
      <c r="B156" s="8"/>
      <c r="C156" s="8"/>
      <c r="D156" s="8"/>
      <c r="E156" s="8"/>
    </row>
    <row r="157" ht="15.75" customHeight="1">
      <c r="A157" s="8"/>
      <c r="B157" s="8"/>
      <c r="C157" s="8"/>
      <c r="D157" s="8"/>
      <c r="E157" s="8"/>
    </row>
    <row r="158" ht="15.75" customHeight="1">
      <c r="A158" s="8"/>
      <c r="B158" s="8"/>
      <c r="C158" s="8"/>
      <c r="D158" s="8"/>
      <c r="E158" s="8"/>
    </row>
    <row r="159" ht="15.75" customHeight="1">
      <c r="A159" s="8"/>
      <c r="B159" s="8"/>
      <c r="C159" s="8"/>
      <c r="D159" s="8"/>
      <c r="E159" s="8"/>
    </row>
    <row r="160" ht="15.75" customHeight="1">
      <c r="A160" s="8"/>
      <c r="B160" s="8"/>
      <c r="C160" s="8"/>
      <c r="D160" s="8"/>
      <c r="E160" s="8"/>
    </row>
    <row r="161" ht="15.75" customHeight="1">
      <c r="A161" s="8"/>
      <c r="B161" s="8"/>
      <c r="C161" s="8"/>
      <c r="D161" s="8"/>
      <c r="E161" s="8"/>
    </row>
    <row r="162" ht="15.75" customHeight="1">
      <c r="A162" s="8"/>
      <c r="B162" s="8"/>
      <c r="C162" s="8"/>
      <c r="D162" s="8"/>
      <c r="E162" s="8"/>
    </row>
    <row r="163" ht="15.75" customHeight="1">
      <c r="A163" s="8"/>
      <c r="B163" s="8"/>
      <c r="C163" s="8"/>
      <c r="D163" s="8"/>
      <c r="E163" s="8"/>
    </row>
    <row r="164" ht="15.75" customHeight="1">
      <c r="A164" s="8"/>
      <c r="B164" s="8"/>
      <c r="C164" s="8"/>
      <c r="D164" s="8"/>
      <c r="E164" s="8"/>
    </row>
    <row r="165" ht="15.75" customHeight="1">
      <c r="A165" s="8"/>
      <c r="B165" s="8"/>
      <c r="C165" s="8"/>
      <c r="D165" s="8"/>
      <c r="E165" s="8"/>
    </row>
    <row r="166" ht="15.75" customHeight="1">
      <c r="A166" s="8"/>
      <c r="B166" s="8"/>
      <c r="C166" s="8"/>
      <c r="D166" s="8"/>
      <c r="E166" s="8"/>
    </row>
    <row r="167" ht="15.75" customHeight="1">
      <c r="A167" s="8"/>
      <c r="B167" s="8"/>
      <c r="C167" s="8"/>
      <c r="D167" s="8"/>
      <c r="E167" s="8"/>
    </row>
    <row r="168" ht="15.75" customHeight="1">
      <c r="A168" s="8"/>
      <c r="B168" s="8"/>
      <c r="C168" s="8"/>
      <c r="D168" s="8"/>
      <c r="E168" s="8"/>
    </row>
    <row r="169" ht="15.75" customHeight="1">
      <c r="A169" s="8"/>
      <c r="B169" s="8"/>
      <c r="C169" s="8"/>
      <c r="D169" s="8"/>
      <c r="E169" s="8"/>
    </row>
    <row r="170" ht="15.75" customHeight="1">
      <c r="A170" s="8"/>
      <c r="B170" s="8"/>
      <c r="C170" s="8"/>
      <c r="D170" s="8"/>
      <c r="E170" s="8"/>
    </row>
    <row r="171" ht="15.75" customHeight="1">
      <c r="A171" s="8"/>
      <c r="B171" s="8"/>
      <c r="C171" s="8"/>
      <c r="D171" s="8"/>
      <c r="E171" s="8"/>
    </row>
    <row r="172" ht="15.75" customHeight="1">
      <c r="A172" s="8"/>
      <c r="B172" s="8"/>
      <c r="C172" s="8"/>
      <c r="D172" s="8"/>
      <c r="E172" s="8"/>
    </row>
    <row r="173" ht="15.75" customHeight="1">
      <c r="A173" s="8"/>
      <c r="B173" s="8"/>
      <c r="C173" s="8"/>
      <c r="D173" s="8"/>
      <c r="E173" s="8"/>
    </row>
    <row r="174" ht="15.75" customHeight="1">
      <c r="A174" s="8"/>
      <c r="B174" s="8"/>
      <c r="C174" s="8"/>
      <c r="D174" s="8"/>
      <c r="E174" s="8"/>
    </row>
    <row r="175" ht="15.75" customHeight="1">
      <c r="A175" s="8"/>
      <c r="B175" s="8"/>
      <c r="C175" s="8"/>
      <c r="D175" s="8"/>
      <c r="E175" s="8"/>
    </row>
    <row r="176" ht="15.75" customHeight="1">
      <c r="A176" s="8"/>
      <c r="B176" s="8"/>
      <c r="C176" s="8"/>
      <c r="D176" s="8"/>
      <c r="E176" s="8"/>
    </row>
    <row r="177" ht="15.75" customHeight="1">
      <c r="A177" s="8"/>
      <c r="B177" s="8"/>
      <c r="C177" s="8"/>
      <c r="D177" s="8"/>
      <c r="E177" s="8"/>
    </row>
    <row r="178" ht="15.75" customHeight="1">
      <c r="A178" s="8"/>
      <c r="B178" s="8"/>
      <c r="C178" s="8"/>
      <c r="D178" s="8"/>
      <c r="E178" s="8"/>
    </row>
    <row r="179" ht="15.75" customHeight="1">
      <c r="A179" s="8"/>
      <c r="B179" s="8"/>
      <c r="C179" s="8"/>
      <c r="D179" s="8"/>
      <c r="E179" s="8"/>
    </row>
    <row r="180" ht="15.75" customHeight="1">
      <c r="A180" s="8"/>
      <c r="B180" s="8"/>
      <c r="C180" s="8"/>
      <c r="D180" s="8"/>
      <c r="E180" s="8"/>
    </row>
    <row r="181" ht="15.75" customHeight="1">
      <c r="A181" s="8"/>
      <c r="B181" s="8"/>
      <c r="C181" s="8"/>
      <c r="D181" s="8"/>
      <c r="E181" s="8"/>
    </row>
    <row r="182" ht="15.75" customHeight="1">
      <c r="A182" s="8"/>
      <c r="B182" s="8"/>
      <c r="C182" s="8"/>
      <c r="D182" s="8"/>
      <c r="E182" s="8"/>
    </row>
    <row r="183" ht="15.75" customHeight="1">
      <c r="A183" s="8"/>
      <c r="B183" s="8"/>
      <c r="C183" s="8"/>
      <c r="D183" s="8"/>
      <c r="E183" s="8"/>
    </row>
    <row r="184" ht="15.75" customHeight="1">
      <c r="A184" s="8"/>
      <c r="B184" s="8"/>
      <c r="C184" s="8"/>
      <c r="D184" s="8"/>
      <c r="E184" s="8"/>
    </row>
    <row r="185" ht="15.75" customHeight="1">
      <c r="A185" s="8"/>
      <c r="B185" s="8"/>
      <c r="C185" s="8"/>
      <c r="D185" s="8"/>
      <c r="E185" s="8"/>
    </row>
    <row r="186" ht="15.75" customHeight="1">
      <c r="A186" s="8"/>
      <c r="B186" s="8"/>
      <c r="C186" s="8"/>
      <c r="D186" s="8"/>
      <c r="E186" s="8"/>
    </row>
    <row r="187" ht="15.75" customHeight="1">
      <c r="A187" s="8"/>
      <c r="B187" s="8"/>
      <c r="C187" s="8"/>
      <c r="D187" s="8"/>
      <c r="E187" s="8"/>
    </row>
    <row r="188" ht="15.75" customHeight="1">
      <c r="A188" s="8"/>
      <c r="B188" s="8"/>
      <c r="C188" s="8"/>
      <c r="D188" s="8"/>
      <c r="E188" s="8"/>
    </row>
    <row r="189" ht="15.75" customHeight="1">
      <c r="A189" s="8"/>
      <c r="B189" s="8"/>
      <c r="C189" s="8"/>
      <c r="D189" s="8"/>
      <c r="E189" s="8"/>
    </row>
    <row r="190" ht="15.75" customHeight="1">
      <c r="A190" s="8"/>
      <c r="B190" s="8"/>
      <c r="C190" s="8"/>
      <c r="D190" s="8"/>
      <c r="E190" s="8"/>
    </row>
    <row r="191" ht="15.75" customHeight="1">
      <c r="A191" s="8"/>
      <c r="B191" s="8"/>
      <c r="C191" s="8"/>
      <c r="D191" s="8"/>
      <c r="E191" s="8"/>
    </row>
    <row r="192" ht="15.75" customHeight="1">
      <c r="A192" s="8"/>
      <c r="B192" s="8"/>
      <c r="C192" s="8"/>
      <c r="D192" s="8"/>
      <c r="E192" s="8"/>
    </row>
    <row r="193" ht="15.75" customHeight="1">
      <c r="A193" s="8"/>
      <c r="B193" s="8"/>
      <c r="C193" s="8"/>
      <c r="D193" s="8"/>
      <c r="E193" s="8"/>
    </row>
    <row r="194" ht="15.75" customHeight="1">
      <c r="A194" s="8"/>
      <c r="B194" s="8"/>
      <c r="C194" s="8"/>
      <c r="D194" s="8"/>
      <c r="E194" s="8"/>
    </row>
    <row r="195" ht="15.75" customHeight="1">
      <c r="A195" s="8"/>
      <c r="B195" s="8"/>
      <c r="C195" s="8"/>
      <c r="D195" s="8"/>
      <c r="E195" s="8"/>
    </row>
    <row r="196" ht="15.75" customHeight="1">
      <c r="A196" s="8"/>
      <c r="B196" s="8"/>
      <c r="C196" s="8"/>
      <c r="D196" s="8"/>
      <c r="E196" s="8"/>
    </row>
    <row r="197" ht="15.75" customHeight="1">
      <c r="A197" s="8"/>
      <c r="B197" s="8"/>
      <c r="C197" s="8"/>
      <c r="D197" s="8"/>
      <c r="E197" s="8"/>
    </row>
    <row r="198" ht="15.75" customHeight="1">
      <c r="A198" s="8"/>
      <c r="B198" s="8"/>
      <c r="C198" s="8"/>
      <c r="D198" s="8"/>
      <c r="E198" s="8"/>
    </row>
    <row r="199" ht="15.75" customHeight="1">
      <c r="A199" s="8"/>
      <c r="B199" s="8"/>
      <c r="C199" s="8"/>
      <c r="D199" s="8"/>
      <c r="E199" s="8"/>
    </row>
    <row r="200" ht="15.75" customHeight="1">
      <c r="A200" s="8"/>
      <c r="B200" s="8"/>
      <c r="C200" s="8"/>
      <c r="D200" s="8"/>
      <c r="E200" s="8"/>
    </row>
    <row r="201" ht="15.75" customHeight="1">
      <c r="A201" s="8"/>
      <c r="B201" s="8"/>
      <c r="C201" s="8"/>
      <c r="D201" s="8"/>
      <c r="E201" s="8"/>
    </row>
    <row r="202" ht="15.75" customHeight="1">
      <c r="A202" s="8"/>
      <c r="B202" s="8"/>
      <c r="C202" s="8"/>
      <c r="D202" s="8"/>
      <c r="E202" s="8"/>
    </row>
    <row r="203" ht="15.75" customHeight="1">
      <c r="A203" s="8"/>
      <c r="B203" s="8"/>
      <c r="C203" s="8"/>
      <c r="D203" s="8"/>
      <c r="E203" s="8"/>
    </row>
    <row r="204" ht="15.75" customHeight="1">
      <c r="A204" s="8"/>
      <c r="B204" s="8"/>
      <c r="C204" s="8"/>
      <c r="D204" s="8"/>
      <c r="E204" s="8"/>
    </row>
    <row r="205" ht="15.75" customHeight="1">
      <c r="A205" s="8"/>
      <c r="B205" s="8"/>
      <c r="C205" s="8"/>
      <c r="D205" s="8"/>
      <c r="E205" s="8"/>
    </row>
    <row r="206" ht="15.75" customHeight="1">
      <c r="A206" s="8"/>
      <c r="B206" s="8"/>
      <c r="C206" s="8"/>
      <c r="D206" s="8"/>
      <c r="E206" s="8"/>
    </row>
    <row r="207" ht="15.75" customHeight="1">
      <c r="A207" s="8"/>
      <c r="B207" s="8"/>
      <c r="C207" s="8"/>
      <c r="D207" s="8"/>
      <c r="E207" s="8"/>
    </row>
    <row r="208" ht="15.75" customHeight="1">
      <c r="A208" s="8"/>
      <c r="B208" s="8"/>
      <c r="C208" s="8"/>
      <c r="D208" s="8"/>
      <c r="E208" s="8"/>
    </row>
    <row r="209" ht="15.75" customHeight="1">
      <c r="A209" s="8"/>
      <c r="B209" s="8"/>
      <c r="C209" s="8"/>
      <c r="D209" s="8"/>
      <c r="E209" s="8"/>
    </row>
    <row r="210" ht="15.75" customHeight="1">
      <c r="A210" s="8"/>
      <c r="B210" s="8"/>
      <c r="C210" s="8"/>
      <c r="D210" s="8"/>
      <c r="E210" s="8"/>
    </row>
    <row r="211" ht="15.75" customHeight="1">
      <c r="A211" s="8"/>
      <c r="B211" s="8"/>
      <c r="C211" s="8"/>
      <c r="D211" s="8"/>
      <c r="E211" s="8"/>
    </row>
    <row r="212" ht="15.75" customHeight="1">
      <c r="A212" s="8"/>
      <c r="B212" s="8"/>
      <c r="C212" s="8"/>
      <c r="D212" s="8"/>
      <c r="E212" s="8"/>
    </row>
    <row r="213" ht="15.75" customHeight="1">
      <c r="A213" s="8"/>
      <c r="B213" s="8"/>
      <c r="C213" s="8"/>
      <c r="D213" s="8"/>
      <c r="E213" s="8"/>
    </row>
    <row r="214" ht="15.75" customHeight="1">
      <c r="A214" s="8"/>
      <c r="B214" s="8"/>
      <c r="C214" s="8"/>
      <c r="D214" s="8"/>
      <c r="E214" s="8"/>
    </row>
    <row r="215" ht="15.75" customHeight="1">
      <c r="A215" s="8"/>
      <c r="B215" s="8"/>
      <c r="C215" s="8"/>
      <c r="D215" s="8"/>
      <c r="E215" s="8"/>
    </row>
    <row r="216" ht="15.75" customHeight="1">
      <c r="A216" s="8"/>
      <c r="B216" s="8"/>
      <c r="C216" s="8"/>
      <c r="D216" s="8"/>
      <c r="E216" s="8"/>
    </row>
    <row r="217" ht="15.75" customHeight="1">
      <c r="A217" s="8"/>
      <c r="B217" s="8"/>
      <c r="C217" s="8"/>
      <c r="D217" s="8"/>
      <c r="E217" s="8"/>
    </row>
    <row r="218" ht="15.75" customHeight="1">
      <c r="A218" s="8"/>
      <c r="B218" s="8"/>
      <c r="C218" s="8"/>
      <c r="D218" s="8"/>
      <c r="E218" s="8"/>
    </row>
    <row r="219" ht="15.75" customHeight="1">
      <c r="A219" s="8"/>
      <c r="B219" s="8"/>
      <c r="C219" s="8"/>
      <c r="D219" s="8"/>
      <c r="E219" s="8"/>
    </row>
    <row r="220" ht="15.75" customHeight="1">
      <c r="A220" s="8"/>
      <c r="B220" s="8"/>
      <c r="C220" s="8"/>
      <c r="D220" s="8"/>
      <c r="E220" s="8"/>
    </row>
    <row r="221" ht="15.75" customHeight="1">
      <c r="A221" s="8"/>
      <c r="B221" s="8"/>
      <c r="C221" s="8"/>
      <c r="D221" s="8"/>
      <c r="E221" s="8"/>
    </row>
    <row r="222" ht="15.75" customHeight="1">
      <c r="A222" s="8"/>
      <c r="B222" s="8"/>
      <c r="C222" s="8"/>
      <c r="D222" s="8"/>
      <c r="E222" s="8"/>
    </row>
    <row r="223" ht="15.75" customHeight="1">
      <c r="A223" s="8"/>
      <c r="B223" s="8"/>
      <c r="C223" s="8"/>
      <c r="D223" s="8"/>
      <c r="E223" s="8"/>
    </row>
    <row r="224" ht="15.75" customHeight="1">
      <c r="A224" s="8"/>
      <c r="B224" s="8"/>
      <c r="C224" s="8"/>
      <c r="D224" s="8"/>
      <c r="E224" s="8"/>
    </row>
    <row r="225" ht="15.75" customHeight="1">
      <c r="A225" s="8"/>
      <c r="B225" s="8"/>
      <c r="C225" s="8"/>
      <c r="D225" s="8"/>
      <c r="E225" s="8"/>
    </row>
    <row r="226" ht="15.75" customHeight="1">
      <c r="A226" s="8"/>
      <c r="B226" s="8"/>
      <c r="C226" s="8"/>
      <c r="D226" s="8"/>
      <c r="E226" s="8"/>
    </row>
    <row r="227" ht="15.75" customHeight="1">
      <c r="A227" s="8"/>
      <c r="B227" s="8"/>
      <c r="C227" s="8"/>
      <c r="D227" s="8"/>
      <c r="E227" s="8"/>
    </row>
    <row r="228" ht="15.75" customHeight="1">
      <c r="A228" s="8"/>
      <c r="B228" s="8"/>
      <c r="C228" s="8"/>
      <c r="D228" s="8"/>
      <c r="E228" s="8"/>
    </row>
    <row r="229" ht="15.75" customHeight="1">
      <c r="A229" s="8"/>
      <c r="B229" s="8"/>
      <c r="C229" s="8"/>
      <c r="D229" s="8"/>
      <c r="E229" s="8"/>
    </row>
    <row r="230" ht="15.75" customHeight="1">
      <c r="A230" s="8"/>
      <c r="B230" s="8"/>
      <c r="C230" s="8"/>
      <c r="D230" s="8"/>
      <c r="E230" s="8"/>
    </row>
    <row r="231" ht="15.75" customHeight="1">
      <c r="A231" s="8"/>
      <c r="B231" s="8"/>
      <c r="C231" s="8"/>
      <c r="D231" s="8"/>
      <c r="E231" s="8"/>
    </row>
    <row r="232" ht="15.75" customHeight="1">
      <c r="A232" s="8"/>
      <c r="B232" s="8"/>
      <c r="C232" s="8"/>
      <c r="D232" s="8"/>
      <c r="E232" s="8"/>
    </row>
    <row r="233" ht="15.75" customHeight="1">
      <c r="A233" s="8"/>
      <c r="B233" s="8"/>
      <c r="C233" s="8"/>
      <c r="D233" s="8"/>
      <c r="E233" s="8"/>
    </row>
    <row r="234" ht="15.75" customHeight="1">
      <c r="A234" s="8"/>
      <c r="B234" s="8"/>
      <c r="C234" s="8"/>
      <c r="D234" s="8"/>
      <c r="E234" s="8"/>
    </row>
    <row r="235" ht="15.75" customHeight="1">
      <c r="A235" s="8"/>
      <c r="B235" s="8"/>
      <c r="C235" s="8"/>
      <c r="D235" s="8"/>
      <c r="E235" s="8"/>
    </row>
    <row r="236" ht="15.75" customHeight="1">
      <c r="A236" s="8"/>
      <c r="B236" s="8"/>
      <c r="C236" s="8"/>
      <c r="D236" s="8"/>
      <c r="E236" s="8"/>
    </row>
    <row r="237" ht="15.75" customHeight="1">
      <c r="A237" s="8"/>
      <c r="B237" s="8"/>
      <c r="C237" s="8"/>
      <c r="D237" s="8"/>
      <c r="E237" s="8"/>
    </row>
    <row r="238" ht="15.75" customHeight="1">
      <c r="A238" s="8"/>
      <c r="B238" s="8"/>
      <c r="C238" s="8"/>
      <c r="D238" s="8"/>
      <c r="E238" s="8"/>
    </row>
    <row r="239" ht="15.75" customHeight="1">
      <c r="A239" s="8"/>
      <c r="B239" s="8"/>
      <c r="C239" s="8"/>
      <c r="D239" s="8"/>
      <c r="E239" s="8"/>
    </row>
    <row r="240" ht="15.75" customHeight="1">
      <c r="A240" s="8"/>
      <c r="B240" s="8"/>
      <c r="C240" s="8"/>
      <c r="D240" s="8"/>
      <c r="E240" s="8"/>
    </row>
    <row r="241" ht="15.75" customHeight="1">
      <c r="A241" s="8"/>
      <c r="B241" s="8"/>
      <c r="C241" s="8"/>
      <c r="D241" s="8"/>
      <c r="E241" s="8"/>
    </row>
    <row r="242" ht="15.75" customHeight="1">
      <c r="A242" s="8"/>
      <c r="B242" s="8"/>
      <c r="C242" s="8"/>
      <c r="D242" s="8"/>
      <c r="E242" s="8"/>
    </row>
    <row r="243" ht="15.75" customHeight="1">
      <c r="A243" s="8"/>
      <c r="B243" s="8"/>
      <c r="C243" s="8"/>
      <c r="D243" s="8"/>
      <c r="E243" s="8"/>
    </row>
    <row r="244" ht="15.75" customHeight="1">
      <c r="A244" s="8"/>
      <c r="B244" s="8"/>
      <c r="C244" s="8"/>
      <c r="D244" s="8"/>
      <c r="E244" s="8"/>
    </row>
    <row r="245" ht="15.75" customHeight="1">
      <c r="A245" s="8"/>
      <c r="B245" s="8"/>
      <c r="C245" s="8"/>
      <c r="D245" s="8"/>
      <c r="E245" s="8"/>
    </row>
    <row r="246" ht="15.75" customHeight="1">
      <c r="A246" s="8"/>
      <c r="B246" s="8"/>
      <c r="C246" s="8"/>
      <c r="D246" s="8"/>
      <c r="E246" s="8"/>
    </row>
    <row r="247" ht="15.75" customHeight="1">
      <c r="A247" s="8"/>
      <c r="B247" s="8"/>
      <c r="C247" s="8"/>
      <c r="D247" s="8"/>
      <c r="E247" s="8"/>
    </row>
    <row r="248" ht="15.75" customHeight="1">
      <c r="A248" s="8"/>
      <c r="B248" s="8"/>
      <c r="C248" s="8"/>
      <c r="D248" s="8"/>
      <c r="E248" s="8"/>
    </row>
    <row r="249" ht="15.75" customHeight="1">
      <c r="A249" s="8"/>
      <c r="B249" s="8"/>
      <c r="C249" s="8"/>
      <c r="D249" s="8"/>
      <c r="E249" s="8"/>
    </row>
    <row r="250" ht="15.75" customHeight="1">
      <c r="A250" s="8"/>
      <c r="B250" s="8"/>
      <c r="C250" s="8"/>
      <c r="D250" s="8"/>
      <c r="E250" s="8"/>
    </row>
    <row r="251" ht="15.75" customHeight="1">
      <c r="A251" s="8"/>
      <c r="B251" s="8"/>
      <c r="C251" s="8"/>
      <c r="D251" s="8"/>
      <c r="E251" s="8"/>
    </row>
    <row r="252" ht="15.75" customHeight="1">
      <c r="A252" s="8"/>
      <c r="B252" s="8"/>
      <c r="C252" s="8"/>
      <c r="D252" s="8"/>
      <c r="E252" s="8"/>
    </row>
    <row r="253" ht="15.75" customHeight="1">
      <c r="A253" s="8"/>
      <c r="B253" s="8"/>
      <c r="C253" s="8"/>
      <c r="D253" s="8"/>
      <c r="E253" s="8"/>
    </row>
    <row r="254" ht="15.75" customHeight="1">
      <c r="A254" s="8"/>
      <c r="B254" s="8"/>
      <c r="C254" s="8"/>
      <c r="D254" s="8"/>
      <c r="E254" s="8"/>
    </row>
    <row r="255" ht="15.75" customHeight="1">
      <c r="A255" s="8"/>
      <c r="B255" s="8"/>
      <c r="C255" s="8"/>
      <c r="D255" s="8"/>
      <c r="E255" s="8"/>
    </row>
    <row r="256" ht="15.75" customHeight="1">
      <c r="A256" s="8"/>
      <c r="B256" s="8"/>
      <c r="C256" s="8"/>
      <c r="D256" s="8"/>
      <c r="E256" s="8"/>
    </row>
    <row r="257" ht="15.75" customHeight="1">
      <c r="A257" s="8"/>
      <c r="B257" s="8"/>
      <c r="C257" s="8"/>
      <c r="D257" s="8"/>
      <c r="E257" s="8"/>
    </row>
    <row r="258" ht="15.75" customHeight="1">
      <c r="A258" s="8"/>
      <c r="B258" s="8"/>
      <c r="C258" s="8"/>
      <c r="D258" s="8"/>
      <c r="E258" s="8"/>
    </row>
    <row r="259" ht="15.75" customHeight="1">
      <c r="A259" s="8"/>
      <c r="B259" s="8"/>
      <c r="C259" s="8"/>
      <c r="D259" s="8"/>
      <c r="E259" s="8"/>
    </row>
    <row r="260" ht="15.75" customHeight="1">
      <c r="A260" s="8"/>
      <c r="B260" s="8"/>
      <c r="C260" s="8"/>
      <c r="D260" s="8"/>
      <c r="E260" s="8"/>
    </row>
    <row r="261" ht="15.75" customHeight="1">
      <c r="A261" s="8"/>
      <c r="B261" s="8"/>
      <c r="C261" s="8"/>
      <c r="D261" s="8"/>
      <c r="E261" s="8"/>
    </row>
    <row r="262" ht="15.75" customHeight="1">
      <c r="A262" s="8"/>
      <c r="B262" s="8"/>
      <c r="C262" s="8"/>
      <c r="D262" s="8"/>
      <c r="E262" s="8"/>
    </row>
    <row r="263" ht="15.75" customHeight="1">
      <c r="A263" s="8"/>
      <c r="B263" s="8"/>
      <c r="C263" s="8"/>
      <c r="D263" s="8"/>
      <c r="E263" s="8"/>
    </row>
    <row r="264" ht="15.75" customHeight="1">
      <c r="A264" s="8"/>
      <c r="B264" s="8"/>
      <c r="C264" s="8"/>
      <c r="D264" s="8"/>
      <c r="E264" s="8"/>
    </row>
    <row r="265" ht="15.75" customHeight="1">
      <c r="A265" s="8"/>
      <c r="B265" s="8"/>
      <c r="C265" s="8"/>
      <c r="D265" s="8"/>
      <c r="E265" s="8"/>
    </row>
    <row r="266" ht="15.75" customHeight="1">
      <c r="A266" s="8"/>
      <c r="B266" s="8"/>
      <c r="C266" s="8"/>
      <c r="D266" s="8"/>
      <c r="E266" s="8"/>
    </row>
    <row r="267" ht="15.75" customHeight="1">
      <c r="A267" s="8"/>
      <c r="B267" s="8"/>
      <c r="C267" s="8"/>
      <c r="D267" s="8"/>
      <c r="E267" s="8"/>
    </row>
    <row r="268" ht="15.75" customHeight="1">
      <c r="A268" s="8"/>
      <c r="B268" s="8"/>
      <c r="C268" s="8"/>
      <c r="D268" s="8"/>
      <c r="E268" s="8"/>
    </row>
    <row r="269" ht="15.75" customHeight="1">
      <c r="A269" s="8"/>
      <c r="B269" s="8"/>
      <c r="C269" s="8"/>
      <c r="D269" s="8"/>
      <c r="E269" s="8"/>
    </row>
    <row r="270" ht="15.75" customHeight="1">
      <c r="A270" s="8"/>
      <c r="B270" s="8"/>
      <c r="C270" s="8"/>
      <c r="D270" s="8"/>
      <c r="E270" s="8"/>
    </row>
    <row r="271" ht="15.75" customHeight="1">
      <c r="A271" s="8"/>
      <c r="B271" s="8"/>
      <c r="C271" s="8"/>
      <c r="D271" s="8"/>
      <c r="E271" s="8"/>
    </row>
    <row r="272" ht="15.75" customHeight="1">
      <c r="A272" s="8"/>
      <c r="B272" s="8"/>
      <c r="C272" s="8"/>
      <c r="D272" s="8"/>
      <c r="E272" s="8"/>
    </row>
    <row r="273" ht="15.75" customHeight="1">
      <c r="A273" s="8"/>
      <c r="B273" s="8"/>
      <c r="C273" s="8"/>
      <c r="D273" s="8"/>
      <c r="E273" s="8"/>
    </row>
    <row r="274" ht="15.75" customHeight="1">
      <c r="A274" s="8"/>
      <c r="B274" s="8"/>
      <c r="C274" s="8"/>
      <c r="D274" s="8"/>
      <c r="E274" s="8"/>
    </row>
    <row r="275" ht="15.75" customHeight="1">
      <c r="A275" s="8"/>
      <c r="B275" s="8"/>
      <c r="C275" s="8"/>
      <c r="D275" s="8"/>
      <c r="E275" s="8"/>
    </row>
    <row r="276" ht="15.75" customHeight="1">
      <c r="A276" s="8"/>
      <c r="B276" s="8"/>
      <c r="C276" s="8"/>
      <c r="D276" s="8"/>
      <c r="E276" s="8"/>
    </row>
    <row r="277" ht="15.75" customHeight="1">
      <c r="A277" s="8"/>
      <c r="B277" s="8"/>
      <c r="C277" s="8"/>
      <c r="D277" s="8"/>
      <c r="E277" s="8"/>
    </row>
    <row r="278" ht="15.75" customHeight="1">
      <c r="A278" s="8"/>
      <c r="B278" s="8"/>
      <c r="C278" s="8"/>
      <c r="D278" s="8"/>
      <c r="E278" s="8"/>
    </row>
    <row r="279" ht="15.75" customHeight="1">
      <c r="A279" s="8"/>
      <c r="B279" s="8"/>
      <c r="C279" s="8"/>
      <c r="D279" s="8"/>
      <c r="E279" s="8"/>
    </row>
    <row r="280" ht="15.75" customHeight="1">
      <c r="A280" s="8"/>
      <c r="B280" s="8"/>
      <c r="C280" s="8"/>
      <c r="D280" s="8"/>
      <c r="E280" s="8"/>
    </row>
    <row r="281" ht="15.75" customHeight="1">
      <c r="A281" s="8"/>
      <c r="B281" s="8"/>
      <c r="C281" s="8"/>
      <c r="D281" s="8"/>
      <c r="E281" s="8"/>
    </row>
    <row r="282" ht="15.75" customHeight="1">
      <c r="A282" s="8"/>
      <c r="B282" s="8"/>
      <c r="C282" s="8"/>
      <c r="D282" s="8"/>
      <c r="E282" s="8"/>
    </row>
    <row r="283" ht="15.75" customHeight="1">
      <c r="A283" s="8"/>
      <c r="B283" s="8"/>
      <c r="C283" s="8"/>
      <c r="D283" s="8"/>
      <c r="E283" s="8"/>
    </row>
    <row r="284" ht="15.75" customHeight="1">
      <c r="A284" s="8"/>
      <c r="B284" s="8"/>
      <c r="C284" s="8"/>
      <c r="D284" s="8"/>
      <c r="E284" s="8"/>
    </row>
    <row r="285" ht="15.75" customHeight="1">
      <c r="A285" s="8"/>
      <c r="B285" s="8"/>
      <c r="C285" s="8"/>
      <c r="D285" s="8"/>
      <c r="E285" s="8"/>
    </row>
    <row r="286" ht="15.75" customHeight="1">
      <c r="A286" s="8"/>
      <c r="B286" s="8"/>
      <c r="C286" s="8"/>
      <c r="D286" s="8"/>
      <c r="E286" s="8"/>
    </row>
    <row r="287" ht="15.75" customHeight="1">
      <c r="A287" s="8"/>
      <c r="B287" s="8"/>
      <c r="C287" s="8"/>
      <c r="D287" s="8"/>
      <c r="E287" s="8"/>
    </row>
    <row r="288" ht="15.75" customHeight="1">
      <c r="A288" s="8"/>
      <c r="B288" s="8"/>
      <c r="C288" s="8"/>
      <c r="D288" s="8"/>
      <c r="E288" s="8"/>
    </row>
    <row r="289" ht="15.75" customHeight="1">
      <c r="A289" s="8"/>
      <c r="B289" s="8"/>
      <c r="C289" s="8"/>
      <c r="D289" s="8"/>
      <c r="E289" s="8"/>
    </row>
    <row r="290" ht="15.75" customHeight="1">
      <c r="A290" s="8"/>
      <c r="B290" s="8"/>
      <c r="C290" s="8"/>
      <c r="D290" s="8"/>
      <c r="E290" s="8"/>
    </row>
    <row r="291" ht="15.75" customHeight="1">
      <c r="A291" s="8"/>
      <c r="B291" s="8"/>
      <c r="C291" s="8"/>
      <c r="D291" s="8"/>
      <c r="E291" s="8"/>
    </row>
    <row r="292" ht="15.75" customHeight="1">
      <c r="A292" s="8"/>
      <c r="B292" s="8"/>
      <c r="C292" s="8"/>
      <c r="D292" s="8"/>
      <c r="E292" s="8"/>
    </row>
    <row r="293" ht="15.75" customHeight="1">
      <c r="A293" s="8"/>
      <c r="B293" s="8"/>
      <c r="C293" s="8"/>
      <c r="D293" s="8"/>
      <c r="E293" s="8"/>
    </row>
    <row r="294" ht="15.75" customHeight="1">
      <c r="A294" s="8"/>
      <c r="B294" s="8"/>
      <c r="C294" s="8"/>
      <c r="D294" s="8"/>
      <c r="E294" s="8"/>
    </row>
    <row r="295" ht="15.75" customHeight="1">
      <c r="A295" s="8"/>
      <c r="B295" s="8"/>
      <c r="C295" s="8"/>
      <c r="D295" s="8"/>
      <c r="E295" s="8"/>
    </row>
    <row r="296" ht="15.75" customHeight="1">
      <c r="A296" s="8"/>
      <c r="B296" s="8"/>
      <c r="C296" s="8"/>
      <c r="D296" s="8"/>
      <c r="E296" s="8"/>
    </row>
    <row r="297" ht="15.75" customHeight="1">
      <c r="A297" s="8"/>
      <c r="B297" s="8"/>
      <c r="C297" s="8"/>
      <c r="D297" s="8"/>
      <c r="E297" s="8"/>
    </row>
    <row r="298" ht="15.75" customHeight="1">
      <c r="A298" s="8"/>
      <c r="B298" s="8"/>
      <c r="C298" s="8"/>
      <c r="D298" s="8"/>
      <c r="E298" s="8"/>
    </row>
    <row r="299" ht="15.75" customHeight="1">
      <c r="A299" s="8"/>
      <c r="B299" s="8"/>
      <c r="C299" s="8"/>
      <c r="D299" s="8"/>
      <c r="E299" s="8"/>
    </row>
    <row r="300" ht="15.75" customHeight="1">
      <c r="A300" s="8"/>
      <c r="B300" s="8"/>
      <c r="C300" s="8"/>
      <c r="D300" s="8"/>
      <c r="E300" s="8"/>
    </row>
    <row r="301" ht="15.75" customHeight="1">
      <c r="A301" s="8"/>
      <c r="B301" s="8"/>
      <c r="C301" s="8"/>
      <c r="D301" s="8"/>
      <c r="E301" s="8"/>
    </row>
    <row r="302" ht="15.75" customHeight="1">
      <c r="A302" s="8"/>
      <c r="B302" s="8"/>
      <c r="C302" s="8"/>
      <c r="D302" s="8"/>
      <c r="E302" s="8"/>
    </row>
    <row r="303" ht="15.75" customHeight="1">
      <c r="A303" s="8"/>
      <c r="B303" s="8"/>
      <c r="C303" s="8"/>
      <c r="D303" s="8"/>
      <c r="E303" s="8"/>
    </row>
    <row r="304" ht="15.75" customHeight="1">
      <c r="A304" s="8"/>
      <c r="B304" s="8"/>
      <c r="C304" s="8"/>
      <c r="D304" s="8"/>
      <c r="E304" s="8"/>
    </row>
    <row r="305" ht="15.75" customHeight="1">
      <c r="A305" s="8"/>
      <c r="B305" s="8"/>
      <c r="C305" s="8"/>
      <c r="D305" s="8"/>
      <c r="E305" s="8"/>
    </row>
    <row r="306" ht="15.75" customHeight="1">
      <c r="A306" s="8"/>
      <c r="B306" s="8"/>
      <c r="C306" s="8"/>
      <c r="D306" s="8"/>
      <c r="E306" s="8"/>
    </row>
    <row r="307" ht="15.75" customHeight="1">
      <c r="A307" s="8"/>
      <c r="B307" s="8"/>
      <c r="C307" s="8"/>
      <c r="D307" s="8"/>
      <c r="E307" s="8"/>
    </row>
    <row r="308" ht="15.75" customHeight="1">
      <c r="A308" s="8"/>
      <c r="B308" s="8"/>
      <c r="C308" s="8"/>
      <c r="D308" s="8"/>
      <c r="E308" s="8"/>
    </row>
    <row r="309" ht="15.75" customHeight="1">
      <c r="A309" s="8"/>
      <c r="B309" s="8"/>
      <c r="C309" s="8"/>
      <c r="D309" s="8"/>
      <c r="E309" s="8"/>
    </row>
    <row r="310" ht="15.75" customHeight="1">
      <c r="A310" s="8"/>
      <c r="B310" s="8"/>
      <c r="C310" s="8"/>
      <c r="D310" s="8"/>
      <c r="E310" s="8"/>
    </row>
    <row r="311" ht="15.75" customHeight="1">
      <c r="A311" s="8"/>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0"/>
    <col customWidth="1" min="2" max="2" width="28.0"/>
    <col customWidth="1" min="3" max="3" width="14.0"/>
    <col customWidth="1" min="4" max="4" width="35.0"/>
    <col customWidth="1" min="5" max="5" width="60.0"/>
    <col customWidth="1" min="6" max="6" width="12.0"/>
    <col customWidth="1" min="7" max="7" width="18.0"/>
    <col customWidth="1" min="8" max="8" width="13.0"/>
    <col customWidth="1" min="9" max="9" width="28.0"/>
    <col customWidth="1" min="10" max="10" width="45.0"/>
    <col customWidth="1" min="11" max="11" width="13.0"/>
    <col customWidth="1" min="12" max="25" width="8.71"/>
  </cols>
  <sheetData>
    <row r="1" ht="21.75" customHeight="1">
      <c r="A1" s="1" t="s">
        <v>0</v>
      </c>
      <c r="B1" s="1" t="s">
        <v>69</v>
      </c>
      <c r="C1" s="1" t="s">
        <v>70</v>
      </c>
      <c r="D1" s="1" t="s">
        <v>71</v>
      </c>
      <c r="E1" s="1" t="s">
        <v>72</v>
      </c>
      <c r="F1" s="1" t="s">
        <v>73</v>
      </c>
      <c r="G1" s="1" t="s">
        <v>74</v>
      </c>
      <c r="H1" s="1" t="s">
        <v>75</v>
      </c>
      <c r="I1" s="1" t="s">
        <v>76</v>
      </c>
      <c r="J1" s="1" t="s">
        <v>77</v>
      </c>
      <c r="K1" s="1" t="s">
        <v>78</v>
      </c>
    </row>
    <row r="2" ht="18.0" customHeight="1">
      <c r="A2" s="9" t="s">
        <v>79</v>
      </c>
      <c r="B2" s="10"/>
      <c r="C2" s="10"/>
      <c r="D2" s="10"/>
      <c r="E2" s="10"/>
      <c r="F2" s="10"/>
      <c r="G2" s="10"/>
      <c r="H2" s="10"/>
      <c r="I2" s="10"/>
      <c r="J2" s="10"/>
      <c r="K2" s="11"/>
    </row>
    <row r="3" ht="79.5" customHeight="1">
      <c r="A3" s="12" t="s">
        <v>5</v>
      </c>
      <c r="B3" s="13" t="s">
        <v>6</v>
      </c>
      <c r="C3" s="12" t="s">
        <v>80</v>
      </c>
      <c r="D3" s="13" t="s">
        <v>81</v>
      </c>
      <c r="E3" s="13" t="s">
        <v>82</v>
      </c>
      <c r="F3" s="14" t="s">
        <v>83</v>
      </c>
      <c r="G3" s="15" t="s">
        <v>84</v>
      </c>
      <c r="H3" s="16" t="s">
        <v>85</v>
      </c>
      <c r="I3" s="13" t="s">
        <v>86</v>
      </c>
      <c r="J3" s="13" t="s">
        <v>87</v>
      </c>
      <c r="K3" s="17">
        <f t="shared" ref="K3:K6" si="1">IF(H3="Done",1,IF(H3="In Progress",0.5,IF(H3="In Review",0.75,0)))</f>
        <v>1</v>
      </c>
    </row>
    <row r="4" ht="79.5" customHeight="1">
      <c r="A4" s="12" t="s">
        <v>5</v>
      </c>
      <c r="B4" s="13" t="s">
        <v>6</v>
      </c>
      <c r="C4" s="12" t="s">
        <v>88</v>
      </c>
      <c r="D4" s="13" t="s">
        <v>89</v>
      </c>
      <c r="E4" s="13" t="s">
        <v>90</v>
      </c>
      <c r="F4" s="14" t="s">
        <v>83</v>
      </c>
      <c r="G4" s="15" t="s">
        <v>91</v>
      </c>
      <c r="H4" s="16" t="s">
        <v>85</v>
      </c>
      <c r="I4" s="13" t="s">
        <v>86</v>
      </c>
      <c r="J4" s="13" t="s">
        <v>92</v>
      </c>
      <c r="K4" s="17">
        <f t="shared" si="1"/>
        <v>1</v>
      </c>
    </row>
    <row r="5" ht="79.5" customHeight="1">
      <c r="A5" s="12" t="s">
        <v>5</v>
      </c>
      <c r="B5" s="13" t="s">
        <v>6</v>
      </c>
      <c r="C5" s="12" t="s">
        <v>93</v>
      </c>
      <c r="D5" s="13" t="s">
        <v>94</v>
      </c>
      <c r="E5" s="13" t="s">
        <v>95</v>
      </c>
      <c r="F5" s="14" t="s">
        <v>83</v>
      </c>
      <c r="G5" s="15" t="s">
        <v>96</v>
      </c>
      <c r="H5" s="16" t="s">
        <v>85</v>
      </c>
      <c r="I5" s="13" t="s">
        <v>86</v>
      </c>
      <c r="J5" s="13" t="s">
        <v>97</v>
      </c>
      <c r="K5" s="17">
        <f t="shared" si="1"/>
        <v>1</v>
      </c>
    </row>
    <row r="6" ht="79.5" customHeight="1">
      <c r="A6" s="12" t="s">
        <v>5</v>
      </c>
      <c r="B6" s="13" t="s">
        <v>6</v>
      </c>
      <c r="C6" s="12" t="s">
        <v>98</v>
      </c>
      <c r="D6" s="13" t="s">
        <v>99</v>
      </c>
      <c r="E6" s="13" t="s">
        <v>100</v>
      </c>
      <c r="F6" s="14" t="s">
        <v>83</v>
      </c>
      <c r="G6" s="15" t="s">
        <v>91</v>
      </c>
      <c r="H6" s="16" t="s">
        <v>85</v>
      </c>
      <c r="I6" s="13" t="s">
        <v>86</v>
      </c>
      <c r="J6" s="13" t="s">
        <v>101</v>
      </c>
      <c r="K6" s="17">
        <f t="shared" si="1"/>
        <v>1</v>
      </c>
    </row>
    <row r="7" ht="18.0" customHeight="1">
      <c r="A7" s="9" t="s">
        <v>102</v>
      </c>
      <c r="B7" s="10"/>
      <c r="C7" s="10"/>
      <c r="D7" s="10"/>
      <c r="E7" s="10"/>
      <c r="F7" s="10"/>
      <c r="G7" s="10"/>
      <c r="H7" s="10"/>
      <c r="I7" s="10"/>
      <c r="J7" s="10"/>
      <c r="K7" s="11"/>
    </row>
    <row r="8" ht="79.5" customHeight="1">
      <c r="A8" s="12" t="s">
        <v>9</v>
      </c>
      <c r="B8" s="13" t="s">
        <v>10</v>
      </c>
      <c r="C8" s="12" t="s">
        <v>103</v>
      </c>
      <c r="D8" s="13" t="s">
        <v>104</v>
      </c>
      <c r="E8" s="13" t="s">
        <v>105</v>
      </c>
      <c r="F8" s="14" t="s">
        <v>83</v>
      </c>
      <c r="G8" s="15" t="s">
        <v>91</v>
      </c>
      <c r="H8" s="16" t="s">
        <v>85</v>
      </c>
      <c r="I8" s="13" t="s">
        <v>86</v>
      </c>
      <c r="J8" s="13" t="s">
        <v>106</v>
      </c>
      <c r="K8" s="17">
        <f t="shared" ref="K8:K12" si="2">IF(H8="Done",1,IF(H8="In Progress",0.5,IF(H8="In Review",0.75,0)))</f>
        <v>1</v>
      </c>
    </row>
    <row r="9" ht="79.5" customHeight="1">
      <c r="A9" s="18" t="s">
        <v>9</v>
      </c>
      <c r="B9" s="19" t="s">
        <v>10</v>
      </c>
      <c r="C9" s="18" t="s">
        <v>107</v>
      </c>
      <c r="D9" s="19" t="s">
        <v>108</v>
      </c>
      <c r="E9" s="19" t="s">
        <v>109</v>
      </c>
      <c r="F9" s="20" t="s">
        <v>83</v>
      </c>
      <c r="G9" s="16" t="s">
        <v>91</v>
      </c>
      <c r="H9" s="21" t="s">
        <v>85</v>
      </c>
      <c r="I9" s="19" t="s">
        <v>103</v>
      </c>
      <c r="J9" s="22" t="s">
        <v>110</v>
      </c>
      <c r="K9" s="17">
        <f t="shared" si="2"/>
        <v>1</v>
      </c>
    </row>
    <row r="10" ht="79.5" customHeight="1">
      <c r="A10" s="18" t="s">
        <v>9</v>
      </c>
      <c r="B10" s="19" t="s">
        <v>10</v>
      </c>
      <c r="C10" s="18" t="s">
        <v>111</v>
      </c>
      <c r="D10" s="19" t="s">
        <v>112</v>
      </c>
      <c r="E10" s="19" t="s">
        <v>113</v>
      </c>
      <c r="F10" s="23" t="s">
        <v>114</v>
      </c>
      <c r="G10" s="16" t="s">
        <v>91</v>
      </c>
      <c r="H10" s="21" t="s">
        <v>85</v>
      </c>
      <c r="I10" s="19" t="s">
        <v>103</v>
      </c>
      <c r="J10" s="22" t="s">
        <v>115</v>
      </c>
      <c r="K10" s="17">
        <f t="shared" si="2"/>
        <v>1</v>
      </c>
    </row>
    <row r="11" ht="79.5" customHeight="1">
      <c r="A11" s="18" t="s">
        <v>9</v>
      </c>
      <c r="B11" s="19" t="s">
        <v>10</v>
      </c>
      <c r="C11" s="18" t="s">
        <v>116</v>
      </c>
      <c r="D11" s="19" t="s">
        <v>117</v>
      </c>
      <c r="E11" s="19" t="s">
        <v>118</v>
      </c>
      <c r="F11" s="24" t="s">
        <v>119</v>
      </c>
      <c r="G11" s="16" t="s">
        <v>91</v>
      </c>
      <c r="H11" s="21" t="s">
        <v>85</v>
      </c>
      <c r="I11" s="19" t="s">
        <v>120</v>
      </c>
      <c r="J11" s="22" t="s">
        <v>121</v>
      </c>
      <c r="K11" s="17">
        <f t="shared" si="2"/>
        <v>1</v>
      </c>
    </row>
    <row r="12" ht="79.5" customHeight="1">
      <c r="A12" s="25" t="s">
        <v>9</v>
      </c>
      <c r="B12" s="26" t="s">
        <v>10</v>
      </c>
      <c r="C12" s="25" t="s">
        <v>122</v>
      </c>
      <c r="D12" s="26" t="s">
        <v>123</v>
      </c>
      <c r="E12" s="26" t="s">
        <v>124</v>
      </c>
      <c r="F12" s="27" t="s">
        <v>83</v>
      </c>
      <c r="G12" s="28" t="s">
        <v>91</v>
      </c>
      <c r="H12" s="29" t="s">
        <v>125</v>
      </c>
      <c r="I12" s="26" t="s">
        <v>86</v>
      </c>
      <c r="J12" s="26" t="s">
        <v>126</v>
      </c>
      <c r="K12" s="17">
        <f t="shared" si="2"/>
        <v>0.5</v>
      </c>
    </row>
    <row r="13" ht="18.0" customHeight="1">
      <c r="A13" s="9" t="s">
        <v>127</v>
      </c>
      <c r="B13" s="10"/>
      <c r="C13" s="10"/>
      <c r="D13" s="10"/>
      <c r="E13" s="10"/>
      <c r="F13" s="10"/>
      <c r="G13" s="10"/>
      <c r="H13" s="10"/>
      <c r="I13" s="10"/>
      <c r="J13" s="10"/>
      <c r="K13" s="11"/>
    </row>
    <row r="14" ht="79.5" customHeight="1">
      <c r="A14" s="25" t="s">
        <v>13</v>
      </c>
      <c r="B14" s="26" t="s">
        <v>14</v>
      </c>
      <c r="C14" s="25" t="s">
        <v>128</v>
      </c>
      <c r="D14" s="26" t="s">
        <v>129</v>
      </c>
      <c r="E14" s="26" t="s">
        <v>130</v>
      </c>
      <c r="F14" s="27" t="s">
        <v>83</v>
      </c>
      <c r="G14" s="28" t="s">
        <v>91</v>
      </c>
      <c r="H14" s="30" t="s">
        <v>131</v>
      </c>
      <c r="I14" s="26" t="s">
        <v>132</v>
      </c>
      <c r="J14" s="26" t="s">
        <v>133</v>
      </c>
      <c r="K14" s="17">
        <f t="shared" ref="K14:K15" si="3">IF(H14="Done",1,IF(H14="In Progress",0.5,IF(H14="In Review",0.75,0)))</f>
        <v>0</v>
      </c>
    </row>
    <row r="15" ht="79.5" customHeight="1">
      <c r="A15" s="25" t="s">
        <v>13</v>
      </c>
      <c r="B15" s="26" t="s">
        <v>14</v>
      </c>
      <c r="C15" s="25" t="s">
        <v>134</v>
      </c>
      <c r="D15" s="26" t="s">
        <v>135</v>
      </c>
      <c r="E15" s="26" t="s">
        <v>136</v>
      </c>
      <c r="F15" s="27" t="s">
        <v>83</v>
      </c>
      <c r="G15" s="28" t="s">
        <v>91</v>
      </c>
      <c r="H15" s="30" t="s">
        <v>131</v>
      </c>
      <c r="I15" s="26" t="s">
        <v>128</v>
      </c>
      <c r="J15" s="26" t="s">
        <v>137</v>
      </c>
      <c r="K15" s="17">
        <f t="shared" si="3"/>
        <v>0</v>
      </c>
    </row>
    <row r="16" ht="18.0" customHeight="1">
      <c r="A16" s="9" t="s">
        <v>138</v>
      </c>
      <c r="B16" s="10"/>
      <c r="C16" s="10"/>
      <c r="D16" s="10"/>
      <c r="E16" s="10"/>
      <c r="F16" s="10"/>
      <c r="G16" s="10"/>
      <c r="H16" s="10"/>
      <c r="I16" s="10"/>
      <c r="J16" s="10"/>
      <c r="K16" s="11"/>
    </row>
    <row r="17" ht="79.5" customHeight="1">
      <c r="A17" s="25" t="s">
        <v>17</v>
      </c>
      <c r="B17" s="26" t="s">
        <v>18</v>
      </c>
      <c r="C17" s="25" t="s">
        <v>132</v>
      </c>
      <c r="D17" s="26" t="s">
        <v>139</v>
      </c>
      <c r="E17" s="26" t="s">
        <v>140</v>
      </c>
      <c r="F17" s="27" t="s">
        <v>83</v>
      </c>
      <c r="G17" s="28" t="s">
        <v>91</v>
      </c>
      <c r="H17" s="29" t="s">
        <v>125</v>
      </c>
      <c r="I17" s="26" t="s">
        <v>86</v>
      </c>
      <c r="J17" s="26" t="s">
        <v>141</v>
      </c>
      <c r="K17" s="17">
        <f t="shared" ref="K17:K18" si="4">IF(H17="Done",1,IF(H17="In Progress",0.5,IF(H17="In Review",0.75,0)))</f>
        <v>0.5</v>
      </c>
    </row>
    <row r="18" ht="79.5" customHeight="1">
      <c r="A18" s="31" t="s">
        <v>17</v>
      </c>
      <c r="B18" s="32" t="s">
        <v>18</v>
      </c>
      <c r="C18" s="31" t="s">
        <v>142</v>
      </c>
      <c r="D18" s="32" t="s">
        <v>143</v>
      </c>
      <c r="E18" s="32" t="s">
        <v>144</v>
      </c>
      <c r="F18" s="33" t="s">
        <v>114</v>
      </c>
      <c r="G18" s="34" t="s">
        <v>91</v>
      </c>
      <c r="H18" s="30" t="s">
        <v>131</v>
      </c>
      <c r="I18" s="32" t="s">
        <v>132</v>
      </c>
      <c r="J18" s="32" t="s">
        <v>145</v>
      </c>
      <c r="K18" s="17">
        <f t="shared" si="4"/>
        <v>0</v>
      </c>
    </row>
    <row r="19" ht="18.0" customHeight="1">
      <c r="A19" s="9" t="s">
        <v>146</v>
      </c>
      <c r="B19" s="10"/>
      <c r="C19" s="10"/>
      <c r="D19" s="10"/>
      <c r="E19" s="10"/>
      <c r="F19" s="10"/>
      <c r="G19" s="10"/>
      <c r="H19" s="10"/>
      <c r="I19" s="10"/>
      <c r="J19" s="10"/>
      <c r="K19" s="11"/>
    </row>
    <row r="20" ht="79.5" customHeight="1">
      <c r="A20" s="25" t="s">
        <v>21</v>
      </c>
      <c r="B20" s="26" t="s">
        <v>22</v>
      </c>
      <c r="C20" s="25" t="s">
        <v>147</v>
      </c>
      <c r="D20" s="26" t="s">
        <v>148</v>
      </c>
      <c r="E20" s="26" t="s">
        <v>149</v>
      </c>
      <c r="F20" s="27" t="s">
        <v>83</v>
      </c>
      <c r="G20" s="28" t="s">
        <v>91</v>
      </c>
      <c r="H20" s="30" t="s">
        <v>131</v>
      </c>
      <c r="I20" s="26" t="s">
        <v>132</v>
      </c>
      <c r="J20" s="26" t="s">
        <v>150</v>
      </c>
      <c r="K20" s="17">
        <f t="shared" ref="K20:K23" si="5">IF(H20="Done",1,IF(H20="In Progress",0.5,IF(H20="In Review",0.75,0)))</f>
        <v>0</v>
      </c>
    </row>
    <row r="21" ht="79.5" customHeight="1">
      <c r="A21" s="25" t="s">
        <v>21</v>
      </c>
      <c r="B21" s="26" t="s">
        <v>22</v>
      </c>
      <c r="C21" s="25" t="s">
        <v>151</v>
      </c>
      <c r="D21" s="26" t="s">
        <v>152</v>
      </c>
      <c r="E21" s="26" t="s">
        <v>153</v>
      </c>
      <c r="F21" s="27" t="s">
        <v>83</v>
      </c>
      <c r="G21" s="28" t="s">
        <v>84</v>
      </c>
      <c r="H21" s="30" t="s">
        <v>131</v>
      </c>
      <c r="I21" s="26" t="s">
        <v>154</v>
      </c>
      <c r="J21" s="26" t="s">
        <v>155</v>
      </c>
      <c r="K21" s="17">
        <f t="shared" si="5"/>
        <v>0</v>
      </c>
    </row>
    <row r="22" ht="79.5" customHeight="1">
      <c r="A22" s="25" t="s">
        <v>21</v>
      </c>
      <c r="B22" s="26" t="s">
        <v>22</v>
      </c>
      <c r="C22" s="25" t="s">
        <v>156</v>
      </c>
      <c r="D22" s="26" t="s">
        <v>157</v>
      </c>
      <c r="E22" s="26" t="s">
        <v>158</v>
      </c>
      <c r="F22" s="27" t="s">
        <v>83</v>
      </c>
      <c r="G22" s="28" t="s">
        <v>84</v>
      </c>
      <c r="H22" s="30" t="s">
        <v>131</v>
      </c>
      <c r="I22" s="26" t="s">
        <v>147</v>
      </c>
      <c r="J22" s="26" t="s">
        <v>159</v>
      </c>
      <c r="K22" s="17">
        <f t="shared" si="5"/>
        <v>0</v>
      </c>
    </row>
    <row r="23" ht="79.5" customHeight="1">
      <c r="A23" s="25" t="s">
        <v>21</v>
      </c>
      <c r="B23" s="26" t="s">
        <v>22</v>
      </c>
      <c r="C23" s="25" t="s">
        <v>160</v>
      </c>
      <c r="D23" s="26" t="s">
        <v>161</v>
      </c>
      <c r="E23" s="35" t="s">
        <v>162</v>
      </c>
      <c r="F23" s="27" t="s">
        <v>83</v>
      </c>
      <c r="G23" s="28" t="s">
        <v>91</v>
      </c>
      <c r="H23" s="29" t="s">
        <v>163</v>
      </c>
      <c r="I23" s="26" t="s">
        <v>86</v>
      </c>
      <c r="J23" s="26" t="s">
        <v>164</v>
      </c>
      <c r="K23" s="17">
        <f t="shared" si="5"/>
        <v>0.75</v>
      </c>
    </row>
    <row r="24" ht="18.0" customHeight="1">
      <c r="A24" s="9" t="s">
        <v>165</v>
      </c>
      <c r="B24" s="10"/>
      <c r="C24" s="10"/>
      <c r="D24" s="10"/>
      <c r="E24" s="10"/>
      <c r="F24" s="10"/>
      <c r="G24" s="10"/>
      <c r="H24" s="10"/>
      <c r="I24" s="10"/>
      <c r="J24" s="10"/>
      <c r="K24" s="11"/>
    </row>
    <row r="25" ht="79.5" customHeight="1">
      <c r="A25" s="31" t="s">
        <v>24</v>
      </c>
      <c r="B25" s="32" t="s">
        <v>25</v>
      </c>
      <c r="C25" s="31" t="s">
        <v>166</v>
      </c>
      <c r="D25" s="32" t="s">
        <v>167</v>
      </c>
      <c r="E25" s="32" t="s">
        <v>168</v>
      </c>
      <c r="F25" s="36" t="s">
        <v>83</v>
      </c>
      <c r="G25" s="34" t="s">
        <v>91</v>
      </c>
      <c r="H25" s="30" t="s">
        <v>131</v>
      </c>
      <c r="I25" s="32" t="s">
        <v>132</v>
      </c>
      <c r="J25" s="32" t="s">
        <v>169</v>
      </c>
      <c r="K25" s="17">
        <f t="shared" ref="K25:K27" si="6">IF(H25="Done",1,IF(H25="In Progress",0.5,IF(H25="In Review",0.75,0)))</f>
        <v>0</v>
      </c>
    </row>
    <row r="26" ht="79.5" customHeight="1">
      <c r="A26" s="31" t="s">
        <v>24</v>
      </c>
      <c r="B26" s="32" t="s">
        <v>25</v>
      </c>
      <c r="C26" s="31" t="s">
        <v>170</v>
      </c>
      <c r="D26" s="32" t="s">
        <v>171</v>
      </c>
      <c r="E26" s="32" t="s">
        <v>172</v>
      </c>
      <c r="F26" s="36" t="s">
        <v>83</v>
      </c>
      <c r="G26" s="34" t="s">
        <v>91</v>
      </c>
      <c r="H26" s="30" t="s">
        <v>131</v>
      </c>
      <c r="I26" s="32" t="s">
        <v>166</v>
      </c>
      <c r="J26" s="32" t="s">
        <v>173</v>
      </c>
      <c r="K26" s="17">
        <f t="shared" si="6"/>
        <v>0</v>
      </c>
    </row>
    <row r="27" ht="79.5" customHeight="1">
      <c r="A27" s="31" t="s">
        <v>24</v>
      </c>
      <c r="B27" s="32" t="s">
        <v>25</v>
      </c>
      <c r="C27" s="31" t="s">
        <v>174</v>
      </c>
      <c r="D27" s="32" t="s">
        <v>175</v>
      </c>
      <c r="E27" s="32" t="s">
        <v>176</v>
      </c>
      <c r="F27" s="36" t="s">
        <v>83</v>
      </c>
      <c r="G27" s="34" t="s">
        <v>91</v>
      </c>
      <c r="H27" s="30" t="s">
        <v>131</v>
      </c>
      <c r="I27" s="32" t="s">
        <v>132</v>
      </c>
      <c r="J27" s="32" t="s">
        <v>177</v>
      </c>
      <c r="K27" s="17">
        <f t="shared" si="6"/>
        <v>0</v>
      </c>
    </row>
    <row r="28" ht="18.0" customHeight="1">
      <c r="A28" s="9" t="s">
        <v>178</v>
      </c>
      <c r="B28" s="10"/>
      <c r="C28" s="10"/>
      <c r="D28" s="10"/>
      <c r="E28" s="10"/>
      <c r="F28" s="10"/>
      <c r="G28" s="10"/>
      <c r="H28" s="10"/>
      <c r="I28" s="10"/>
      <c r="J28" s="10"/>
      <c r="K28" s="11"/>
    </row>
    <row r="29" ht="79.5" customHeight="1">
      <c r="A29" s="12" t="s">
        <v>28</v>
      </c>
      <c r="B29" s="13" t="s">
        <v>29</v>
      </c>
      <c r="C29" s="12" t="s">
        <v>179</v>
      </c>
      <c r="D29" s="13" t="s">
        <v>180</v>
      </c>
      <c r="E29" s="13" t="s">
        <v>181</v>
      </c>
      <c r="F29" s="14" t="s">
        <v>83</v>
      </c>
      <c r="G29" s="15" t="s">
        <v>91</v>
      </c>
      <c r="H29" s="16" t="s">
        <v>85</v>
      </c>
      <c r="I29" s="13" t="s">
        <v>86</v>
      </c>
      <c r="J29" s="13" t="s">
        <v>182</v>
      </c>
      <c r="K29" s="17">
        <f t="shared" ref="K29:K38" si="7">IF(H29="Done",1,IF(H29="In Progress",0.5,IF(H29="In Review",0.75,0)))</f>
        <v>1</v>
      </c>
    </row>
    <row r="30" ht="79.5" customHeight="1">
      <c r="A30" s="12" t="s">
        <v>28</v>
      </c>
      <c r="B30" s="13" t="s">
        <v>29</v>
      </c>
      <c r="C30" s="12" t="s">
        <v>183</v>
      </c>
      <c r="D30" s="13" t="s">
        <v>184</v>
      </c>
      <c r="E30" s="13" t="s">
        <v>185</v>
      </c>
      <c r="F30" s="14" t="s">
        <v>83</v>
      </c>
      <c r="G30" s="15" t="s">
        <v>91</v>
      </c>
      <c r="H30" s="16" t="s">
        <v>85</v>
      </c>
      <c r="I30" s="13" t="s">
        <v>179</v>
      </c>
      <c r="J30" s="13" t="s">
        <v>186</v>
      </c>
      <c r="K30" s="17">
        <f t="shared" si="7"/>
        <v>1</v>
      </c>
    </row>
    <row r="31" ht="79.5" customHeight="1">
      <c r="A31" s="12" t="s">
        <v>28</v>
      </c>
      <c r="B31" s="13" t="s">
        <v>29</v>
      </c>
      <c r="C31" s="12" t="s">
        <v>187</v>
      </c>
      <c r="D31" s="13" t="s">
        <v>188</v>
      </c>
      <c r="E31" s="13" t="s">
        <v>189</v>
      </c>
      <c r="F31" s="14" t="s">
        <v>83</v>
      </c>
      <c r="G31" s="15" t="s">
        <v>84</v>
      </c>
      <c r="H31" s="16" t="s">
        <v>85</v>
      </c>
      <c r="I31" s="13" t="s">
        <v>183</v>
      </c>
      <c r="J31" s="13" t="s">
        <v>190</v>
      </c>
      <c r="K31" s="17">
        <f t="shared" si="7"/>
        <v>1</v>
      </c>
    </row>
    <row r="32" ht="79.5" customHeight="1">
      <c r="A32" s="31" t="s">
        <v>28</v>
      </c>
      <c r="B32" s="32" t="s">
        <v>29</v>
      </c>
      <c r="C32" s="31" t="s">
        <v>191</v>
      </c>
      <c r="D32" s="32" t="s">
        <v>192</v>
      </c>
      <c r="E32" s="32" t="s">
        <v>193</v>
      </c>
      <c r="F32" s="36" t="s">
        <v>83</v>
      </c>
      <c r="G32" s="34" t="s">
        <v>91</v>
      </c>
      <c r="H32" s="30" t="s">
        <v>131</v>
      </c>
      <c r="I32" s="32" t="s">
        <v>187</v>
      </c>
      <c r="J32" s="32" t="s">
        <v>194</v>
      </c>
      <c r="K32" s="17">
        <f t="shared" si="7"/>
        <v>0</v>
      </c>
    </row>
    <row r="33" ht="79.5" customHeight="1">
      <c r="A33" s="31" t="s">
        <v>28</v>
      </c>
      <c r="B33" s="32" t="s">
        <v>29</v>
      </c>
      <c r="C33" s="31" t="s">
        <v>195</v>
      </c>
      <c r="D33" s="32" t="s">
        <v>196</v>
      </c>
      <c r="E33" s="32" t="s">
        <v>197</v>
      </c>
      <c r="F33" s="36" t="s">
        <v>83</v>
      </c>
      <c r="G33" s="34" t="s">
        <v>84</v>
      </c>
      <c r="H33" s="16" t="s">
        <v>85</v>
      </c>
      <c r="I33" s="32" t="s">
        <v>187</v>
      </c>
      <c r="J33" s="32" t="s">
        <v>198</v>
      </c>
      <c r="K33" s="17">
        <f t="shared" si="7"/>
        <v>1</v>
      </c>
    </row>
    <row r="34" ht="79.5" customHeight="1">
      <c r="A34" s="25" t="s">
        <v>28</v>
      </c>
      <c r="B34" s="26" t="s">
        <v>29</v>
      </c>
      <c r="C34" s="25" t="s">
        <v>199</v>
      </c>
      <c r="D34" s="26" t="s">
        <v>200</v>
      </c>
      <c r="E34" s="26" t="s">
        <v>201</v>
      </c>
      <c r="F34" s="27" t="s">
        <v>83</v>
      </c>
      <c r="G34" s="28" t="s">
        <v>84</v>
      </c>
      <c r="H34" s="30" t="s">
        <v>131</v>
      </c>
      <c r="I34" s="26" t="s">
        <v>86</v>
      </c>
      <c r="J34" s="26" t="s">
        <v>202</v>
      </c>
      <c r="K34" s="17">
        <f t="shared" si="7"/>
        <v>0</v>
      </c>
    </row>
    <row r="35" ht="79.5" customHeight="1">
      <c r="A35" s="12" t="s">
        <v>28</v>
      </c>
      <c r="B35" s="13" t="s">
        <v>29</v>
      </c>
      <c r="C35" s="12" t="s">
        <v>203</v>
      </c>
      <c r="D35" s="13" t="s">
        <v>204</v>
      </c>
      <c r="E35" s="13" t="s">
        <v>205</v>
      </c>
      <c r="F35" s="14" t="s">
        <v>83</v>
      </c>
      <c r="G35" s="15" t="s">
        <v>91</v>
      </c>
      <c r="H35" s="16" t="s">
        <v>85</v>
      </c>
      <c r="I35" s="13" t="s">
        <v>86</v>
      </c>
      <c r="J35" s="13" t="s">
        <v>206</v>
      </c>
      <c r="K35" s="17">
        <f t="shared" si="7"/>
        <v>1</v>
      </c>
    </row>
    <row r="36" ht="79.5" customHeight="1">
      <c r="A36" s="31" t="s">
        <v>28</v>
      </c>
      <c r="B36" s="32" t="s">
        <v>29</v>
      </c>
      <c r="C36" s="31" t="s">
        <v>207</v>
      </c>
      <c r="D36" s="32" t="s">
        <v>208</v>
      </c>
      <c r="E36" s="32" t="s">
        <v>209</v>
      </c>
      <c r="F36" s="33" t="s">
        <v>114</v>
      </c>
      <c r="G36" s="34" t="s">
        <v>91</v>
      </c>
      <c r="H36" s="30" t="s">
        <v>131</v>
      </c>
      <c r="I36" s="32" t="s">
        <v>203</v>
      </c>
      <c r="J36" s="32" t="s">
        <v>210</v>
      </c>
      <c r="K36" s="17">
        <f t="shared" si="7"/>
        <v>0</v>
      </c>
    </row>
    <row r="37" ht="79.5" customHeight="1">
      <c r="A37" s="31" t="s">
        <v>28</v>
      </c>
      <c r="B37" s="32" t="s">
        <v>29</v>
      </c>
      <c r="C37" s="31" t="s">
        <v>211</v>
      </c>
      <c r="D37" s="32" t="s">
        <v>212</v>
      </c>
      <c r="E37" s="32" t="s">
        <v>213</v>
      </c>
      <c r="F37" s="33" t="s">
        <v>114</v>
      </c>
      <c r="G37" s="34" t="s">
        <v>91</v>
      </c>
      <c r="H37" s="30" t="s">
        <v>131</v>
      </c>
      <c r="I37" s="32" t="s">
        <v>199</v>
      </c>
      <c r="J37" s="32" t="s">
        <v>214</v>
      </c>
      <c r="K37" s="17">
        <f t="shared" si="7"/>
        <v>0</v>
      </c>
    </row>
    <row r="38" ht="79.5" customHeight="1">
      <c r="A38" s="37" t="s">
        <v>28</v>
      </c>
      <c r="B38" s="38" t="s">
        <v>29</v>
      </c>
      <c r="C38" s="37" t="s">
        <v>215</v>
      </c>
      <c r="D38" s="38" t="s">
        <v>216</v>
      </c>
      <c r="E38" s="38" t="s">
        <v>217</v>
      </c>
      <c r="F38" s="39" t="s">
        <v>114</v>
      </c>
      <c r="G38" s="40" t="s">
        <v>84</v>
      </c>
      <c r="H38" s="30" t="s">
        <v>131</v>
      </c>
      <c r="I38" s="38" t="s">
        <v>211</v>
      </c>
      <c r="J38" s="38" t="s">
        <v>218</v>
      </c>
      <c r="K38" s="17">
        <f t="shared" si="7"/>
        <v>0</v>
      </c>
    </row>
    <row r="39" ht="18.0" customHeight="1">
      <c r="A39" s="9" t="s">
        <v>219</v>
      </c>
      <c r="B39" s="10"/>
      <c r="C39" s="10"/>
      <c r="D39" s="10"/>
      <c r="E39" s="10"/>
      <c r="F39" s="10"/>
      <c r="G39" s="10"/>
      <c r="H39" s="10"/>
      <c r="I39" s="10"/>
      <c r="J39" s="10"/>
      <c r="K39" s="11"/>
    </row>
    <row r="40" ht="79.5" customHeight="1">
      <c r="A40" s="25" t="s">
        <v>32</v>
      </c>
      <c r="B40" s="26" t="s">
        <v>33</v>
      </c>
      <c r="C40" s="25" t="s">
        <v>220</v>
      </c>
      <c r="D40" s="26" t="s">
        <v>221</v>
      </c>
      <c r="E40" s="26" t="s">
        <v>222</v>
      </c>
      <c r="F40" s="27" t="s">
        <v>83</v>
      </c>
      <c r="G40" s="28" t="s">
        <v>96</v>
      </c>
      <c r="H40" s="30" t="s">
        <v>131</v>
      </c>
      <c r="I40" s="26" t="s">
        <v>132</v>
      </c>
      <c r="J40" s="26" t="s">
        <v>223</v>
      </c>
      <c r="K40" s="17">
        <f t="shared" ref="K40:K42" si="8">IF(H40="Done",1,IF(H40="In Progress",0.5,IF(H40="In Review",0.75,0)))</f>
        <v>0</v>
      </c>
    </row>
    <row r="41" ht="79.5" customHeight="1">
      <c r="A41" s="31" t="s">
        <v>32</v>
      </c>
      <c r="B41" s="32" t="s">
        <v>33</v>
      </c>
      <c r="C41" s="31" t="s">
        <v>224</v>
      </c>
      <c r="D41" s="32" t="s">
        <v>225</v>
      </c>
      <c r="E41" s="32" t="s">
        <v>226</v>
      </c>
      <c r="F41" s="36" t="s">
        <v>83</v>
      </c>
      <c r="G41" s="34" t="s">
        <v>91</v>
      </c>
      <c r="H41" s="30" t="s">
        <v>131</v>
      </c>
      <c r="I41" s="32" t="s">
        <v>220</v>
      </c>
      <c r="J41" s="32" t="s">
        <v>227</v>
      </c>
      <c r="K41" s="17">
        <f t="shared" si="8"/>
        <v>0</v>
      </c>
    </row>
    <row r="42" ht="79.5" customHeight="1">
      <c r="A42" s="31" t="s">
        <v>32</v>
      </c>
      <c r="B42" s="32" t="s">
        <v>33</v>
      </c>
      <c r="C42" s="31" t="s">
        <v>228</v>
      </c>
      <c r="D42" s="32" t="s">
        <v>229</v>
      </c>
      <c r="E42" s="32" t="s">
        <v>230</v>
      </c>
      <c r="F42" s="33" t="s">
        <v>114</v>
      </c>
      <c r="G42" s="34" t="s">
        <v>91</v>
      </c>
      <c r="H42" s="30" t="s">
        <v>131</v>
      </c>
      <c r="I42" s="32" t="s">
        <v>231</v>
      </c>
      <c r="J42" s="32" t="s">
        <v>232</v>
      </c>
      <c r="K42" s="17">
        <f t="shared" si="8"/>
        <v>0</v>
      </c>
    </row>
    <row r="43" ht="18.0" customHeight="1">
      <c r="A43" s="9" t="s">
        <v>233</v>
      </c>
      <c r="B43" s="10"/>
      <c r="C43" s="10"/>
      <c r="D43" s="10"/>
      <c r="E43" s="10"/>
      <c r="F43" s="10"/>
      <c r="G43" s="10"/>
      <c r="H43" s="10"/>
      <c r="I43" s="10"/>
      <c r="J43" s="10"/>
      <c r="K43" s="11"/>
    </row>
    <row r="44" ht="79.5" customHeight="1">
      <c r="A44" s="25" t="s">
        <v>35</v>
      </c>
      <c r="B44" s="26" t="s">
        <v>36</v>
      </c>
      <c r="C44" s="25" t="s">
        <v>234</v>
      </c>
      <c r="D44" s="26" t="s">
        <v>235</v>
      </c>
      <c r="E44" s="26" t="s">
        <v>236</v>
      </c>
      <c r="F44" s="27" t="s">
        <v>83</v>
      </c>
      <c r="G44" s="28" t="s">
        <v>96</v>
      </c>
      <c r="H44" s="30" t="s">
        <v>131</v>
      </c>
      <c r="I44" s="26" t="s">
        <v>132</v>
      </c>
      <c r="J44" s="26" t="s">
        <v>237</v>
      </c>
      <c r="K44" s="17">
        <f t="shared" ref="K44:K45" si="9">IF(H44="Done",1,IF(H44="In Progress",0.5,IF(H44="In Review",0.75,0)))</f>
        <v>0</v>
      </c>
    </row>
    <row r="45" ht="79.5" customHeight="1">
      <c r="A45" s="31" t="s">
        <v>35</v>
      </c>
      <c r="B45" s="32" t="s">
        <v>36</v>
      </c>
      <c r="C45" s="31" t="s">
        <v>238</v>
      </c>
      <c r="D45" s="32" t="s">
        <v>239</v>
      </c>
      <c r="E45" s="32" t="s">
        <v>240</v>
      </c>
      <c r="F45" s="36" t="s">
        <v>83</v>
      </c>
      <c r="G45" s="34" t="s">
        <v>96</v>
      </c>
      <c r="H45" s="30" t="s">
        <v>131</v>
      </c>
      <c r="I45" s="32" t="s">
        <v>241</v>
      </c>
      <c r="J45" s="32" t="s">
        <v>242</v>
      </c>
      <c r="K45" s="17">
        <f t="shared" si="9"/>
        <v>0</v>
      </c>
    </row>
    <row r="46" ht="18.0" customHeight="1">
      <c r="A46" s="9" t="s">
        <v>243</v>
      </c>
      <c r="B46" s="10"/>
      <c r="C46" s="10"/>
      <c r="D46" s="10"/>
      <c r="E46" s="10"/>
      <c r="F46" s="10"/>
      <c r="G46" s="10"/>
      <c r="H46" s="10"/>
      <c r="I46" s="10"/>
      <c r="J46" s="10"/>
      <c r="K46" s="11"/>
    </row>
    <row r="47" ht="79.5" customHeight="1">
      <c r="A47" s="25" t="s">
        <v>38</v>
      </c>
      <c r="B47" s="26" t="s">
        <v>39</v>
      </c>
      <c r="C47" s="25" t="s">
        <v>244</v>
      </c>
      <c r="D47" s="26" t="s">
        <v>245</v>
      </c>
      <c r="E47" s="26" t="s">
        <v>246</v>
      </c>
      <c r="F47" s="27" t="s">
        <v>83</v>
      </c>
      <c r="G47" s="28" t="s">
        <v>84</v>
      </c>
      <c r="H47" s="41" t="s">
        <v>125</v>
      </c>
      <c r="I47" s="26" t="s">
        <v>132</v>
      </c>
      <c r="J47" s="26" t="s">
        <v>247</v>
      </c>
      <c r="K47" s="17">
        <f t="shared" ref="K47:K49" si="10">IF(H47="Done",1,IF(H47="In Progress",0.5,IF(H47="In Review",0.75,0)))</f>
        <v>0.5</v>
      </c>
    </row>
    <row r="48" ht="79.5" customHeight="1">
      <c r="A48" s="31" t="s">
        <v>38</v>
      </c>
      <c r="B48" s="32" t="s">
        <v>39</v>
      </c>
      <c r="C48" s="31" t="s">
        <v>248</v>
      </c>
      <c r="D48" s="32" t="s">
        <v>249</v>
      </c>
      <c r="E48" s="32" t="s">
        <v>250</v>
      </c>
      <c r="F48" s="33" t="s">
        <v>114</v>
      </c>
      <c r="G48" s="34" t="s">
        <v>84</v>
      </c>
      <c r="H48" s="30" t="s">
        <v>131</v>
      </c>
      <c r="I48" s="32" t="s">
        <v>132</v>
      </c>
      <c r="J48" s="32" t="s">
        <v>251</v>
      </c>
      <c r="K48" s="17">
        <f t="shared" si="10"/>
        <v>0</v>
      </c>
    </row>
    <row r="49" ht="79.5" customHeight="1">
      <c r="A49" s="25" t="s">
        <v>38</v>
      </c>
      <c r="B49" s="26" t="s">
        <v>39</v>
      </c>
      <c r="C49" s="25" t="s">
        <v>252</v>
      </c>
      <c r="D49" s="26" t="s">
        <v>253</v>
      </c>
      <c r="E49" s="26" t="s">
        <v>254</v>
      </c>
      <c r="F49" s="42" t="s">
        <v>114</v>
      </c>
      <c r="G49" s="28" t="s">
        <v>84</v>
      </c>
      <c r="H49" s="30" t="s">
        <v>131</v>
      </c>
      <c r="I49" s="26" t="s">
        <v>132</v>
      </c>
      <c r="J49" s="26" t="s">
        <v>255</v>
      </c>
      <c r="K49" s="17">
        <f t="shared" si="10"/>
        <v>0</v>
      </c>
    </row>
    <row r="50" ht="18.0" customHeight="1">
      <c r="A50" s="9" t="s">
        <v>256</v>
      </c>
      <c r="B50" s="10"/>
      <c r="C50" s="10"/>
      <c r="D50" s="10"/>
      <c r="E50" s="10"/>
      <c r="F50" s="10"/>
      <c r="G50" s="10"/>
      <c r="H50" s="10"/>
      <c r="I50" s="10"/>
      <c r="J50" s="10"/>
      <c r="K50" s="11"/>
    </row>
    <row r="51" ht="79.5" customHeight="1">
      <c r="A51" s="25" t="s">
        <v>41</v>
      </c>
      <c r="B51" s="26" t="s">
        <v>42</v>
      </c>
      <c r="C51" s="25" t="s">
        <v>257</v>
      </c>
      <c r="D51" s="26" t="s">
        <v>258</v>
      </c>
      <c r="E51" s="26" t="s">
        <v>259</v>
      </c>
      <c r="F51" s="27" t="s">
        <v>83</v>
      </c>
      <c r="G51" s="28" t="s">
        <v>91</v>
      </c>
      <c r="H51" s="30" t="s">
        <v>131</v>
      </c>
      <c r="I51" s="26" t="s">
        <v>122</v>
      </c>
      <c r="J51" s="26" t="s">
        <v>260</v>
      </c>
      <c r="K51" s="17">
        <f t="shared" ref="K51:K55" si="11">IF(H51="Done",1,IF(H51="In Progress",0.5,IF(H51="In Review",0.75,0)))</f>
        <v>0</v>
      </c>
    </row>
    <row r="52" ht="79.5" customHeight="1">
      <c r="A52" s="31" t="s">
        <v>41</v>
      </c>
      <c r="B52" s="32" t="s">
        <v>42</v>
      </c>
      <c r="C52" s="31" t="s">
        <v>261</v>
      </c>
      <c r="D52" s="32" t="s">
        <v>262</v>
      </c>
      <c r="E52" s="32" t="s">
        <v>263</v>
      </c>
      <c r="F52" s="36" t="s">
        <v>83</v>
      </c>
      <c r="G52" s="34" t="s">
        <v>91</v>
      </c>
      <c r="H52" s="30" t="s">
        <v>131</v>
      </c>
      <c r="I52" s="32" t="s">
        <v>122</v>
      </c>
      <c r="J52" s="32" t="s">
        <v>264</v>
      </c>
      <c r="K52" s="17">
        <f t="shared" si="11"/>
        <v>0</v>
      </c>
    </row>
    <row r="53" ht="79.5" customHeight="1">
      <c r="A53" s="31" t="s">
        <v>41</v>
      </c>
      <c r="B53" s="32" t="s">
        <v>42</v>
      </c>
      <c r="C53" s="31" t="s">
        <v>265</v>
      </c>
      <c r="D53" s="32" t="s">
        <v>266</v>
      </c>
      <c r="E53" s="32" t="s">
        <v>267</v>
      </c>
      <c r="F53" s="36" t="s">
        <v>83</v>
      </c>
      <c r="G53" s="34" t="s">
        <v>91</v>
      </c>
      <c r="H53" s="30" t="s">
        <v>131</v>
      </c>
      <c r="I53" s="32" t="s">
        <v>122</v>
      </c>
      <c r="J53" s="32" t="s">
        <v>268</v>
      </c>
      <c r="K53" s="17">
        <f t="shared" si="11"/>
        <v>0</v>
      </c>
    </row>
    <row r="54" ht="79.5" customHeight="1">
      <c r="A54" s="31" t="s">
        <v>41</v>
      </c>
      <c r="B54" s="32" t="s">
        <v>42</v>
      </c>
      <c r="C54" s="31" t="s">
        <v>269</v>
      </c>
      <c r="D54" s="32" t="s">
        <v>270</v>
      </c>
      <c r="E54" s="32" t="s">
        <v>271</v>
      </c>
      <c r="F54" s="33" t="s">
        <v>114</v>
      </c>
      <c r="G54" s="34" t="s">
        <v>91</v>
      </c>
      <c r="H54" s="30" t="s">
        <v>131</v>
      </c>
      <c r="I54" s="32" t="s">
        <v>122</v>
      </c>
      <c r="J54" s="32" t="s">
        <v>272</v>
      </c>
      <c r="K54" s="17">
        <f t="shared" si="11"/>
        <v>0</v>
      </c>
    </row>
    <row r="55" ht="79.5" customHeight="1">
      <c r="A55" s="31" t="s">
        <v>41</v>
      </c>
      <c r="B55" s="32" t="s">
        <v>42</v>
      </c>
      <c r="C55" s="31" t="s">
        <v>273</v>
      </c>
      <c r="D55" s="32" t="s">
        <v>274</v>
      </c>
      <c r="E55" s="32" t="s">
        <v>275</v>
      </c>
      <c r="F55" s="36" t="s">
        <v>83</v>
      </c>
      <c r="G55" s="34" t="s">
        <v>91</v>
      </c>
      <c r="H55" s="30" t="s">
        <v>131</v>
      </c>
      <c r="I55" s="32" t="s">
        <v>122</v>
      </c>
      <c r="J55" s="32" t="s">
        <v>276</v>
      </c>
      <c r="K55" s="17">
        <f t="shared" si="11"/>
        <v>0</v>
      </c>
    </row>
    <row r="56" ht="18.0" customHeight="1">
      <c r="A56" s="9" t="s">
        <v>277</v>
      </c>
      <c r="B56" s="10"/>
      <c r="C56" s="10"/>
      <c r="D56" s="10"/>
      <c r="E56" s="10"/>
      <c r="F56" s="10"/>
      <c r="G56" s="10"/>
      <c r="H56" s="10"/>
      <c r="I56" s="10"/>
      <c r="J56" s="10"/>
      <c r="K56" s="11"/>
    </row>
    <row r="57" ht="79.5" customHeight="1">
      <c r="A57" s="31" t="s">
        <v>44</v>
      </c>
      <c r="B57" s="32" t="s">
        <v>45</v>
      </c>
      <c r="C57" s="31" t="s">
        <v>278</v>
      </c>
      <c r="D57" s="32" t="s">
        <v>279</v>
      </c>
      <c r="E57" s="32" t="s">
        <v>280</v>
      </c>
      <c r="F57" s="36" t="s">
        <v>83</v>
      </c>
      <c r="G57" s="34" t="s">
        <v>91</v>
      </c>
      <c r="H57" s="41" t="s">
        <v>125</v>
      </c>
      <c r="I57" s="32" t="s">
        <v>174</v>
      </c>
      <c r="J57" s="32" t="s">
        <v>281</v>
      </c>
      <c r="K57" s="17">
        <f t="shared" ref="K57:K62" si="12">IF(H57="Done",1,IF(H57="In Progress",0.5,IF(H57="In Review",0.75,0)))</f>
        <v>0.5</v>
      </c>
    </row>
    <row r="58" ht="79.5" customHeight="1">
      <c r="A58" s="31" t="s">
        <v>44</v>
      </c>
      <c r="B58" s="32" t="s">
        <v>45</v>
      </c>
      <c r="C58" s="31" t="s">
        <v>282</v>
      </c>
      <c r="D58" s="32" t="s">
        <v>283</v>
      </c>
      <c r="E58" s="32" t="s">
        <v>284</v>
      </c>
      <c r="F58" s="36" t="s">
        <v>83</v>
      </c>
      <c r="G58" s="34" t="s">
        <v>96</v>
      </c>
      <c r="H58" s="30" t="s">
        <v>131</v>
      </c>
      <c r="I58" s="32" t="s">
        <v>285</v>
      </c>
      <c r="J58" s="32" t="s">
        <v>286</v>
      </c>
      <c r="K58" s="17">
        <f t="shared" si="12"/>
        <v>0</v>
      </c>
    </row>
    <row r="59" ht="79.5" customHeight="1">
      <c r="A59" s="31" t="s">
        <v>44</v>
      </c>
      <c r="B59" s="32" t="s">
        <v>45</v>
      </c>
      <c r="C59" s="31" t="s">
        <v>287</v>
      </c>
      <c r="D59" s="32" t="s">
        <v>288</v>
      </c>
      <c r="E59" s="32" t="s">
        <v>289</v>
      </c>
      <c r="F59" s="36" t="s">
        <v>83</v>
      </c>
      <c r="G59" s="34" t="s">
        <v>84</v>
      </c>
      <c r="H59" s="16" t="s">
        <v>85</v>
      </c>
      <c r="I59" s="32" t="s">
        <v>174</v>
      </c>
      <c r="J59" s="32" t="s">
        <v>290</v>
      </c>
      <c r="K59" s="17">
        <f t="shared" si="12"/>
        <v>1</v>
      </c>
    </row>
    <row r="60" ht="79.5" customHeight="1">
      <c r="A60" s="31" t="s">
        <v>44</v>
      </c>
      <c r="B60" s="32" t="s">
        <v>45</v>
      </c>
      <c r="C60" s="31" t="s">
        <v>231</v>
      </c>
      <c r="D60" s="32" t="s">
        <v>291</v>
      </c>
      <c r="E60" s="32" t="s">
        <v>292</v>
      </c>
      <c r="F60" s="36" t="s">
        <v>83</v>
      </c>
      <c r="G60" s="34" t="s">
        <v>91</v>
      </c>
      <c r="H60" s="30" t="s">
        <v>131</v>
      </c>
      <c r="I60" s="32" t="s">
        <v>278</v>
      </c>
      <c r="J60" s="32" t="s">
        <v>293</v>
      </c>
      <c r="K60" s="17">
        <f t="shared" si="12"/>
        <v>0</v>
      </c>
    </row>
    <row r="61" ht="79.5" customHeight="1">
      <c r="A61" s="31" t="s">
        <v>44</v>
      </c>
      <c r="B61" s="32" t="s">
        <v>45</v>
      </c>
      <c r="C61" s="31" t="s">
        <v>294</v>
      </c>
      <c r="D61" s="32" t="s">
        <v>295</v>
      </c>
      <c r="E61" s="32" t="s">
        <v>296</v>
      </c>
      <c r="F61" s="43" t="s">
        <v>119</v>
      </c>
      <c r="G61" s="34" t="s">
        <v>91</v>
      </c>
      <c r="H61" s="30" t="s">
        <v>131</v>
      </c>
      <c r="I61" s="32" t="s">
        <v>132</v>
      </c>
      <c r="J61" s="32" t="s">
        <v>297</v>
      </c>
      <c r="K61" s="17">
        <f t="shared" si="12"/>
        <v>0</v>
      </c>
    </row>
    <row r="62" ht="79.5" customHeight="1">
      <c r="A62" s="37" t="s">
        <v>44</v>
      </c>
      <c r="B62" s="38" t="s">
        <v>45</v>
      </c>
      <c r="C62" s="37" t="s">
        <v>298</v>
      </c>
      <c r="D62" s="38" t="s">
        <v>299</v>
      </c>
      <c r="E62" s="38" t="s">
        <v>300</v>
      </c>
      <c r="F62" s="39" t="s">
        <v>114</v>
      </c>
      <c r="G62" s="40" t="s">
        <v>96</v>
      </c>
      <c r="H62" s="30" t="s">
        <v>131</v>
      </c>
      <c r="I62" s="38" t="s">
        <v>301</v>
      </c>
      <c r="J62" s="38" t="s">
        <v>302</v>
      </c>
      <c r="K62" s="17">
        <f t="shared" si="12"/>
        <v>0</v>
      </c>
    </row>
    <row r="63" ht="18.0" customHeight="1">
      <c r="A63" s="9" t="s">
        <v>303</v>
      </c>
      <c r="B63" s="10"/>
      <c r="C63" s="10"/>
      <c r="D63" s="10"/>
      <c r="E63" s="10"/>
      <c r="F63" s="10"/>
      <c r="G63" s="10"/>
      <c r="H63" s="10"/>
      <c r="I63" s="10"/>
      <c r="J63" s="10"/>
      <c r="K63" s="11"/>
    </row>
    <row r="64" ht="79.5" customHeight="1">
      <c r="A64" s="31" t="s">
        <v>48</v>
      </c>
      <c r="B64" s="32" t="s">
        <v>49</v>
      </c>
      <c r="C64" s="31" t="s">
        <v>304</v>
      </c>
      <c r="D64" s="32" t="s">
        <v>305</v>
      </c>
      <c r="E64" s="32" t="s">
        <v>306</v>
      </c>
      <c r="F64" s="36" t="s">
        <v>83</v>
      </c>
      <c r="G64" s="34" t="s">
        <v>91</v>
      </c>
      <c r="H64" s="30" t="s">
        <v>131</v>
      </c>
      <c r="I64" s="32" t="s">
        <v>132</v>
      </c>
      <c r="J64" s="32" t="s">
        <v>307</v>
      </c>
      <c r="K64" s="17">
        <f t="shared" ref="K64:K70" si="13">IF(H64="Done",1,IF(H64="In Progress",0.5,IF(H64="In Review",0.75,0)))</f>
        <v>0</v>
      </c>
    </row>
    <row r="65" ht="79.5" customHeight="1">
      <c r="A65" s="31" t="s">
        <v>48</v>
      </c>
      <c r="B65" s="32" t="s">
        <v>49</v>
      </c>
      <c r="C65" s="31" t="s">
        <v>308</v>
      </c>
      <c r="D65" s="32" t="s">
        <v>309</v>
      </c>
      <c r="E65" s="32" t="s">
        <v>310</v>
      </c>
      <c r="F65" s="36" t="s">
        <v>83</v>
      </c>
      <c r="G65" s="34" t="s">
        <v>84</v>
      </c>
      <c r="H65" s="41" t="s">
        <v>125</v>
      </c>
      <c r="I65" s="32" t="s">
        <v>132</v>
      </c>
      <c r="J65" s="32" t="s">
        <v>311</v>
      </c>
      <c r="K65" s="17">
        <f t="shared" si="13"/>
        <v>0.5</v>
      </c>
    </row>
    <row r="66" ht="79.5" customHeight="1">
      <c r="A66" s="31" t="s">
        <v>48</v>
      </c>
      <c r="B66" s="32" t="s">
        <v>49</v>
      </c>
      <c r="C66" s="31" t="s">
        <v>312</v>
      </c>
      <c r="D66" s="32" t="s">
        <v>313</v>
      </c>
      <c r="E66" s="32" t="s">
        <v>314</v>
      </c>
      <c r="F66" s="33" t="s">
        <v>114</v>
      </c>
      <c r="G66" s="34" t="s">
        <v>84</v>
      </c>
      <c r="H66" s="44" t="s">
        <v>315</v>
      </c>
      <c r="I66" s="32" t="s">
        <v>308</v>
      </c>
      <c r="J66" s="32" t="s">
        <v>316</v>
      </c>
      <c r="K66" s="17">
        <f t="shared" si="13"/>
        <v>0</v>
      </c>
    </row>
    <row r="67" ht="79.5" customHeight="1">
      <c r="A67" s="31" t="s">
        <v>48</v>
      </c>
      <c r="B67" s="32" t="s">
        <v>49</v>
      </c>
      <c r="C67" s="31" t="s">
        <v>317</v>
      </c>
      <c r="D67" s="32" t="s">
        <v>318</v>
      </c>
      <c r="E67" s="32" t="s">
        <v>319</v>
      </c>
      <c r="F67" s="33" t="s">
        <v>114</v>
      </c>
      <c r="G67" s="34" t="s">
        <v>84</v>
      </c>
      <c r="H67" s="30" t="s">
        <v>131</v>
      </c>
      <c r="I67" s="32" t="s">
        <v>132</v>
      </c>
      <c r="J67" s="32" t="s">
        <v>320</v>
      </c>
      <c r="K67" s="17">
        <f t="shared" si="13"/>
        <v>0</v>
      </c>
    </row>
    <row r="68" ht="79.5" customHeight="1">
      <c r="A68" s="31" t="s">
        <v>48</v>
      </c>
      <c r="B68" s="32" t="s">
        <v>49</v>
      </c>
      <c r="C68" s="31" t="s">
        <v>321</v>
      </c>
      <c r="D68" s="32" t="s">
        <v>322</v>
      </c>
      <c r="E68" s="32" t="s">
        <v>323</v>
      </c>
      <c r="F68" s="36" t="s">
        <v>83</v>
      </c>
      <c r="G68" s="34" t="s">
        <v>91</v>
      </c>
      <c r="H68" s="30" t="s">
        <v>131</v>
      </c>
      <c r="I68" s="32" t="s">
        <v>132</v>
      </c>
      <c r="J68" s="32" t="s">
        <v>324</v>
      </c>
      <c r="K68" s="17">
        <f t="shared" si="13"/>
        <v>0</v>
      </c>
    </row>
    <row r="69" ht="79.5" customHeight="1">
      <c r="A69" s="31" t="s">
        <v>48</v>
      </c>
      <c r="B69" s="32" t="s">
        <v>49</v>
      </c>
      <c r="C69" s="31" t="s">
        <v>325</v>
      </c>
      <c r="D69" s="32" t="s">
        <v>326</v>
      </c>
      <c r="E69" s="32" t="s">
        <v>327</v>
      </c>
      <c r="F69" s="43" t="s">
        <v>119</v>
      </c>
      <c r="G69" s="34" t="s">
        <v>84</v>
      </c>
      <c r="H69" s="30" t="s">
        <v>131</v>
      </c>
      <c r="I69" s="32" t="s">
        <v>86</v>
      </c>
      <c r="J69" s="32" t="s">
        <v>328</v>
      </c>
      <c r="K69" s="17">
        <f t="shared" si="13"/>
        <v>0</v>
      </c>
    </row>
    <row r="70" ht="79.5" customHeight="1">
      <c r="A70" s="31" t="s">
        <v>48</v>
      </c>
      <c r="B70" s="32" t="s">
        <v>49</v>
      </c>
      <c r="C70" s="31" t="s">
        <v>329</v>
      </c>
      <c r="D70" s="32" t="s">
        <v>330</v>
      </c>
      <c r="E70" s="32" t="s">
        <v>331</v>
      </c>
      <c r="F70" s="43" t="s">
        <v>119</v>
      </c>
      <c r="G70" s="34" t="s">
        <v>84</v>
      </c>
      <c r="H70" s="44" t="s">
        <v>315</v>
      </c>
      <c r="I70" s="32" t="s">
        <v>294</v>
      </c>
      <c r="J70" s="32" t="s">
        <v>332</v>
      </c>
      <c r="K70" s="17">
        <f t="shared" si="13"/>
        <v>0</v>
      </c>
    </row>
    <row r="71" ht="18.0" customHeight="1">
      <c r="A71" s="9" t="s">
        <v>333</v>
      </c>
      <c r="B71" s="10"/>
      <c r="C71" s="10"/>
      <c r="D71" s="10"/>
      <c r="E71" s="10"/>
      <c r="F71" s="10"/>
      <c r="G71" s="10"/>
      <c r="H71" s="10"/>
      <c r="I71" s="10"/>
      <c r="J71" s="10"/>
      <c r="K71" s="11"/>
    </row>
    <row r="72" ht="79.5" customHeight="1">
      <c r="A72" s="37" t="s">
        <v>51</v>
      </c>
      <c r="B72" s="38" t="s">
        <v>52</v>
      </c>
      <c r="C72" s="37" t="s">
        <v>334</v>
      </c>
      <c r="D72" s="38" t="s">
        <v>335</v>
      </c>
      <c r="E72" s="38" t="s">
        <v>336</v>
      </c>
      <c r="F72" s="45" t="s">
        <v>83</v>
      </c>
      <c r="G72" s="40" t="s">
        <v>91</v>
      </c>
      <c r="H72" s="41" t="s">
        <v>125</v>
      </c>
      <c r="I72" s="38" t="s">
        <v>278</v>
      </c>
      <c r="J72" s="38" t="s">
        <v>337</v>
      </c>
      <c r="K72" s="17">
        <f t="shared" ref="K72:K73" si="14">IF(H72="Done",1,IF(H72="In Progress",0.5,IF(H72="In Review",0.75,0)))</f>
        <v>0.5</v>
      </c>
    </row>
    <row r="73" ht="79.5" customHeight="1">
      <c r="A73" s="37" t="s">
        <v>51</v>
      </c>
      <c r="B73" s="38" t="s">
        <v>52</v>
      </c>
      <c r="C73" s="37" t="s">
        <v>338</v>
      </c>
      <c r="D73" s="38" t="s">
        <v>339</v>
      </c>
      <c r="E73" s="38" t="s">
        <v>340</v>
      </c>
      <c r="F73" s="39" t="s">
        <v>114</v>
      </c>
      <c r="G73" s="40" t="s">
        <v>91</v>
      </c>
      <c r="H73" s="30" t="s">
        <v>131</v>
      </c>
      <c r="I73" s="38" t="s">
        <v>334</v>
      </c>
      <c r="J73" s="38" t="s">
        <v>341</v>
      </c>
      <c r="K73" s="17">
        <f t="shared" si="14"/>
        <v>0</v>
      </c>
    </row>
    <row r="74" ht="18.0" customHeight="1">
      <c r="A74" s="9" t="s">
        <v>342</v>
      </c>
      <c r="B74" s="10"/>
      <c r="C74" s="10"/>
      <c r="D74" s="10"/>
      <c r="E74" s="10"/>
      <c r="F74" s="10"/>
      <c r="G74" s="10"/>
      <c r="H74" s="10"/>
      <c r="I74" s="10"/>
      <c r="J74" s="10"/>
      <c r="K74" s="11"/>
    </row>
    <row r="75" ht="79.5" customHeight="1">
      <c r="A75" s="12" t="s">
        <v>55</v>
      </c>
      <c r="B75" s="13" t="s">
        <v>56</v>
      </c>
      <c r="C75" s="12" t="s">
        <v>343</v>
      </c>
      <c r="D75" s="13" t="s">
        <v>344</v>
      </c>
      <c r="E75" s="13" t="s">
        <v>345</v>
      </c>
      <c r="F75" s="14" t="s">
        <v>83</v>
      </c>
      <c r="G75" s="15" t="s">
        <v>96</v>
      </c>
      <c r="H75" s="16" t="s">
        <v>85</v>
      </c>
      <c r="I75" s="13" t="s">
        <v>86</v>
      </c>
      <c r="J75" s="13" t="s">
        <v>346</v>
      </c>
      <c r="K75" s="17">
        <f t="shared" ref="K75:K79" si="15">IF(H75="Done",1,IF(H75="In Progress",0.5,IF(H75="In Review",0.75,0)))</f>
        <v>1</v>
      </c>
    </row>
    <row r="76" ht="79.5" customHeight="1">
      <c r="A76" s="12" t="s">
        <v>55</v>
      </c>
      <c r="B76" s="13" t="s">
        <v>56</v>
      </c>
      <c r="C76" s="12" t="s">
        <v>347</v>
      </c>
      <c r="D76" s="13" t="s">
        <v>348</v>
      </c>
      <c r="E76" s="13" t="s">
        <v>349</v>
      </c>
      <c r="F76" s="14" t="s">
        <v>83</v>
      </c>
      <c r="G76" s="15" t="s">
        <v>96</v>
      </c>
      <c r="H76" s="16" t="s">
        <v>85</v>
      </c>
      <c r="I76" s="13" t="s">
        <v>86</v>
      </c>
      <c r="J76" s="13" t="s">
        <v>350</v>
      </c>
      <c r="K76" s="17">
        <f t="shared" si="15"/>
        <v>1</v>
      </c>
    </row>
    <row r="77" ht="79.5" customHeight="1">
      <c r="A77" s="25" t="s">
        <v>55</v>
      </c>
      <c r="B77" s="26" t="s">
        <v>56</v>
      </c>
      <c r="C77" s="25" t="s">
        <v>351</v>
      </c>
      <c r="D77" s="26" t="s">
        <v>352</v>
      </c>
      <c r="E77" s="26" t="s">
        <v>353</v>
      </c>
      <c r="F77" s="27" t="s">
        <v>83</v>
      </c>
      <c r="G77" s="28" t="s">
        <v>96</v>
      </c>
      <c r="H77" s="30" t="s">
        <v>131</v>
      </c>
      <c r="I77" s="26" t="s">
        <v>86</v>
      </c>
      <c r="J77" s="26" t="s">
        <v>354</v>
      </c>
      <c r="K77" s="17">
        <f t="shared" si="15"/>
        <v>0</v>
      </c>
    </row>
    <row r="78" ht="79.5" customHeight="1">
      <c r="A78" s="31" t="s">
        <v>55</v>
      </c>
      <c r="B78" s="32" t="s">
        <v>56</v>
      </c>
      <c r="C78" s="31" t="s">
        <v>355</v>
      </c>
      <c r="D78" s="32" t="s">
        <v>356</v>
      </c>
      <c r="E78" s="32" t="s">
        <v>357</v>
      </c>
      <c r="F78" s="36" t="s">
        <v>83</v>
      </c>
      <c r="G78" s="34" t="s">
        <v>96</v>
      </c>
      <c r="H78" s="30" t="s">
        <v>131</v>
      </c>
      <c r="I78" s="32" t="s">
        <v>86</v>
      </c>
      <c r="J78" s="32" t="s">
        <v>358</v>
      </c>
      <c r="K78" s="17">
        <f t="shared" si="15"/>
        <v>0</v>
      </c>
    </row>
    <row r="79" ht="79.5" customHeight="1">
      <c r="A79" s="12" t="s">
        <v>55</v>
      </c>
      <c r="B79" s="13" t="s">
        <v>56</v>
      </c>
      <c r="C79" s="12" t="s">
        <v>359</v>
      </c>
      <c r="D79" s="13" t="s">
        <v>360</v>
      </c>
      <c r="E79" s="13" t="s">
        <v>361</v>
      </c>
      <c r="F79" s="14" t="s">
        <v>83</v>
      </c>
      <c r="G79" s="15" t="s">
        <v>96</v>
      </c>
      <c r="H79" s="30" t="s">
        <v>131</v>
      </c>
      <c r="I79" s="13" t="s">
        <v>86</v>
      </c>
      <c r="J79" s="13" t="s">
        <v>362</v>
      </c>
      <c r="K79" s="17">
        <f t="shared" si="15"/>
        <v>0</v>
      </c>
    </row>
    <row r="80" ht="18.0" customHeight="1">
      <c r="A80" s="9" t="s">
        <v>363</v>
      </c>
      <c r="B80" s="10"/>
      <c r="C80" s="10"/>
      <c r="D80" s="10"/>
      <c r="E80" s="10"/>
      <c r="F80" s="10"/>
      <c r="G80" s="10"/>
      <c r="H80" s="10"/>
      <c r="I80" s="10"/>
      <c r="J80" s="10"/>
      <c r="K80" s="11"/>
    </row>
    <row r="81" ht="79.5" customHeight="1">
      <c r="A81" s="31" t="s">
        <v>59</v>
      </c>
      <c r="B81" s="32" t="s">
        <v>60</v>
      </c>
      <c r="C81" s="31" t="s">
        <v>364</v>
      </c>
      <c r="D81" s="32" t="s">
        <v>365</v>
      </c>
      <c r="E81" s="32" t="s">
        <v>366</v>
      </c>
      <c r="F81" s="33" t="s">
        <v>114</v>
      </c>
      <c r="G81" s="34" t="s">
        <v>96</v>
      </c>
      <c r="H81" s="30" t="s">
        <v>131</v>
      </c>
      <c r="I81" s="32" t="s">
        <v>359</v>
      </c>
      <c r="J81" s="32" t="s">
        <v>367</v>
      </c>
      <c r="K81" s="17">
        <f t="shared" ref="K81:K87" si="16">IF(H81="Done",1,IF(H81="In Progress",0.5,IF(H81="In Review",0.75,0)))</f>
        <v>0</v>
      </c>
    </row>
    <row r="82" ht="79.5" customHeight="1">
      <c r="A82" s="31" t="s">
        <v>59</v>
      </c>
      <c r="B82" s="32" t="s">
        <v>60</v>
      </c>
      <c r="C82" s="31" t="s">
        <v>368</v>
      </c>
      <c r="D82" s="32" t="s">
        <v>369</v>
      </c>
      <c r="E82" s="32" t="s">
        <v>370</v>
      </c>
      <c r="F82" s="33" t="s">
        <v>114</v>
      </c>
      <c r="G82" s="34" t="s">
        <v>96</v>
      </c>
      <c r="H82" s="30" t="s">
        <v>131</v>
      </c>
      <c r="I82" s="32" t="s">
        <v>371</v>
      </c>
      <c r="J82" s="32" t="s">
        <v>372</v>
      </c>
      <c r="K82" s="17">
        <f t="shared" si="16"/>
        <v>0</v>
      </c>
    </row>
    <row r="83" ht="79.5" customHeight="1">
      <c r="A83" s="31" t="s">
        <v>59</v>
      </c>
      <c r="B83" s="32" t="s">
        <v>60</v>
      </c>
      <c r="C83" s="31" t="s">
        <v>373</v>
      </c>
      <c r="D83" s="32" t="s">
        <v>374</v>
      </c>
      <c r="E83" s="32" t="s">
        <v>375</v>
      </c>
      <c r="F83" s="43" t="s">
        <v>119</v>
      </c>
      <c r="G83" s="34" t="s">
        <v>96</v>
      </c>
      <c r="H83" s="30" t="s">
        <v>131</v>
      </c>
      <c r="I83" s="32" t="s">
        <v>359</v>
      </c>
      <c r="J83" s="32" t="s">
        <v>376</v>
      </c>
      <c r="K83" s="17">
        <f t="shared" si="16"/>
        <v>0</v>
      </c>
    </row>
    <row r="84" ht="79.5" customHeight="1">
      <c r="A84" s="37" t="s">
        <v>59</v>
      </c>
      <c r="B84" s="38" t="s">
        <v>60</v>
      </c>
      <c r="C84" s="37" t="s">
        <v>377</v>
      </c>
      <c r="D84" s="38" t="s">
        <v>378</v>
      </c>
      <c r="E84" s="38" t="s">
        <v>379</v>
      </c>
      <c r="F84" s="39" t="s">
        <v>114</v>
      </c>
      <c r="G84" s="40" t="s">
        <v>96</v>
      </c>
      <c r="H84" s="30" t="s">
        <v>131</v>
      </c>
      <c r="I84" s="38" t="s">
        <v>359</v>
      </c>
      <c r="J84" s="38" t="s">
        <v>380</v>
      </c>
      <c r="K84" s="17">
        <f t="shared" si="16"/>
        <v>0</v>
      </c>
    </row>
    <row r="85" ht="79.5" customHeight="1">
      <c r="A85" s="37" t="s">
        <v>59</v>
      </c>
      <c r="B85" s="38" t="s">
        <v>60</v>
      </c>
      <c r="C85" s="37" t="s">
        <v>381</v>
      </c>
      <c r="D85" s="38" t="s">
        <v>382</v>
      </c>
      <c r="E85" s="38" t="s">
        <v>383</v>
      </c>
      <c r="F85" s="46" t="s">
        <v>119</v>
      </c>
      <c r="G85" s="40" t="s">
        <v>96</v>
      </c>
      <c r="H85" s="30" t="s">
        <v>131</v>
      </c>
      <c r="I85" s="38" t="s">
        <v>384</v>
      </c>
      <c r="J85" s="38" t="s">
        <v>385</v>
      </c>
      <c r="K85" s="17">
        <f t="shared" si="16"/>
        <v>0</v>
      </c>
    </row>
    <row r="86" ht="79.5" customHeight="1">
      <c r="A86" s="37" t="s">
        <v>59</v>
      </c>
      <c r="B86" s="38" t="s">
        <v>60</v>
      </c>
      <c r="C86" s="37" t="s">
        <v>386</v>
      </c>
      <c r="D86" s="38" t="s">
        <v>387</v>
      </c>
      <c r="E86" s="38" t="s">
        <v>388</v>
      </c>
      <c r="F86" s="39" t="s">
        <v>114</v>
      </c>
      <c r="G86" s="40" t="s">
        <v>96</v>
      </c>
      <c r="H86" s="30" t="s">
        <v>131</v>
      </c>
      <c r="I86" s="38" t="s">
        <v>389</v>
      </c>
      <c r="J86" s="38" t="s">
        <v>390</v>
      </c>
      <c r="K86" s="17">
        <f t="shared" si="16"/>
        <v>0</v>
      </c>
    </row>
    <row r="87" ht="79.5" customHeight="1">
      <c r="A87" s="37" t="s">
        <v>59</v>
      </c>
      <c r="B87" s="38" t="s">
        <v>60</v>
      </c>
      <c r="C87" s="37" t="s">
        <v>391</v>
      </c>
      <c r="D87" s="38" t="s">
        <v>392</v>
      </c>
      <c r="E87" s="38" t="s">
        <v>393</v>
      </c>
      <c r="F87" s="39" t="s">
        <v>114</v>
      </c>
      <c r="G87" s="40" t="s">
        <v>96</v>
      </c>
      <c r="H87" s="30" t="s">
        <v>131</v>
      </c>
      <c r="I87" s="38" t="s">
        <v>359</v>
      </c>
      <c r="J87" s="38" t="s">
        <v>394</v>
      </c>
      <c r="K87" s="17">
        <f t="shared" si="16"/>
        <v>0</v>
      </c>
    </row>
    <row r="88" ht="18.0" customHeight="1">
      <c r="A88" s="9" t="s">
        <v>395</v>
      </c>
      <c r="B88" s="10"/>
      <c r="C88" s="10"/>
      <c r="D88" s="10"/>
      <c r="E88" s="10"/>
      <c r="F88" s="10"/>
      <c r="G88" s="10"/>
      <c r="H88" s="10"/>
      <c r="I88" s="10"/>
      <c r="J88" s="10"/>
      <c r="K88" s="11"/>
    </row>
    <row r="89" ht="79.5" customHeight="1">
      <c r="A89" s="12" t="s">
        <v>62</v>
      </c>
      <c r="B89" s="13" t="s">
        <v>63</v>
      </c>
      <c r="C89" s="12" t="s">
        <v>396</v>
      </c>
      <c r="D89" s="13" t="s">
        <v>397</v>
      </c>
      <c r="E89" s="13" t="s">
        <v>398</v>
      </c>
      <c r="F89" s="14" t="s">
        <v>83</v>
      </c>
      <c r="G89" s="15" t="s">
        <v>96</v>
      </c>
      <c r="H89" s="16" t="s">
        <v>85</v>
      </c>
      <c r="I89" s="13" t="s">
        <v>86</v>
      </c>
      <c r="J89" s="13" t="s">
        <v>399</v>
      </c>
      <c r="K89" s="17">
        <f t="shared" ref="K89:K91" si="17">IF(H89="Done",1,IF(H89="In Progress",0.5,IF(H89="In Review",0.75,0)))</f>
        <v>1</v>
      </c>
    </row>
    <row r="90" ht="79.5" customHeight="1">
      <c r="A90" s="31" t="s">
        <v>62</v>
      </c>
      <c r="B90" s="32" t="s">
        <v>63</v>
      </c>
      <c r="C90" s="31" t="s">
        <v>400</v>
      </c>
      <c r="D90" s="32" t="s">
        <v>401</v>
      </c>
      <c r="E90" s="32" t="s">
        <v>402</v>
      </c>
      <c r="F90" s="36" t="s">
        <v>83</v>
      </c>
      <c r="G90" s="34" t="s">
        <v>96</v>
      </c>
      <c r="H90" s="44" t="s">
        <v>315</v>
      </c>
      <c r="I90" s="32" t="s">
        <v>396</v>
      </c>
      <c r="J90" s="32" t="s">
        <v>403</v>
      </c>
      <c r="K90" s="17">
        <f t="shared" si="17"/>
        <v>0</v>
      </c>
    </row>
    <row r="91" ht="79.5" customHeight="1">
      <c r="A91" s="31" t="s">
        <v>62</v>
      </c>
      <c r="B91" s="32" t="s">
        <v>63</v>
      </c>
      <c r="C91" s="31" t="s">
        <v>404</v>
      </c>
      <c r="D91" s="32" t="s">
        <v>405</v>
      </c>
      <c r="E91" s="32" t="s">
        <v>406</v>
      </c>
      <c r="F91" s="36" t="s">
        <v>83</v>
      </c>
      <c r="G91" s="34" t="s">
        <v>96</v>
      </c>
      <c r="H91" s="44" t="s">
        <v>315</v>
      </c>
      <c r="I91" s="32" t="s">
        <v>396</v>
      </c>
      <c r="J91" s="32" t="s">
        <v>407</v>
      </c>
      <c r="K91" s="17">
        <f t="shared" si="17"/>
        <v>0</v>
      </c>
    </row>
    <row r="92" ht="18.0" customHeight="1">
      <c r="A92" s="9" t="s">
        <v>408</v>
      </c>
      <c r="B92" s="10"/>
      <c r="C92" s="10"/>
      <c r="D92" s="10"/>
      <c r="E92" s="10"/>
      <c r="F92" s="10"/>
      <c r="G92" s="10"/>
      <c r="H92" s="10"/>
      <c r="I92" s="10"/>
      <c r="J92" s="10"/>
      <c r="K92" s="11"/>
    </row>
    <row r="93" ht="79.5" customHeight="1">
      <c r="A93" s="12" t="s">
        <v>66</v>
      </c>
      <c r="B93" s="13" t="s">
        <v>67</v>
      </c>
      <c r="C93" s="12" t="s">
        <v>409</v>
      </c>
      <c r="D93" s="13" t="s">
        <v>410</v>
      </c>
      <c r="E93" s="13" t="s">
        <v>411</v>
      </c>
      <c r="F93" s="14" t="s">
        <v>83</v>
      </c>
      <c r="G93" s="15" t="s">
        <v>412</v>
      </c>
      <c r="H93" s="41" t="s">
        <v>125</v>
      </c>
      <c r="I93" s="13" t="s">
        <v>86</v>
      </c>
      <c r="J93" s="13" t="s">
        <v>413</v>
      </c>
      <c r="K93" s="17">
        <f t="shared" ref="K93:K94" si="18">IF(H93="Done",1,IF(H93="In Progress",0.5,IF(H93="In Review",0.75,0)))</f>
        <v>0.5</v>
      </c>
    </row>
    <row r="94" ht="79.5" customHeight="1">
      <c r="A94" s="25" t="s">
        <v>66</v>
      </c>
      <c r="B94" s="26" t="s">
        <v>67</v>
      </c>
      <c r="C94" s="25" t="s">
        <v>414</v>
      </c>
      <c r="D94" s="26" t="s">
        <v>415</v>
      </c>
      <c r="E94" s="26" t="s">
        <v>416</v>
      </c>
      <c r="F94" s="27" t="s">
        <v>83</v>
      </c>
      <c r="G94" s="28" t="s">
        <v>412</v>
      </c>
      <c r="H94" s="30" t="s">
        <v>131</v>
      </c>
      <c r="I94" s="26" t="s">
        <v>409</v>
      </c>
      <c r="J94" s="26" t="s">
        <v>417</v>
      </c>
      <c r="K94" s="17">
        <f t="shared" si="18"/>
        <v>0</v>
      </c>
    </row>
    <row r="95" ht="15.75" customHeight="1">
      <c r="A95" s="8"/>
      <c r="B95" s="8"/>
      <c r="C95" s="8"/>
      <c r="D95" s="8"/>
      <c r="E95" s="8"/>
      <c r="F95" s="8"/>
      <c r="G95" s="8"/>
      <c r="H95" s="8"/>
      <c r="I95" s="8"/>
      <c r="J95" s="8"/>
      <c r="K95" s="8"/>
    </row>
    <row r="96" ht="15.75" customHeight="1">
      <c r="A96" s="8"/>
      <c r="B96" s="8"/>
      <c r="C96" s="8"/>
      <c r="D96" s="8"/>
      <c r="E96" s="8"/>
      <c r="F96" s="8"/>
      <c r="G96" s="8"/>
      <c r="H96" s="8"/>
      <c r="I96" s="8"/>
      <c r="J96" s="8"/>
      <c r="K96" s="8"/>
    </row>
    <row r="97" ht="15.75" customHeight="1">
      <c r="A97" s="8"/>
      <c r="B97" s="8"/>
      <c r="C97" s="8"/>
      <c r="D97" s="8"/>
      <c r="E97" s="8"/>
      <c r="F97" s="8"/>
      <c r="G97" s="8"/>
      <c r="H97" s="8"/>
      <c r="I97" s="8"/>
      <c r="J97" s="8"/>
      <c r="K97" s="8"/>
    </row>
    <row r="98" ht="15.75" customHeight="1">
      <c r="A98" s="8"/>
      <c r="B98" s="8"/>
      <c r="C98" s="8"/>
      <c r="D98" s="8"/>
      <c r="E98" s="8"/>
      <c r="F98" s="8"/>
      <c r="G98" s="8"/>
      <c r="H98" s="8"/>
      <c r="I98" s="8"/>
      <c r="J98" s="8"/>
      <c r="K98" s="8"/>
    </row>
    <row r="99" ht="15.75" customHeight="1">
      <c r="A99" s="8"/>
      <c r="B99" s="8"/>
      <c r="C99" s="8"/>
      <c r="D99" s="8"/>
      <c r="E99" s="8"/>
      <c r="F99" s="8"/>
      <c r="G99" s="8"/>
      <c r="H99" s="8"/>
      <c r="I99" s="8"/>
      <c r="J99" s="8"/>
      <c r="K99" s="8"/>
    </row>
    <row r="100" ht="15.75" customHeight="1">
      <c r="A100" s="8"/>
      <c r="B100" s="8"/>
      <c r="C100" s="8"/>
      <c r="D100" s="8"/>
      <c r="E100" s="8"/>
      <c r="F100" s="8"/>
      <c r="G100" s="8"/>
      <c r="H100" s="8"/>
      <c r="I100" s="8"/>
      <c r="J100" s="8"/>
      <c r="K100" s="8"/>
    </row>
    <row r="101" ht="15.75" customHeight="1">
      <c r="A101" s="8"/>
      <c r="B101" s="8"/>
      <c r="C101" s="8"/>
      <c r="D101" s="8"/>
      <c r="E101" s="8"/>
      <c r="F101" s="8"/>
      <c r="G101" s="8"/>
      <c r="H101" s="8"/>
      <c r="I101" s="8"/>
      <c r="J101" s="8"/>
      <c r="K101" s="8"/>
    </row>
    <row r="102" ht="15.75" customHeight="1">
      <c r="A102" s="8"/>
      <c r="B102" s="8"/>
      <c r="C102" s="8"/>
      <c r="D102" s="8"/>
      <c r="E102" s="8"/>
      <c r="F102" s="8"/>
      <c r="G102" s="8"/>
      <c r="H102" s="8"/>
      <c r="I102" s="8"/>
      <c r="J102" s="8"/>
      <c r="K102" s="8"/>
    </row>
    <row r="103" ht="15.75" customHeight="1">
      <c r="A103" s="8"/>
      <c r="B103" s="8"/>
      <c r="C103" s="8"/>
      <c r="D103" s="8"/>
      <c r="E103" s="8"/>
      <c r="F103" s="8"/>
      <c r="G103" s="8"/>
      <c r="H103" s="8"/>
      <c r="I103" s="8"/>
      <c r="J103" s="8"/>
      <c r="K103" s="8"/>
    </row>
    <row r="104" ht="15.75" customHeight="1">
      <c r="A104" s="8"/>
      <c r="B104" s="8"/>
      <c r="C104" s="8"/>
      <c r="D104" s="8"/>
      <c r="E104" s="8"/>
      <c r="F104" s="8"/>
      <c r="G104" s="8"/>
      <c r="H104" s="8"/>
      <c r="I104" s="8"/>
      <c r="J104" s="8"/>
      <c r="K104" s="8"/>
    </row>
    <row r="105" ht="15.75" customHeight="1">
      <c r="A105" s="8"/>
      <c r="B105" s="8"/>
      <c r="C105" s="8"/>
      <c r="D105" s="8"/>
      <c r="E105" s="8"/>
      <c r="F105" s="8"/>
      <c r="G105" s="8"/>
      <c r="H105" s="8"/>
      <c r="I105" s="8"/>
      <c r="J105" s="8"/>
      <c r="K105" s="8"/>
    </row>
    <row r="106" ht="15.75" customHeight="1">
      <c r="A106" s="8"/>
      <c r="B106" s="8"/>
      <c r="C106" s="8"/>
      <c r="D106" s="8"/>
      <c r="E106" s="8"/>
      <c r="F106" s="8"/>
      <c r="G106" s="8"/>
      <c r="H106" s="8"/>
      <c r="I106" s="8"/>
      <c r="J106" s="8"/>
      <c r="K106" s="8"/>
    </row>
    <row r="107" ht="15.75" customHeight="1">
      <c r="A107" s="8"/>
      <c r="B107" s="8"/>
      <c r="C107" s="8"/>
      <c r="D107" s="8"/>
      <c r="E107" s="8"/>
      <c r="F107" s="8"/>
      <c r="G107" s="8"/>
      <c r="H107" s="8"/>
      <c r="I107" s="8"/>
      <c r="J107" s="8"/>
      <c r="K107" s="8"/>
    </row>
    <row r="108" ht="15.75" customHeight="1">
      <c r="A108" s="8"/>
      <c r="B108" s="8"/>
      <c r="C108" s="8"/>
      <c r="D108" s="8"/>
      <c r="E108" s="8"/>
      <c r="F108" s="8"/>
      <c r="G108" s="8"/>
      <c r="H108" s="8"/>
      <c r="I108" s="8"/>
      <c r="J108" s="8"/>
      <c r="K108" s="8"/>
    </row>
    <row r="109" ht="15.75" customHeight="1">
      <c r="A109" s="8"/>
      <c r="B109" s="8"/>
      <c r="C109" s="8"/>
      <c r="D109" s="8"/>
      <c r="E109" s="8"/>
      <c r="F109" s="8"/>
      <c r="G109" s="8"/>
      <c r="H109" s="8"/>
      <c r="I109" s="8"/>
      <c r="J109" s="8"/>
      <c r="K109" s="8"/>
    </row>
    <row r="110" ht="15.75" customHeight="1">
      <c r="A110" s="8"/>
      <c r="B110" s="8"/>
      <c r="C110" s="8"/>
      <c r="D110" s="8"/>
      <c r="E110" s="8"/>
      <c r="F110" s="8"/>
      <c r="G110" s="8"/>
      <c r="H110" s="8"/>
      <c r="I110" s="8"/>
      <c r="J110" s="8"/>
      <c r="K110" s="8"/>
    </row>
    <row r="111" ht="15.75" customHeight="1">
      <c r="A111" s="8"/>
      <c r="B111" s="8"/>
      <c r="C111" s="8"/>
      <c r="D111" s="8"/>
      <c r="E111" s="8"/>
      <c r="F111" s="8"/>
      <c r="G111" s="8"/>
      <c r="H111" s="8"/>
      <c r="I111" s="8"/>
      <c r="J111" s="8"/>
      <c r="K111" s="8"/>
    </row>
    <row r="112" ht="15.75" customHeight="1">
      <c r="A112" s="8"/>
      <c r="B112" s="8"/>
      <c r="C112" s="8"/>
      <c r="D112" s="8"/>
      <c r="E112" s="8"/>
      <c r="F112" s="8"/>
      <c r="G112" s="8"/>
      <c r="H112" s="8"/>
      <c r="I112" s="8"/>
      <c r="J112" s="8"/>
      <c r="K112" s="8"/>
    </row>
    <row r="113" ht="15.75" customHeight="1">
      <c r="A113" s="8"/>
      <c r="B113" s="8"/>
      <c r="C113" s="8"/>
      <c r="D113" s="8"/>
      <c r="E113" s="8"/>
      <c r="F113" s="8"/>
      <c r="G113" s="8"/>
      <c r="H113" s="8"/>
      <c r="I113" s="8"/>
      <c r="J113" s="8"/>
      <c r="K113" s="8"/>
    </row>
    <row r="114" ht="15.75" customHeight="1">
      <c r="A114" s="8"/>
      <c r="B114" s="8"/>
      <c r="C114" s="8"/>
      <c r="D114" s="8"/>
      <c r="E114" s="8"/>
      <c r="F114" s="8"/>
      <c r="G114" s="8"/>
      <c r="H114" s="8"/>
      <c r="I114" s="8"/>
      <c r="J114" s="8"/>
      <c r="K114" s="8"/>
    </row>
    <row r="115" ht="15.75" customHeight="1">
      <c r="A115" s="8"/>
      <c r="B115" s="8"/>
      <c r="C115" s="8"/>
      <c r="D115" s="8"/>
      <c r="E115" s="8"/>
      <c r="F115" s="8"/>
      <c r="G115" s="8"/>
      <c r="H115" s="8"/>
      <c r="I115" s="8"/>
      <c r="J115" s="8"/>
      <c r="K115" s="8"/>
    </row>
    <row r="116" ht="15.75" customHeight="1">
      <c r="A116" s="8"/>
      <c r="B116" s="8"/>
      <c r="C116" s="8"/>
      <c r="D116" s="8"/>
      <c r="E116" s="8"/>
      <c r="F116" s="8"/>
      <c r="G116" s="8"/>
      <c r="H116" s="8"/>
      <c r="I116" s="8"/>
      <c r="J116" s="8"/>
      <c r="K116" s="8"/>
    </row>
    <row r="117" ht="15.75" customHeight="1">
      <c r="A117" s="8"/>
      <c r="B117" s="8"/>
      <c r="C117" s="8"/>
      <c r="D117" s="8"/>
      <c r="E117" s="8"/>
      <c r="F117" s="8"/>
      <c r="G117" s="8"/>
      <c r="H117" s="8"/>
      <c r="I117" s="8"/>
      <c r="J117" s="8"/>
      <c r="K117" s="8"/>
    </row>
    <row r="118" ht="15.75" customHeight="1">
      <c r="A118" s="8"/>
      <c r="B118" s="8"/>
      <c r="C118" s="8"/>
      <c r="D118" s="8"/>
      <c r="E118" s="8"/>
      <c r="F118" s="8"/>
      <c r="G118" s="8"/>
      <c r="H118" s="8"/>
      <c r="I118" s="8"/>
      <c r="J118" s="8"/>
      <c r="K118" s="8"/>
    </row>
    <row r="119" ht="15.75" customHeight="1">
      <c r="A119" s="8"/>
      <c r="B119" s="8"/>
      <c r="C119" s="8"/>
      <c r="D119" s="8"/>
      <c r="E119" s="8"/>
      <c r="F119" s="8"/>
      <c r="G119" s="8"/>
      <c r="H119" s="8"/>
      <c r="I119" s="8"/>
      <c r="J119" s="8"/>
      <c r="K119" s="8"/>
    </row>
    <row r="120" ht="15.75" customHeight="1">
      <c r="A120" s="8"/>
      <c r="B120" s="8"/>
      <c r="C120" s="8"/>
      <c r="D120" s="8"/>
      <c r="E120" s="8"/>
      <c r="F120" s="8"/>
      <c r="G120" s="8"/>
      <c r="H120" s="8"/>
      <c r="I120" s="8"/>
      <c r="J120" s="8"/>
      <c r="K120" s="8"/>
    </row>
    <row r="121" ht="15.75" customHeight="1">
      <c r="A121" s="8"/>
      <c r="B121" s="8"/>
      <c r="C121" s="8"/>
      <c r="D121" s="8"/>
      <c r="E121" s="8"/>
      <c r="F121" s="8"/>
      <c r="G121" s="8"/>
      <c r="H121" s="8"/>
      <c r="I121" s="8"/>
      <c r="J121" s="8"/>
      <c r="K121" s="8"/>
    </row>
    <row r="122" ht="15.75" customHeight="1">
      <c r="A122" s="8"/>
      <c r="B122" s="8"/>
      <c r="C122" s="8"/>
      <c r="D122" s="8"/>
      <c r="E122" s="8"/>
      <c r="F122" s="8"/>
      <c r="G122" s="8"/>
      <c r="H122" s="8"/>
      <c r="I122" s="8"/>
      <c r="J122" s="8"/>
      <c r="K122" s="8"/>
    </row>
    <row r="123" ht="15.75" customHeight="1">
      <c r="A123" s="8"/>
      <c r="B123" s="8"/>
      <c r="C123" s="8"/>
      <c r="D123" s="8"/>
      <c r="E123" s="8"/>
      <c r="F123" s="8"/>
      <c r="G123" s="8"/>
      <c r="H123" s="8"/>
      <c r="I123" s="8"/>
      <c r="J123" s="8"/>
      <c r="K123" s="8"/>
    </row>
    <row r="124" ht="15.75" customHeight="1">
      <c r="A124" s="8"/>
      <c r="B124" s="8"/>
      <c r="C124" s="8"/>
      <c r="D124" s="8"/>
      <c r="E124" s="8"/>
      <c r="F124" s="8"/>
      <c r="G124" s="8"/>
      <c r="H124" s="8"/>
      <c r="I124" s="8"/>
      <c r="J124" s="8"/>
      <c r="K124" s="8"/>
    </row>
    <row r="125" ht="15.75" customHeight="1">
      <c r="A125" s="8"/>
      <c r="B125" s="8"/>
      <c r="C125" s="8"/>
      <c r="D125" s="8"/>
      <c r="E125" s="8"/>
      <c r="F125" s="8"/>
      <c r="G125" s="8"/>
      <c r="H125" s="8"/>
      <c r="I125" s="8"/>
      <c r="J125" s="8"/>
      <c r="K125" s="8"/>
    </row>
    <row r="126" ht="15.75" customHeight="1">
      <c r="A126" s="8"/>
      <c r="B126" s="8"/>
      <c r="C126" s="8"/>
      <c r="D126" s="8"/>
      <c r="E126" s="8"/>
      <c r="F126" s="8"/>
      <c r="G126" s="8"/>
      <c r="H126" s="8"/>
      <c r="I126" s="8"/>
      <c r="J126" s="8"/>
      <c r="K126" s="8"/>
    </row>
    <row r="127" ht="15.75" customHeight="1">
      <c r="A127" s="8"/>
      <c r="B127" s="8"/>
      <c r="C127" s="8"/>
      <c r="D127" s="8"/>
      <c r="E127" s="8"/>
      <c r="F127" s="8"/>
      <c r="G127" s="8"/>
      <c r="H127" s="8"/>
      <c r="I127" s="8"/>
      <c r="J127" s="8"/>
      <c r="K127" s="8"/>
    </row>
    <row r="128" ht="15.75" customHeight="1">
      <c r="A128" s="8"/>
      <c r="B128" s="8"/>
      <c r="C128" s="8"/>
      <c r="D128" s="8"/>
      <c r="E128" s="8"/>
      <c r="F128" s="8"/>
      <c r="G128" s="8"/>
      <c r="H128" s="8"/>
      <c r="I128" s="8"/>
      <c r="J128" s="8"/>
      <c r="K128" s="8"/>
    </row>
    <row r="129" ht="15.75" customHeight="1">
      <c r="A129" s="8"/>
      <c r="B129" s="8"/>
      <c r="C129" s="8"/>
      <c r="D129" s="8"/>
      <c r="E129" s="8"/>
      <c r="F129" s="8"/>
      <c r="G129" s="8"/>
      <c r="H129" s="8"/>
      <c r="I129" s="8"/>
      <c r="J129" s="8"/>
      <c r="K129" s="8"/>
    </row>
    <row r="130" ht="15.75" customHeight="1">
      <c r="A130" s="8"/>
      <c r="B130" s="8"/>
      <c r="C130" s="8"/>
      <c r="D130" s="8"/>
      <c r="E130" s="8"/>
      <c r="F130" s="8"/>
      <c r="G130" s="8"/>
      <c r="H130" s="8"/>
      <c r="I130" s="8"/>
      <c r="J130" s="8"/>
      <c r="K130" s="8"/>
    </row>
    <row r="131" ht="15.75" customHeight="1">
      <c r="A131" s="8"/>
      <c r="B131" s="8"/>
      <c r="C131" s="8"/>
      <c r="D131" s="8"/>
      <c r="E131" s="8"/>
      <c r="F131" s="8"/>
      <c r="G131" s="8"/>
      <c r="H131" s="8"/>
      <c r="I131" s="8"/>
      <c r="J131" s="8"/>
      <c r="K131" s="8"/>
    </row>
    <row r="132" ht="15.75" customHeight="1">
      <c r="A132" s="8"/>
      <c r="B132" s="8"/>
      <c r="C132" s="8"/>
      <c r="D132" s="8"/>
      <c r="E132" s="8"/>
      <c r="F132" s="8"/>
      <c r="G132" s="8"/>
      <c r="H132" s="8"/>
      <c r="I132" s="8"/>
      <c r="J132" s="8"/>
      <c r="K132" s="8"/>
    </row>
    <row r="133" ht="15.75" customHeight="1">
      <c r="A133" s="8"/>
      <c r="B133" s="8"/>
      <c r="C133" s="8"/>
      <c r="D133" s="8"/>
      <c r="E133" s="8"/>
      <c r="F133" s="8"/>
      <c r="G133" s="8"/>
      <c r="H133" s="8"/>
      <c r="I133" s="8"/>
      <c r="J133" s="8"/>
      <c r="K133" s="8"/>
    </row>
    <row r="134" ht="15.75" customHeight="1">
      <c r="A134" s="8"/>
      <c r="B134" s="8"/>
      <c r="C134" s="8"/>
      <c r="D134" s="8"/>
      <c r="E134" s="8"/>
      <c r="F134" s="8"/>
      <c r="G134" s="8"/>
      <c r="H134" s="8"/>
      <c r="I134" s="8"/>
      <c r="J134" s="8"/>
      <c r="K134" s="8"/>
    </row>
    <row r="135" ht="15.75" customHeight="1">
      <c r="A135" s="8"/>
      <c r="B135" s="8"/>
      <c r="C135" s="8"/>
      <c r="D135" s="8"/>
      <c r="E135" s="8"/>
      <c r="F135" s="8"/>
      <c r="G135" s="8"/>
      <c r="H135" s="8"/>
      <c r="I135" s="8"/>
      <c r="J135" s="8"/>
      <c r="K135" s="8"/>
    </row>
    <row r="136" ht="15.75" customHeight="1">
      <c r="A136" s="8"/>
      <c r="B136" s="8"/>
      <c r="C136" s="8"/>
      <c r="D136" s="8"/>
      <c r="E136" s="8"/>
      <c r="F136" s="8"/>
      <c r="G136" s="8"/>
      <c r="H136" s="8"/>
      <c r="I136" s="8"/>
      <c r="J136" s="8"/>
      <c r="K136" s="8"/>
    </row>
    <row r="137" ht="15.75" customHeight="1">
      <c r="A137" s="8"/>
      <c r="B137" s="8"/>
      <c r="C137" s="8"/>
      <c r="D137" s="8"/>
      <c r="E137" s="8"/>
      <c r="F137" s="8"/>
      <c r="G137" s="8"/>
      <c r="H137" s="8"/>
      <c r="I137" s="8"/>
      <c r="J137" s="8"/>
      <c r="K137" s="8"/>
    </row>
    <row r="138" ht="15.75" customHeight="1">
      <c r="A138" s="8"/>
      <c r="B138" s="8"/>
      <c r="C138" s="8"/>
      <c r="D138" s="8"/>
      <c r="E138" s="8"/>
      <c r="F138" s="8"/>
      <c r="G138" s="8"/>
      <c r="H138" s="8"/>
      <c r="I138" s="8"/>
      <c r="J138" s="8"/>
      <c r="K138" s="8"/>
    </row>
    <row r="139" ht="15.75" customHeight="1">
      <c r="A139" s="8"/>
      <c r="B139" s="8"/>
      <c r="C139" s="8"/>
      <c r="D139" s="8"/>
      <c r="E139" s="8"/>
      <c r="F139" s="8"/>
      <c r="G139" s="8"/>
      <c r="H139" s="8"/>
      <c r="I139" s="8"/>
      <c r="J139" s="8"/>
      <c r="K139" s="8"/>
    </row>
    <row r="140" ht="15.75" customHeight="1">
      <c r="A140" s="8"/>
      <c r="B140" s="8"/>
      <c r="C140" s="8"/>
      <c r="D140" s="8"/>
      <c r="E140" s="8"/>
      <c r="F140" s="8"/>
      <c r="G140" s="8"/>
      <c r="H140" s="8"/>
      <c r="I140" s="8"/>
      <c r="J140" s="8"/>
      <c r="K140" s="8"/>
    </row>
    <row r="141" ht="15.75" customHeight="1">
      <c r="A141" s="8"/>
      <c r="B141" s="8"/>
      <c r="C141" s="8"/>
      <c r="D141" s="8"/>
      <c r="E141" s="8"/>
      <c r="F141" s="8"/>
      <c r="G141" s="8"/>
      <c r="H141" s="8"/>
      <c r="I141" s="8"/>
      <c r="J141" s="8"/>
      <c r="K141" s="8"/>
    </row>
    <row r="142" ht="15.75" customHeight="1">
      <c r="A142" s="8"/>
      <c r="B142" s="8"/>
      <c r="C142" s="8"/>
      <c r="D142" s="8"/>
      <c r="E142" s="8"/>
      <c r="F142" s="8"/>
      <c r="G142" s="8"/>
      <c r="H142" s="8"/>
      <c r="I142" s="8"/>
      <c r="J142" s="8"/>
      <c r="K142" s="8"/>
    </row>
    <row r="143" ht="15.75" customHeight="1">
      <c r="A143" s="8"/>
      <c r="B143" s="8"/>
      <c r="C143" s="8"/>
      <c r="D143" s="8"/>
      <c r="E143" s="8"/>
      <c r="F143" s="8"/>
      <c r="G143" s="8"/>
      <c r="H143" s="8"/>
      <c r="I143" s="8"/>
      <c r="J143" s="8"/>
      <c r="K143" s="8"/>
    </row>
    <row r="144" ht="15.75" customHeight="1">
      <c r="A144" s="8"/>
      <c r="B144" s="8"/>
      <c r="C144" s="8"/>
      <c r="D144" s="8"/>
      <c r="E144" s="8"/>
      <c r="F144" s="8"/>
      <c r="G144" s="8"/>
      <c r="H144" s="8"/>
      <c r="I144" s="8"/>
      <c r="J144" s="8"/>
      <c r="K144" s="8"/>
    </row>
    <row r="145" ht="15.75" customHeight="1">
      <c r="A145" s="8"/>
      <c r="B145" s="8"/>
      <c r="C145" s="8"/>
      <c r="D145" s="8"/>
      <c r="E145" s="8"/>
      <c r="F145" s="8"/>
      <c r="G145" s="8"/>
      <c r="H145" s="8"/>
      <c r="I145" s="8"/>
      <c r="J145" s="8"/>
      <c r="K145" s="8"/>
    </row>
    <row r="146" ht="15.75" customHeight="1">
      <c r="A146" s="8"/>
      <c r="B146" s="8"/>
      <c r="C146" s="8"/>
      <c r="D146" s="8"/>
      <c r="E146" s="8"/>
      <c r="F146" s="8"/>
      <c r="G146" s="8"/>
      <c r="H146" s="8"/>
      <c r="I146" s="8"/>
      <c r="J146" s="8"/>
      <c r="K146" s="8"/>
    </row>
    <row r="147" ht="15.75" customHeight="1">
      <c r="A147" s="8"/>
      <c r="B147" s="8"/>
      <c r="C147" s="8"/>
      <c r="D147" s="8"/>
      <c r="E147" s="8"/>
      <c r="F147" s="8"/>
      <c r="G147" s="8"/>
      <c r="H147" s="8"/>
      <c r="I147" s="8"/>
      <c r="J147" s="8"/>
      <c r="K147" s="8"/>
    </row>
    <row r="148" ht="15.75" customHeight="1">
      <c r="A148" s="8"/>
      <c r="B148" s="8"/>
      <c r="C148" s="8"/>
      <c r="D148" s="8"/>
      <c r="E148" s="8"/>
      <c r="F148" s="8"/>
      <c r="G148" s="8"/>
      <c r="H148" s="8"/>
      <c r="I148" s="8"/>
      <c r="J148" s="8"/>
      <c r="K148" s="8"/>
    </row>
    <row r="149" ht="15.75" customHeight="1">
      <c r="A149" s="8"/>
      <c r="B149" s="8"/>
      <c r="C149" s="8"/>
      <c r="D149" s="8"/>
      <c r="E149" s="8"/>
      <c r="F149" s="8"/>
      <c r="G149" s="8"/>
      <c r="H149" s="8"/>
      <c r="I149" s="8"/>
      <c r="J149" s="8"/>
      <c r="K149" s="8"/>
    </row>
    <row r="150" ht="15.75" customHeight="1">
      <c r="A150" s="8"/>
      <c r="B150" s="8"/>
      <c r="C150" s="8"/>
      <c r="D150" s="8"/>
      <c r="E150" s="8"/>
      <c r="F150" s="8"/>
      <c r="G150" s="8"/>
      <c r="H150" s="8"/>
      <c r="I150" s="8"/>
      <c r="J150" s="8"/>
      <c r="K150" s="8"/>
    </row>
    <row r="151" ht="15.75" customHeight="1">
      <c r="A151" s="8"/>
      <c r="B151" s="8"/>
      <c r="C151" s="8"/>
      <c r="D151" s="8"/>
      <c r="E151" s="8"/>
      <c r="F151" s="8"/>
      <c r="G151" s="8"/>
      <c r="H151" s="8"/>
      <c r="I151" s="8"/>
      <c r="J151" s="8"/>
      <c r="K151" s="8"/>
    </row>
    <row r="152" ht="15.75" customHeight="1">
      <c r="A152" s="8"/>
      <c r="B152" s="8"/>
      <c r="C152" s="8"/>
      <c r="D152" s="8"/>
      <c r="E152" s="8"/>
      <c r="F152" s="8"/>
      <c r="G152" s="8"/>
      <c r="H152" s="8"/>
      <c r="I152" s="8"/>
      <c r="J152" s="8"/>
      <c r="K152" s="8"/>
    </row>
    <row r="153" ht="15.75" customHeight="1">
      <c r="A153" s="8"/>
      <c r="B153" s="8"/>
      <c r="C153" s="8"/>
      <c r="D153" s="8"/>
      <c r="E153" s="8"/>
      <c r="F153" s="8"/>
      <c r="G153" s="8"/>
      <c r="H153" s="8"/>
      <c r="I153" s="8"/>
      <c r="J153" s="8"/>
      <c r="K153" s="8"/>
    </row>
    <row r="154" ht="15.75" customHeight="1">
      <c r="A154" s="8"/>
      <c r="B154" s="8"/>
      <c r="C154" s="8"/>
      <c r="D154" s="8"/>
      <c r="E154" s="8"/>
      <c r="F154" s="8"/>
      <c r="G154" s="8"/>
      <c r="H154" s="8"/>
      <c r="I154" s="8"/>
      <c r="J154" s="8"/>
      <c r="K154" s="8"/>
    </row>
    <row r="155" ht="15.75" customHeight="1">
      <c r="A155" s="8"/>
      <c r="B155" s="8"/>
      <c r="C155" s="8"/>
      <c r="D155" s="8"/>
      <c r="E155" s="8"/>
      <c r="F155" s="8"/>
      <c r="G155" s="8"/>
      <c r="H155" s="8"/>
      <c r="I155" s="8"/>
      <c r="J155" s="8"/>
      <c r="K155" s="8"/>
    </row>
    <row r="156" ht="15.75" customHeight="1">
      <c r="A156" s="8"/>
      <c r="B156" s="8"/>
      <c r="C156" s="8"/>
      <c r="D156" s="8"/>
      <c r="E156" s="8"/>
      <c r="F156" s="8"/>
      <c r="G156" s="8"/>
      <c r="H156" s="8"/>
      <c r="I156" s="8"/>
      <c r="J156" s="8"/>
      <c r="K156" s="8"/>
    </row>
    <row r="157" ht="15.75" customHeight="1">
      <c r="A157" s="8"/>
      <c r="B157" s="8"/>
      <c r="C157" s="8"/>
      <c r="D157" s="8"/>
      <c r="E157" s="8"/>
      <c r="F157" s="8"/>
      <c r="G157" s="8"/>
      <c r="H157" s="8"/>
      <c r="I157" s="8"/>
      <c r="J157" s="8"/>
      <c r="K157" s="8"/>
    </row>
    <row r="158" ht="15.75" customHeight="1">
      <c r="A158" s="8"/>
      <c r="B158" s="8"/>
      <c r="C158" s="8"/>
      <c r="D158" s="8"/>
      <c r="E158" s="8"/>
      <c r="F158" s="8"/>
      <c r="G158" s="8"/>
      <c r="H158" s="8"/>
      <c r="I158" s="8"/>
      <c r="J158" s="8"/>
      <c r="K158" s="8"/>
    </row>
    <row r="159" ht="15.75" customHeight="1">
      <c r="A159" s="8"/>
      <c r="B159" s="8"/>
      <c r="C159" s="8"/>
      <c r="D159" s="8"/>
      <c r="E159" s="8"/>
      <c r="F159" s="8"/>
      <c r="G159" s="8"/>
      <c r="H159" s="8"/>
      <c r="I159" s="8"/>
      <c r="J159" s="8"/>
      <c r="K159" s="8"/>
    </row>
    <row r="160" ht="15.75" customHeight="1">
      <c r="A160" s="8"/>
      <c r="B160" s="8"/>
      <c r="C160" s="8"/>
      <c r="D160" s="8"/>
      <c r="E160" s="8"/>
      <c r="F160" s="8"/>
      <c r="G160" s="8"/>
      <c r="H160" s="8"/>
      <c r="I160" s="8"/>
      <c r="J160" s="8"/>
      <c r="K160" s="8"/>
    </row>
    <row r="161" ht="15.75" customHeight="1">
      <c r="A161" s="8"/>
      <c r="B161" s="8"/>
      <c r="C161" s="8"/>
      <c r="D161" s="8"/>
      <c r="E161" s="8"/>
      <c r="F161" s="8"/>
      <c r="G161" s="8"/>
      <c r="H161" s="8"/>
      <c r="I161" s="8"/>
      <c r="J161" s="8"/>
      <c r="K161" s="8"/>
    </row>
    <row r="162" ht="15.75" customHeight="1">
      <c r="A162" s="8"/>
      <c r="B162" s="8"/>
      <c r="C162" s="8"/>
      <c r="D162" s="8"/>
      <c r="E162" s="8"/>
      <c r="F162" s="8"/>
      <c r="G162" s="8"/>
      <c r="H162" s="8"/>
      <c r="I162" s="8"/>
      <c r="J162" s="8"/>
      <c r="K162" s="8"/>
    </row>
    <row r="163" ht="15.75" customHeight="1">
      <c r="A163" s="8"/>
      <c r="B163" s="8"/>
      <c r="C163" s="8"/>
      <c r="D163" s="8"/>
      <c r="E163" s="8"/>
      <c r="F163" s="8"/>
      <c r="G163" s="8"/>
      <c r="H163" s="8"/>
      <c r="I163" s="8"/>
      <c r="J163" s="8"/>
      <c r="K163" s="8"/>
    </row>
    <row r="164" ht="15.75" customHeight="1">
      <c r="A164" s="8"/>
      <c r="B164" s="8"/>
      <c r="C164" s="8"/>
      <c r="D164" s="8"/>
      <c r="E164" s="8"/>
      <c r="F164" s="8"/>
      <c r="G164" s="8"/>
      <c r="H164" s="8"/>
      <c r="I164" s="8"/>
      <c r="J164" s="8"/>
      <c r="K164" s="8"/>
    </row>
    <row r="165" ht="15.75" customHeight="1">
      <c r="A165" s="8"/>
      <c r="B165" s="8"/>
      <c r="C165" s="8"/>
      <c r="D165" s="8"/>
      <c r="E165" s="8"/>
      <c r="F165" s="8"/>
      <c r="G165" s="8"/>
      <c r="H165" s="8"/>
      <c r="I165" s="8"/>
      <c r="J165" s="8"/>
      <c r="K165" s="8"/>
    </row>
    <row r="166" ht="15.75" customHeight="1">
      <c r="A166" s="8"/>
      <c r="B166" s="8"/>
      <c r="C166" s="8"/>
      <c r="D166" s="8"/>
      <c r="E166" s="8"/>
      <c r="F166" s="8"/>
      <c r="G166" s="8"/>
      <c r="H166" s="8"/>
      <c r="I166" s="8"/>
      <c r="J166" s="8"/>
      <c r="K166" s="8"/>
    </row>
    <row r="167" ht="15.75" customHeight="1">
      <c r="A167" s="8"/>
      <c r="B167" s="8"/>
      <c r="C167" s="8"/>
      <c r="D167" s="8"/>
      <c r="E167" s="8"/>
      <c r="F167" s="8"/>
      <c r="G167" s="8"/>
      <c r="H167" s="8"/>
      <c r="I167" s="8"/>
      <c r="J167" s="8"/>
      <c r="K167" s="8"/>
    </row>
    <row r="168" ht="15.75" customHeight="1">
      <c r="A168" s="8"/>
      <c r="B168" s="8"/>
      <c r="C168" s="8"/>
      <c r="D168" s="8"/>
      <c r="E168" s="8"/>
      <c r="F168" s="8"/>
      <c r="G168" s="8"/>
      <c r="H168" s="8"/>
      <c r="I168" s="8"/>
      <c r="J168" s="8"/>
      <c r="K168" s="8"/>
    </row>
    <row r="169" ht="15.75" customHeight="1">
      <c r="A169" s="8"/>
      <c r="B169" s="8"/>
      <c r="C169" s="8"/>
      <c r="D169" s="8"/>
      <c r="E169" s="8"/>
      <c r="F169" s="8"/>
      <c r="G169" s="8"/>
      <c r="H169" s="8"/>
      <c r="I169" s="8"/>
      <c r="J169" s="8"/>
      <c r="K169" s="8"/>
    </row>
    <row r="170" ht="15.75" customHeight="1">
      <c r="A170" s="8"/>
      <c r="B170" s="8"/>
      <c r="C170" s="8"/>
      <c r="D170" s="8"/>
      <c r="E170" s="8"/>
      <c r="F170" s="8"/>
      <c r="G170" s="8"/>
      <c r="H170" s="8"/>
      <c r="I170" s="8"/>
      <c r="J170" s="8"/>
      <c r="K170" s="8"/>
    </row>
    <row r="171" ht="15.75" customHeight="1">
      <c r="A171" s="8"/>
      <c r="B171" s="8"/>
      <c r="C171" s="8"/>
      <c r="D171" s="8"/>
      <c r="E171" s="8"/>
      <c r="F171" s="8"/>
      <c r="G171" s="8"/>
      <c r="H171" s="8"/>
      <c r="I171" s="8"/>
      <c r="J171" s="8"/>
      <c r="K171" s="8"/>
    </row>
    <row r="172" ht="15.75" customHeight="1">
      <c r="A172" s="8"/>
      <c r="B172" s="8"/>
      <c r="C172" s="8"/>
      <c r="D172" s="8"/>
      <c r="E172" s="8"/>
      <c r="F172" s="8"/>
      <c r="G172" s="8"/>
      <c r="H172" s="8"/>
      <c r="I172" s="8"/>
      <c r="J172" s="8"/>
      <c r="K172" s="8"/>
    </row>
    <row r="173" ht="15.75" customHeight="1">
      <c r="A173" s="8"/>
      <c r="B173" s="8"/>
      <c r="C173" s="8"/>
      <c r="D173" s="8"/>
      <c r="E173" s="8"/>
      <c r="F173" s="8"/>
      <c r="G173" s="8"/>
      <c r="H173" s="8"/>
      <c r="I173" s="8"/>
      <c r="J173" s="8"/>
      <c r="K173" s="8"/>
    </row>
    <row r="174" ht="15.75" customHeight="1">
      <c r="A174" s="8"/>
      <c r="B174" s="8"/>
      <c r="C174" s="8"/>
      <c r="D174" s="8"/>
      <c r="E174" s="8"/>
      <c r="F174" s="8"/>
      <c r="G174" s="8"/>
      <c r="H174" s="8"/>
      <c r="I174" s="8"/>
      <c r="J174" s="8"/>
      <c r="K174" s="8"/>
    </row>
    <row r="175" ht="15.75" customHeight="1">
      <c r="A175" s="8"/>
      <c r="B175" s="8"/>
      <c r="C175" s="8"/>
      <c r="D175" s="8"/>
      <c r="E175" s="8"/>
      <c r="F175" s="8"/>
      <c r="G175" s="8"/>
      <c r="H175" s="8"/>
      <c r="I175" s="8"/>
      <c r="J175" s="8"/>
      <c r="K175" s="8"/>
    </row>
    <row r="176" ht="15.75" customHeight="1">
      <c r="A176" s="8"/>
      <c r="B176" s="8"/>
      <c r="C176" s="8"/>
      <c r="D176" s="8"/>
      <c r="E176" s="8"/>
      <c r="F176" s="8"/>
      <c r="G176" s="8"/>
      <c r="H176" s="8"/>
      <c r="I176" s="8"/>
      <c r="J176" s="8"/>
      <c r="K176" s="8"/>
    </row>
    <row r="177" ht="15.75" customHeight="1">
      <c r="A177" s="8"/>
      <c r="B177" s="8"/>
      <c r="C177" s="8"/>
      <c r="D177" s="8"/>
      <c r="E177" s="8"/>
      <c r="F177" s="8"/>
      <c r="G177" s="8"/>
      <c r="H177" s="8"/>
      <c r="I177" s="8"/>
      <c r="J177" s="8"/>
      <c r="K177" s="8"/>
    </row>
    <row r="178" ht="15.75" customHeight="1">
      <c r="A178" s="8"/>
      <c r="B178" s="8"/>
      <c r="C178" s="8"/>
      <c r="D178" s="8"/>
      <c r="E178" s="8"/>
      <c r="F178" s="8"/>
      <c r="G178" s="8"/>
      <c r="H178" s="8"/>
      <c r="I178" s="8"/>
      <c r="J178" s="8"/>
      <c r="K178" s="8"/>
    </row>
    <row r="179" ht="15.75" customHeight="1">
      <c r="A179" s="8"/>
      <c r="B179" s="8"/>
      <c r="C179" s="8"/>
      <c r="D179" s="8"/>
      <c r="E179" s="8"/>
      <c r="F179" s="8"/>
      <c r="G179" s="8"/>
      <c r="H179" s="8"/>
      <c r="I179" s="8"/>
      <c r="J179" s="8"/>
      <c r="K179" s="8"/>
    </row>
    <row r="180" ht="15.75" customHeight="1">
      <c r="A180" s="8"/>
      <c r="B180" s="8"/>
      <c r="C180" s="8"/>
      <c r="D180" s="8"/>
      <c r="E180" s="8"/>
      <c r="F180" s="8"/>
      <c r="G180" s="8"/>
      <c r="H180" s="8"/>
      <c r="I180" s="8"/>
      <c r="J180" s="8"/>
      <c r="K180" s="8"/>
    </row>
    <row r="181" ht="15.75" customHeight="1">
      <c r="A181" s="8"/>
      <c r="B181" s="8"/>
      <c r="C181" s="8"/>
      <c r="D181" s="8"/>
      <c r="E181" s="8"/>
      <c r="F181" s="8"/>
      <c r="G181" s="8"/>
      <c r="H181" s="8"/>
      <c r="I181" s="8"/>
      <c r="J181" s="8"/>
      <c r="K181" s="8"/>
    </row>
    <row r="182" ht="15.75" customHeight="1">
      <c r="A182" s="8"/>
      <c r="B182" s="8"/>
      <c r="C182" s="8"/>
      <c r="D182" s="8"/>
      <c r="E182" s="8"/>
      <c r="F182" s="8"/>
      <c r="G182" s="8"/>
      <c r="H182" s="8"/>
      <c r="I182" s="8"/>
      <c r="J182" s="8"/>
      <c r="K182" s="8"/>
    </row>
    <row r="183" ht="15.75" customHeight="1">
      <c r="A183" s="8"/>
      <c r="B183" s="8"/>
      <c r="C183" s="8"/>
      <c r="D183" s="8"/>
      <c r="E183" s="8"/>
      <c r="F183" s="8"/>
      <c r="G183" s="8"/>
      <c r="H183" s="8"/>
      <c r="I183" s="8"/>
      <c r="J183" s="8"/>
      <c r="K183" s="8"/>
    </row>
    <row r="184" ht="15.75" customHeight="1">
      <c r="A184" s="8"/>
      <c r="B184" s="8"/>
      <c r="C184" s="8"/>
      <c r="D184" s="8"/>
      <c r="E184" s="8"/>
      <c r="F184" s="8"/>
      <c r="G184" s="8"/>
      <c r="H184" s="8"/>
      <c r="I184" s="8"/>
      <c r="J184" s="8"/>
      <c r="K184" s="8"/>
    </row>
    <row r="185" ht="15.75" customHeight="1">
      <c r="A185" s="8"/>
      <c r="B185" s="8"/>
      <c r="C185" s="8"/>
      <c r="D185" s="8"/>
      <c r="E185" s="8"/>
      <c r="F185" s="8"/>
      <c r="G185" s="8"/>
      <c r="H185" s="8"/>
      <c r="I185" s="8"/>
      <c r="J185" s="8"/>
      <c r="K185" s="8"/>
    </row>
    <row r="186" ht="15.75" customHeight="1">
      <c r="A186" s="8"/>
      <c r="B186" s="8"/>
      <c r="C186" s="8"/>
      <c r="D186" s="8"/>
      <c r="E186" s="8"/>
      <c r="F186" s="8"/>
      <c r="G186" s="8"/>
      <c r="H186" s="8"/>
      <c r="I186" s="8"/>
      <c r="J186" s="8"/>
      <c r="K186" s="8"/>
    </row>
    <row r="187" ht="15.75" customHeight="1">
      <c r="A187" s="8"/>
      <c r="B187" s="8"/>
      <c r="C187" s="8"/>
      <c r="D187" s="8"/>
      <c r="E187" s="8"/>
      <c r="F187" s="8"/>
      <c r="G187" s="8"/>
      <c r="H187" s="8"/>
      <c r="I187" s="8"/>
      <c r="J187" s="8"/>
      <c r="K187" s="8"/>
    </row>
    <row r="188" ht="15.75" customHeight="1">
      <c r="A188" s="8"/>
      <c r="B188" s="8"/>
      <c r="C188" s="8"/>
      <c r="D188" s="8"/>
      <c r="E188" s="8"/>
      <c r="F188" s="8"/>
      <c r="G188" s="8"/>
      <c r="H188" s="8"/>
      <c r="I188" s="8"/>
      <c r="J188" s="8"/>
      <c r="K188" s="8"/>
    </row>
    <row r="189" ht="15.75" customHeight="1">
      <c r="A189" s="8"/>
      <c r="B189" s="8"/>
      <c r="C189" s="8"/>
      <c r="D189" s="8"/>
      <c r="E189" s="8"/>
      <c r="F189" s="8"/>
      <c r="G189" s="8"/>
      <c r="H189" s="8"/>
      <c r="I189" s="8"/>
      <c r="J189" s="8"/>
      <c r="K189" s="8"/>
    </row>
    <row r="190" ht="15.75" customHeight="1">
      <c r="A190" s="8"/>
      <c r="B190" s="8"/>
      <c r="C190" s="8"/>
      <c r="D190" s="8"/>
      <c r="E190" s="8"/>
      <c r="F190" s="8"/>
      <c r="G190" s="8"/>
      <c r="H190" s="8"/>
      <c r="I190" s="8"/>
      <c r="J190" s="8"/>
      <c r="K190" s="8"/>
    </row>
    <row r="191" ht="15.75" customHeight="1">
      <c r="A191" s="8"/>
      <c r="B191" s="8"/>
      <c r="C191" s="8"/>
      <c r="D191" s="8"/>
      <c r="E191" s="8"/>
      <c r="F191" s="8"/>
      <c r="G191" s="8"/>
      <c r="H191" s="8"/>
      <c r="I191" s="8"/>
      <c r="J191" s="8"/>
      <c r="K191" s="8"/>
    </row>
    <row r="192" ht="15.75" customHeight="1">
      <c r="A192" s="8"/>
      <c r="B192" s="8"/>
      <c r="C192" s="8"/>
      <c r="D192" s="8"/>
      <c r="E192" s="8"/>
      <c r="F192" s="8"/>
      <c r="G192" s="8"/>
      <c r="H192" s="8"/>
      <c r="I192" s="8"/>
      <c r="J192" s="8"/>
      <c r="K192" s="8"/>
    </row>
    <row r="193" ht="15.75" customHeight="1">
      <c r="A193" s="8"/>
      <c r="B193" s="8"/>
      <c r="C193" s="8"/>
      <c r="D193" s="8"/>
      <c r="E193" s="8"/>
      <c r="F193" s="8"/>
      <c r="G193" s="8"/>
      <c r="H193" s="8"/>
      <c r="I193" s="8"/>
      <c r="J193" s="8"/>
      <c r="K193" s="8"/>
    </row>
    <row r="194" ht="15.75" customHeight="1">
      <c r="A194" s="8"/>
      <c r="B194" s="8"/>
      <c r="C194" s="8"/>
      <c r="D194" s="8"/>
      <c r="E194" s="8"/>
      <c r="F194" s="8"/>
      <c r="G194" s="8"/>
      <c r="H194" s="8"/>
      <c r="I194" s="8"/>
      <c r="J194" s="8"/>
      <c r="K194" s="8"/>
    </row>
    <row r="195" ht="15.75" customHeight="1">
      <c r="A195" s="8"/>
      <c r="B195" s="8"/>
      <c r="C195" s="8"/>
      <c r="D195" s="8"/>
      <c r="E195" s="8"/>
      <c r="F195" s="8"/>
      <c r="G195" s="8"/>
      <c r="H195" s="8"/>
      <c r="I195" s="8"/>
      <c r="J195" s="8"/>
      <c r="K195" s="8"/>
    </row>
    <row r="196" ht="15.75" customHeight="1">
      <c r="A196" s="8"/>
      <c r="B196" s="8"/>
      <c r="C196" s="8"/>
      <c r="D196" s="8"/>
      <c r="E196" s="8"/>
      <c r="F196" s="8"/>
      <c r="G196" s="8"/>
      <c r="H196" s="8"/>
      <c r="I196" s="8"/>
      <c r="J196" s="8"/>
      <c r="K196" s="8"/>
    </row>
    <row r="197" ht="15.75" customHeight="1">
      <c r="A197" s="8"/>
      <c r="B197" s="8"/>
      <c r="C197" s="8"/>
      <c r="D197" s="8"/>
      <c r="E197" s="8"/>
      <c r="F197" s="8"/>
      <c r="G197" s="8"/>
      <c r="H197" s="8"/>
      <c r="I197" s="8"/>
      <c r="J197" s="8"/>
      <c r="K197" s="8"/>
    </row>
    <row r="198" ht="15.75" customHeight="1">
      <c r="A198" s="8"/>
      <c r="B198" s="8"/>
      <c r="C198" s="8"/>
      <c r="D198" s="8"/>
      <c r="E198" s="8"/>
      <c r="F198" s="8"/>
      <c r="G198" s="8"/>
      <c r="H198" s="8"/>
      <c r="I198" s="8"/>
      <c r="J198" s="8"/>
      <c r="K198" s="8"/>
    </row>
    <row r="199" ht="15.75" customHeight="1">
      <c r="A199" s="8"/>
      <c r="B199" s="8"/>
      <c r="C199" s="8"/>
      <c r="D199" s="8"/>
      <c r="E199" s="8"/>
      <c r="F199" s="8"/>
      <c r="G199" s="8"/>
      <c r="H199" s="8"/>
      <c r="I199" s="8"/>
      <c r="J199" s="8"/>
      <c r="K199" s="8"/>
    </row>
    <row r="200" ht="15.75" customHeight="1">
      <c r="A200" s="8"/>
      <c r="B200" s="8"/>
      <c r="C200" s="8"/>
      <c r="D200" s="8"/>
      <c r="E200" s="8"/>
      <c r="F200" s="8"/>
      <c r="G200" s="8"/>
      <c r="H200" s="8"/>
      <c r="I200" s="8"/>
      <c r="J200" s="8"/>
      <c r="K200" s="8"/>
    </row>
    <row r="201" ht="15.75" customHeight="1">
      <c r="A201" s="8"/>
      <c r="B201" s="8"/>
      <c r="C201" s="8"/>
      <c r="D201" s="8"/>
      <c r="E201" s="8"/>
      <c r="F201" s="8"/>
      <c r="G201" s="8"/>
      <c r="H201" s="8"/>
      <c r="I201" s="8"/>
      <c r="J201" s="8"/>
      <c r="K201" s="8"/>
    </row>
    <row r="202" ht="15.75" customHeight="1">
      <c r="A202" s="8"/>
      <c r="B202" s="8"/>
      <c r="C202" s="8"/>
      <c r="D202" s="8"/>
      <c r="E202" s="8"/>
      <c r="F202" s="8"/>
      <c r="G202" s="8"/>
      <c r="H202" s="8"/>
      <c r="I202" s="8"/>
      <c r="J202" s="8"/>
      <c r="K202" s="8"/>
    </row>
    <row r="203" ht="15.75" customHeight="1">
      <c r="A203" s="8"/>
      <c r="B203" s="8"/>
      <c r="C203" s="8"/>
      <c r="D203" s="8"/>
      <c r="E203" s="8"/>
      <c r="F203" s="8"/>
      <c r="G203" s="8"/>
      <c r="H203" s="8"/>
      <c r="I203" s="8"/>
      <c r="J203" s="8"/>
      <c r="K203" s="8"/>
    </row>
    <row r="204" ht="15.75" customHeight="1">
      <c r="A204" s="8"/>
      <c r="B204" s="8"/>
      <c r="C204" s="8"/>
      <c r="D204" s="8"/>
      <c r="E204" s="8"/>
      <c r="F204" s="8"/>
      <c r="G204" s="8"/>
      <c r="H204" s="8"/>
      <c r="I204" s="8"/>
      <c r="J204" s="8"/>
      <c r="K204" s="8"/>
    </row>
    <row r="205" ht="15.75" customHeight="1">
      <c r="A205" s="8"/>
      <c r="B205" s="8"/>
      <c r="C205" s="8"/>
      <c r="D205" s="8"/>
      <c r="E205" s="8"/>
      <c r="F205" s="8"/>
      <c r="G205" s="8"/>
      <c r="H205" s="8"/>
      <c r="I205" s="8"/>
      <c r="J205" s="8"/>
      <c r="K205" s="8"/>
    </row>
    <row r="206" ht="15.75" customHeight="1">
      <c r="A206" s="8"/>
      <c r="B206" s="8"/>
      <c r="C206" s="8"/>
      <c r="D206" s="8"/>
      <c r="E206" s="8"/>
      <c r="F206" s="8"/>
      <c r="G206" s="8"/>
      <c r="H206" s="8"/>
      <c r="I206" s="8"/>
      <c r="J206" s="8"/>
      <c r="K206" s="8"/>
    </row>
    <row r="207" ht="15.75" customHeight="1">
      <c r="A207" s="8"/>
      <c r="B207" s="8"/>
      <c r="C207" s="8"/>
      <c r="D207" s="8"/>
      <c r="E207" s="8"/>
      <c r="F207" s="8"/>
      <c r="G207" s="8"/>
      <c r="H207" s="8"/>
      <c r="I207" s="8"/>
      <c r="J207" s="8"/>
      <c r="K207" s="8"/>
    </row>
    <row r="208" ht="15.75" customHeight="1">
      <c r="A208" s="8"/>
      <c r="B208" s="8"/>
      <c r="C208" s="8"/>
      <c r="D208" s="8"/>
      <c r="E208" s="8"/>
      <c r="F208" s="8"/>
      <c r="G208" s="8"/>
      <c r="H208" s="8"/>
      <c r="I208" s="8"/>
      <c r="J208" s="8"/>
      <c r="K208" s="8"/>
    </row>
    <row r="209" ht="15.75" customHeight="1">
      <c r="A209" s="8"/>
      <c r="B209" s="8"/>
      <c r="C209" s="8"/>
      <c r="D209" s="8"/>
      <c r="E209" s="8"/>
      <c r="F209" s="8"/>
      <c r="G209" s="8"/>
      <c r="H209" s="8"/>
      <c r="I209" s="8"/>
      <c r="J209" s="8"/>
      <c r="K209" s="8"/>
    </row>
    <row r="210" ht="15.75" customHeight="1">
      <c r="A210" s="8"/>
      <c r="B210" s="8"/>
      <c r="C210" s="8"/>
      <c r="D210" s="8"/>
      <c r="E210" s="8"/>
      <c r="F210" s="8"/>
      <c r="G210" s="8"/>
      <c r="H210" s="8"/>
      <c r="I210" s="8"/>
      <c r="J210" s="8"/>
      <c r="K210" s="8"/>
    </row>
    <row r="211" ht="15.75" customHeight="1">
      <c r="A211" s="8"/>
      <c r="B211" s="8"/>
      <c r="C211" s="8"/>
      <c r="D211" s="8"/>
      <c r="E211" s="8"/>
      <c r="F211" s="8"/>
      <c r="G211" s="8"/>
      <c r="H211" s="8"/>
      <c r="I211" s="8"/>
      <c r="J211" s="8"/>
      <c r="K211" s="8"/>
    </row>
    <row r="212" ht="15.75" customHeight="1">
      <c r="A212" s="8"/>
      <c r="B212" s="8"/>
      <c r="C212" s="8"/>
      <c r="D212" s="8"/>
      <c r="E212" s="8"/>
      <c r="F212" s="8"/>
      <c r="G212" s="8"/>
      <c r="H212" s="8"/>
      <c r="I212" s="8"/>
      <c r="J212" s="8"/>
      <c r="K212" s="8"/>
    </row>
    <row r="213" ht="15.75" customHeight="1">
      <c r="A213" s="8"/>
      <c r="B213" s="8"/>
      <c r="C213" s="8"/>
      <c r="D213" s="8"/>
      <c r="E213" s="8"/>
      <c r="F213" s="8"/>
      <c r="G213" s="8"/>
      <c r="H213" s="8"/>
      <c r="I213" s="8"/>
      <c r="J213" s="8"/>
      <c r="K213" s="8"/>
    </row>
    <row r="214" ht="15.75" customHeight="1">
      <c r="A214" s="8"/>
      <c r="B214" s="8"/>
      <c r="C214" s="8"/>
      <c r="D214" s="8"/>
      <c r="E214" s="8"/>
      <c r="F214" s="8"/>
      <c r="G214" s="8"/>
      <c r="H214" s="8"/>
      <c r="I214" s="8"/>
      <c r="J214" s="8"/>
      <c r="K214" s="8"/>
    </row>
    <row r="215" ht="15.75" customHeight="1">
      <c r="A215" s="8"/>
      <c r="B215" s="8"/>
      <c r="C215" s="8"/>
      <c r="D215" s="8"/>
      <c r="E215" s="8"/>
      <c r="F215" s="8"/>
      <c r="G215" s="8"/>
      <c r="H215" s="8"/>
      <c r="I215" s="8"/>
      <c r="J215" s="8"/>
      <c r="K215" s="8"/>
    </row>
    <row r="216" ht="15.75" customHeight="1">
      <c r="A216" s="8"/>
      <c r="B216" s="8"/>
      <c r="C216" s="8"/>
      <c r="D216" s="8"/>
      <c r="E216" s="8"/>
      <c r="F216" s="8"/>
      <c r="G216" s="8"/>
      <c r="H216" s="8"/>
      <c r="I216" s="8"/>
      <c r="J216" s="8"/>
      <c r="K216" s="8"/>
    </row>
    <row r="217" ht="15.75" customHeight="1">
      <c r="A217" s="8"/>
      <c r="B217" s="8"/>
      <c r="C217" s="8"/>
      <c r="D217" s="8"/>
      <c r="E217" s="8"/>
      <c r="F217" s="8"/>
      <c r="G217" s="8"/>
      <c r="H217" s="8"/>
      <c r="I217" s="8"/>
      <c r="J217" s="8"/>
      <c r="K217" s="8"/>
    </row>
    <row r="218" ht="15.75" customHeight="1">
      <c r="A218" s="8"/>
      <c r="B218" s="8"/>
      <c r="C218" s="8"/>
      <c r="D218" s="8"/>
      <c r="E218" s="8"/>
      <c r="F218" s="8"/>
      <c r="G218" s="8"/>
      <c r="H218" s="8"/>
      <c r="I218" s="8"/>
      <c r="J218" s="8"/>
      <c r="K218" s="8"/>
    </row>
    <row r="219" ht="15.75" customHeight="1">
      <c r="A219" s="8"/>
      <c r="B219" s="8"/>
      <c r="C219" s="8"/>
      <c r="D219" s="8"/>
      <c r="E219" s="8"/>
      <c r="F219" s="8"/>
      <c r="G219" s="8"/>
      <c r="H219" s="8"/>
      <c r="I219" s="8"/>
      <c r="J219" s="8"/>
      <c r="K219" s="8"/>
    </row>
    <row r="220" ht="15.75" customHeight="1">
      <c r="A220" s="8"/>
      <c r="B220" s="8"/>
      <c r="C220" s="8"/>
      <c r="D220" s="8"/>
      <c r="E220" s="8"/>
      <c r="F220" s="8"/>
      <c r="G220" s="8"/>
      <c r="H220" s="8"/>
      <c r="I220" s="8"/>
      <c r="J220" s="8"/>
      <c r="K220" s="8"/>
    </row>
    <row r="221" ht="15.75" customHeight="1">
      <c r="A221" s="8"/>
      <c r="B221" s="8"/>
      <c r="C221" s="8"/>
      <c r="D221" s="8"/>
      <c r="E221" s="8"/>
      <c r="F221" s="8"/>
      <c r="G221" s="8"/>
      <c r="H221" s="8"/>
      <c r="I221" s="8"/>
      <c r="J221" s="8"/>
      <c r="K221" s="8"/>
    </row>
    <row r="222" ht="15.75" customHeight="1">
      <c r="A222" s="8"/>
      <c r="B222" s="8"/>
      <c r="C222" s="8"/>
      <c r="D222" s="8"/>
      <c r="E222" s="8"/>
      <c r="F222" s="8"/>
      <c r="G222" s="8"/>
      <c r="H222" s="8"/>
      <c r="I222" s="8"/>
      <c r="J222" s="8"/>
      <c r="K222" s="8"/>
    </row>
    <row r="223" ht="15.75" customHeight="1">
      <c r="A223" s="8"/>
      <c r="B223" s="8"/>
      <c r="C223" s="8"/>
      <c r="D223" s="8"/>
      <c r="E223" s="8"/>
      <c r="F223" s="8"/>
      <c r="G223" s="8"/>
      <c r="H223" s="8"/>
      <c r="I223" s="8"/>
      <c r="J223" s="8"/>
      <c r="K223" s="8"/>
    </row>
    <row r="224" ht="15.75" customHeight="1">
      <c r="A224" s="8"/>
      <c r="B224" s="8"/>
      <c r="C224" s="8"/>
      <c r="D224" s="8"/>
      <c r="E224" s="8"/>
      <c r="F224" s="8"/>
      <c r="G224" s="8"/>
      <c r="H224" s="8"/>
      <c r="I224" s="8"/>
      <c r="J224" s="8"/>
      <c r="K224" s="8"/>
    </row>
    <row r="225" ht="15.75" customHeight="1">
      <c r="A225" s="8"/>
      <c r="B225" s="8"/>
      <c r="C225" s="8"/>
      <c r="D225" s="8"/>
      <c r="E225" s="8"/>
      <c r="F225" s="8"/>
      <c r="G225" s="8"/>
      <c r="H225" s="8"/>
      <c r="I225" s="8"/>
      <c r="J225" s="8"/>
      <c r="K225" s="8"/>
    </row>
    <row r="226" ht="15.75" customHeight="1">
      <c r="A226" s="8"/>
      <c r="B226" s="8"/>
      <c r="C226" s="8"/>
      <c r="D226" s="8"/>
      <c r="E226" s="8"/>
      <c r="F226" s="8"/>
      <c r="G226" s="8"/>
      <c r="H226" s="8"/>
      <c r="I226" s="8"/>
      <c r="J226" s="8"/>
      <c r="K226" s="8"/>
    </row>
    <row r="227" ht="15.75" customHeight="1">
      <c r="A227" s="8"/>
      <c r="B227" s="8"/>
      <c r="C227" s="8"/>
      <c r="D227" s="8"/>
      <c r="E227" s="8"/>
      <c r="F227" s="8"/>
      <c r="G227" s="8"/>
      <c r="H227" s="8"/>
      <c r="I227" s="8"/>
      <c r="J227" s="8"/>
      <c r="K227" s="8"/>
    </row>
    <row r="228" ht="15.75" customHeight="1">
      <c r="A228" s="8"/>
      <c r="B228" s="8"/>
      <c r="C228" s="8"/>
      <c r="D228" s="8"/>
      <c r="E228" s="8"/>
      <c r="F228" s="8"/>
      <c r="G228" s="8"/>
      <c r="H228" s="8"/>
      <c r="I228" s="8"/>
      <c r="J228" s="8"/>
      <c r="K228" s="8"/>
    </row>
    <row r="229" ht="15.75" customHeight="1">
      <c r="A229" s="8"/>
      <c r="B229" s="8"/>
      <c r="C229" s="8"/>
      <c r="D229" s="8"/>
      <c r="E229" s="8"/>
      <c r="F229" s="8"/>
      <c r="G229" s="8"/>
      <c r="H229" s="8"/>
      <c r="I229" s="8"/>
      <c r="J229" s="8"/>
      <c r="K229" s="8"/>
    </row>
    <row r="230" ht="15.75" customHeight="1">
      <c r="A230" s="8"/>
      <c r="B230" s="8"/>
      <c r="C230" s="8"/>
      <c r="D230" s="8"/>
      <c r="E230" s="8"/>
      <c r="F230" s="8"/>
      <c r="G230" s="8"/>
      <c r="H230" s="8"/>
      <c r="I230" s="8"/>
      <c r="J230" s="8"/>
      <c r="K230" s="8"/>
    </row>
    <row r="231" ht="15.75" customHeight="1">
      <c r="A231" s="8"/>
      <c r="B231" s="8"/>
      <c r="C231" s="8"/>
      <c r="D231" s="8"/>
      <c r="E231" s="8"/>
      <c r="F231" s="8"/>
      <c r="G231" s="8"/>
      <c r="H231" s="8"/>
      <c r="I231" s="8"/>
      <c r="J231" s="8"/>
      <c r="K231" s="8"/>
    </row>
    <row r="232" ht="15.75" customHeight="1">
      <c r="A232" s="8"/>
      <c r="B232" s="8"/>
      <c r="C232" s="8"/>
      <c r="D232" s="8"/>
      <c r="E232" s="8"/>
      <c r="F232" s="8"/>
      <c r="G232" s="8"/>
      <c r="H232" s="8"/>
      <c r="I232" s="8"/>
      <c r="J232" s="8"/>
      <c r="K232" s="8"/>
    </row>
    <row r="233" ht="15.75" customHeight="1">
      <c r="A233" s="8"/>
      <c r="B233" s="8"/>
      <c r="C233" s="8"/>
      <c r="D233" s="8"/>
      <c r="E233" s="8"/>
      <c r="F233" s="8"/>
      <c r="G233" s="8"/>
      <c r="H233" s="8"/>
      <c r="I233" s="8"/>
      <c r="J233" s="8"/>
      <c r="K233" s="8"/>
    </row>
    <row r="234" ht="15.75" customHeight="1">
      <c r="A234" s="8"/>
      <c r="B234" s="8"/>
      <c r="C234" s="8"/>
      <c r="D234" s="8"/>
      <c r="E234" s="8"/>
      <c r="F234" s="8"/>
      <c r="G234" s="8"/>
      <c r="H234" s="8"/>
      <c r="I234" s="8"/>
      <c r="J234" s="8"/>
      <c r="K234" s="8"/>
    </row>
    <row r="235" ht="15.75" customHeight="1">
      <c r="A235" s="8"/>
      <c r="B235" s="8"/>
      <c r="C235" s="8"/>
      <c r="D235" s="8"/>
      <c r="E235" s="8"/>
      <c r="F235" s="8"/>
      <c r="G235" s="8"/>
      <c r="H235" s="8"/>
      <c r="I235" s="8"/>
      <c r="J235" s="8"/>
      <c r="K235" s="8"/>
    </row>
    <row r="236" ht="15.75" customHeight="1">
      <c r="A236" s="8"/>
      <c r="B236" s="8"/>
      <c r="C236" s="8"/>
      <c r="D236" s="8"/>
      <c r="E236" s="8"/>
      <c r="F236" s="8"/>
      <c r="G236" s="8"/>
      <c r="H236" s="8"/>
      <c r="I236" s="8"/>
      <c r="J236" s="8"/>
      <c r="K236" s="8"/>
    </row>
    <row r="237" ht="15.75" customHeight="1">
      <c r="A237" s="8"/>
      <c r="B237" s="8"/>
      <c r="C237" s="8"/>
      <c r="D237" s="8"/>
      <c r="E237" s="8"/>
      <c r="F237" s="8"/>
      <c r="G237" s="8"/>
      <c r="H237" s="8"/>
      <c r="I237" s="8"/>
      <c r="J237" s="8"/>
      <c r="K237" s="8"/>
    </row>
    <row r="238" ht="15.75" customHeight="1">
      <c r="A238" s="8"/>
      <c r="B238" s="8"/>
      <c r="C238" s="8"/>
      <c r="D238" s="8"/>
      <c r="E238" s="8"/>
      <c r="F238" s="8"/>
      <c r="G238" s="8"/>
      <c r="H238" s="8"/>
      <c r="I238" s="8"/>
      <c r="J238" s="8"/>
      <c r="K238" s="8"/>
    </row>
    <row r="239" ht="15.75" customHeight="1">
      <c r="A239" s="8"/>
      <c r="B239" s="8"/>
      <c r="C239" s="8"/>
      <c r="D239" s="8"/>
      <c r="E239" s="8"/>
      <c r="F239" s="8"/>
      <c r="G239" s="8"/>
      <c r="H239" s="8"/>
      <c r="I239" s="8"/>
      <c r="J239" s="8"/>
      <c r="K239" s="8"/>
    </row>
    <row r="240" ht="15.75" customHeight="1">
      <c r="A240" s="8"/>
      <c r="B240" s="8"/>
      <c r="C240" s="8"/>
      <c r="D240" s="8"/>
      <c r="E240" s="8"/>
      <c r="F240" s="8"/>
      <c r="G240" s="8"/>
      <c r="H240" s="8"/>
      <c r="I240" s="8"/>
      <c r="J240" s="8"/>
      <c r="K240" s="8"/>
    </row>
    <row r="241" ht="15.75" customHeight="1">
      <c r="A241" s="8"/>
      <c r="B241" s="8"/>
      <c r="C241" s="8"/>
      <c r="D241" s="8"/>
      <c r="E241" s="8"/>
      <c r="F241" s="8"/>
      <c r="G241" s="8"/>
      <c r="H241" s="8"/>
      <c r="I241" s="8"/>
      <c r="J241" s="8"/>
      <c r="K241" s="8"/>
    </row>
    <row r="242" ht="15.75" customHeight="1">
      <c r="A242" s="8"/>
      <c r="B242" s="8"/>
      <c r="C242" s="8"/>
      <c r="D242" s="8"/>
      <c r="E242" s="8"/>
      <c r="F242" s="8"/>
      <c r="G242" s="8"/>
      <c r="H242" s="8"/>
      <c r="I242" s="8"/>
      <c r="J242" s="8"/>
      <c r="K242" s="8"/>
    </row>
    <row r="243" ht="15.75" customHeight="1">
      <c r="A243" s="8"/>
      <c r="B243" s="8"/>
      <c r="C243" s="8"/>
      <c r="D243" s="8"/>
      <c r="E243" s="8"/>
      <c r="F243" s="8"/>
      <c r="G243" s="8"/>
      <c r="H243" s="8"/>
      <c r="I243" s="8"/>
      <c r="J243" s="8"/>
      <c r="K243" s="8"/>
    </row>
    <row r="244" ht="15.75" customHeight="1">
      <c r="A244" s="8"/>
      <c r="B244" s="8"/>
      <c r="C244" s="8"/>
      <c r="D244" s="8"/>
      <c r="E244" s="8"/>
      <c r="F244" s="8"/>
      <c r="G244" s="8"/>
      <c r="H244" s="8"/>
      <c r="I244" s="8"/>
      <c r="J244" s="8"/>
      <c r="K244" s="8"/>
    </row>
    <row r="245" ht="15.75" customHeight="1">
      <c r="A245" s="8"/>
      <c r="B245" s="8"/>
      <c r="C245" s="8"/>
      <c r="D245" s="8"/>
      <c r="E245" s="8"/>
      <c r="F245" s="8"/>
      <c r="G245" s="8"/>
      <c r="H245" s="8"/>
      <c r="I245" s="8"/>
      <c r="J245" s="8"/>
      <c r="K245" s="8"/>
    </row>
    <row r="246" ht="15.75" customHeight="1">
      <c r="A246" s="8"/>
      <c r="B246" s="8"/>
      <c r="C246" s="8"/>
      <c r="D246" s="8"/>
      <c r="E246" s="8"/>
      <c r="F246" s="8"/>
      <c r="G246" s="8"/>
      <c r="H246" s="8"/>
      <c r="I246" s="8"/>
      <c r="J246" s="8"/>
      <c r="K246" s="8"/>
    </row>
    <row r="247" ht="15.75" customHeight="1">
      <c r="A247" s="8"/>
      <c r="B247" s="8"/>
      <c r="C247" s="8"/>
      <c r="D247" s="8"/>
      <c r="E247" s="8"/>
      <c r="F247" s="8"/>
      <c r="G247" s="8"/>
      <c r="H247" s="8"/>
      <c r="I247" s="8"/>
      <c r="J247" s="8"/>
      <c r="K247" s="8"/>
    </row>
    <row r="248" ht="15.75" customHeight="1">
      <c r="A248" s="8"/>
      <c r="B248" s="8"/>
      <c r="C248" s="8"/>
      <c r="D248" s="8"/>
      <c r="E248" s="8"/>
      <c r="F248" s="8"/>
      <c r="G248" s="8"/>
      <c r="H248" s="8"/>
      <c r="I248" s="8"/>
      <c r="J248" s="8"/>
      <c r="K248" s="8"/>
    </row>
    <row r="249" ht="15.75" customHeight="1">
      <c r="A249" s="8"/>
      <c r="B249" s="8"/>
      <c r="C249" s="8"/>
      <c r="D249" s="8"/>
      <c r="E249" s="8"/>
      <c r="F249" s="8"/>
      <c r="G249" s="8"/>
      <c r="H249" s="8"/>
      <c r="I249" s="8"/>
      <c r="J249" s="8"/>
      <c r="K249" s="8"/>
    </row>
    <row r="250" ht="15.75" customHeight="1">
      <c r="A250" s="8"/>
      <c r="B250" s="8"/>
      <c r="C250" s="8"/>
      <c r="D250" s="8"/>
      <c r="E250" s="8"/>
      <c r="F250" s="8"/>
      <c r="G250" s="8"/>
      <c r="H250" s="8"/>
      <c r="I250" s="8"/>
      <c r="J250" s="8"/>
      <c r="K250" s="8"/>
    </row>
    <row r="251" ht="15.75" customHeight="1">
      <c r="A251" s="8"/>
      <c r="B251" s="8"/>
      <c r="C251" s="8"/>
      <c r="D251" s="8"/>
      <c r="E251" s="8"/>
      <c r="F251" s="8"/>
      <c r="G251" s="8"/>
      <c r="H251" s="8"/>
      <c r="I251" s="8"/>
      <c r="J251" s="8"/>
      <c r="K251" s="8"/>
    </row>
    <row r="252" ht="15.75" customHeight="1">
      <c r="A252" s="8"/>
      <c r="B252" s="8"/>
      <c r="C252" s="8"/>
      <c r="D252" s="8"/>
      <c r="E252" s="8"/>
      <c r="F252" s="8"/>
      <c r="G252" s="8"/>
      <c r="H252" s="8"/>
      <c r="I252" s="8"/>
      <c r="J252" s="8"/>
      <c r="K252" s="8"/>
    </row>
    <row r="253" ht="15.75" customHeight="1">
      <c r="A253" s="8"/>
      <c r="B253" s="8"/>
      <c r="C253" s="8"/>
      <c r="D253" s="8"/>
      <c r="E253" s="8"/>
      <c r="F253" s="8"/>
      <c r="G253" s="8"/>
      <c r="H253" s="8"/>
      <c r="I253" s="8"/>
      <c r="J253" s="8"/>
      <c r="K253" s="8"/>
    </row>
    <row r="254" ht="15.75" customHeight="1">
      <c r="A254" s="8"/>
      <c r="B254" s="8"/>
      <c r="C254" s="8"/>
      <c r="D254" s="8"/>
      <c r="E254" s="8"/>
      <c r="F254" s="8"/>
      <c r="G254" s="8"/>
      <c r="H254" s="8"/>
      <c r="I254" s="8"/>
      <c r="J254" s="8"/>
      <c r="K254" s="8"/>
    </row>
    <row r="255" ht="15.75" customHeight="1">
      <c r="A255" s="8"/>
      <c r="B255" s="8"/>
      <c r="C255" s="8"/>
      <c r="D255" s="8"/>
      <c r="E255" s="8"/>
      <c r="F255" s="8"/>
      <c r="G255" s="8"/>
      <c r="H255" s="8"/>
      <c r="I255" s="8"/>
      <c r="J255" s="8"/>
      <c r="K255" s="8"/>
    </row>
    <row r="256" ht="15.75" customHeight="1">
      <c r="A256" s="8"/>
      <c r="B256" s="8"/>
      <c r="C256" s="8"/>
      <c r="D256" s="8"/>
      <c r="E256" s="8"/>
      <c r="F256" s="8"/>
      <c r="G256" s="8"/>
      <c r="H256" s="8"/>
      <c r="I256" s="8"/>
      <c r="J256" s="8"/>
      <c r="K256" s="8"/>
    </row>
    <row r="257" ht="15.75" customHeight="1">
      <c r="A257" s="8"/>
      <c r="B257" s="8"/>
      <c r="C257" s="8"/>
      <c r="D257" s="8"/>
      <c r="E257" s="8"/>
      <c r="F257" s="8"/>
      <c r="G257" s="8"/>
      <c r="H257" s="8"/>
      <c r="I257" s="8"/>
      <c r="J257" s="8"/>
      <c r="K257" s="8"/>
    </row>
    <row r="258" ht="15.75" customHeight="1">
      <c r="A258" s="8"/>
      <c r="B258" s="8"/>
      <c r="C258" s="8"/>
      <c r="D258" s="8"/>
      <c r="E258" s="8"/>
      <c r="F258" s="8"/>
      <c r="G258" s="8"/>
      <c r="H258" s="8"/>
      <c r="I258" s="8"/>
      <c r="J258" s="8"/>
      <c r="K258" s="8"/>
    </row>
    <row r="259" ht="15.75" customHeight="1">
      <c r="A259" s="8"/>
      <c r="B259" s="8"/>
      <c r="C259" s="8"/>
      <c r="D259" s="8"/>
      <c r="E259" s="8"/>
      <c r="F259" s="8"/>
      <c r="G259" s="8"/>
      <c r="H259" s="8"/>
      <c r="I259" s="8"/>
      <c r="J259" s="8"/>
      <c r="K259" s="8"/>
    </row>
    <row r="260" ht="15.75" customHeight="1">
      <c r="A260" s="8"/>
      <c r="B260" s="8"/>
      <c r="C260" s="8"/>
      <c r="D260" s="8"/>
      <c r="E260" s="8"/>
      <c r="F260" s="8"/>
      <c r="G260" s="8"/>
      <c r="H260" s="8"/>
      <c r="I260" s="8"/>
      <c r="J260" s="8"/>
      <c r="K260" s="8"/>
    </row>
    <row r="261" ht="15.75" customHeight="1">
      <c r="A261" s="8"/>
      <c r="B261" s="8"/>
      <c r="C261" s="8"/>
      <c r="D261" s="8"/>
      <c r="E261" s="8"/>
      <c r="F261" s="8"/>
      <c r="G261" s="8"/>
      <c r="H261" s="8"/>
      <c r="I261" s="8"/>
      <c r="J261" s="8"/>
      <c r="K261" s="8"/>
    </row>
    <row r="262" ht="15.75" customHeight="1">
      <c r="A262" s="8"/>
      <c r="B262" s="8"/>
      <c r="C262" s="8"/>
      <c r="D262" s="8"/>
      <c r="E262" s="8"/>
      <c r="F262" s="8"/>
      <c r="G262" s="8"/>
      <c r="H262" s="8"/>
      <c r="I262" s="8"/>
      <c r="J262" s="8"/>
      <c r="K262" s="8"/>
    </row>
    <row r="263" ht="15.75" customHeight="1">
      <c r="A263" s="8"/>
      <c r="B263" s="8"/>
      <c r="C263" s="8"/>
      <c r="D263" s="8"/>
      <c r="E263" s="8"/>
      <c r="F263" s="8"/>
      <c r="G263" s="8"/>
      <c r="H263" s="8"/>
      <c r="I263" s="8"/>
      <c r="J263" s="8"/>
      <c r="K263" s="8"/>
    </row>
    <row r="264" ht="15.75" customHeight="1">
      <c r="A264" s="8"/>
      <c r="B264" s="8"/>
      <c r="C264" s="8"/>
      <c r="D264" s="8"/>
      <c r="E264" s="8"/>
      <c r="F264" s="8"/>
      <c r="G264" s="8"/>
      <c r="H264" s="8"/>
      <c r="I264" s="8"/>
      <c r="J264" s="8"/>
      <c r="K264" s="8"/>
    </row>
    <row r="265" ht="15.75" customHeight="1">
      <c r="A265" s="8"/>
      <c r="B265" s="8"/>
      <c r="C265" s="8"/>
      <c r="D265" s="8"/>
      <c r="E265" s="8"/>
      <c r="F265" s="8"/>
      <c r="G265" s="8"/>
      <c r="H265" s="8"/>
      <c r="I265" s="8"/>
      <c r="J265" s="8"/>
      <c r="K265" s="8"/>
    </row>
    <row r="266" ht="15.75" customHeight="1">
      <c r="A266" s="8"/>
      <c r="B266" s="8"/>
      <c r="C266" s="8"/>
      <c r="D266" s="8"/>
      <c r="E266" s="8"/>
      <c r="F266" s="8"/>
      <c r="G266" s="8"/>
      <c r="H266" s="8"/>
      <c r="I266" s="8"/>
      <c r="J266" s="8"/>
      <c r="K266" s="8"/>
    </row>
    <row r="267" ht="15.75" customHeight="1">
      <c r="A267" s="8"/>
      <c r="B267" s="8"/>
      <c r="C267" s="8"/>
      <c r="D267" s="8"/>
      <c r="E267" s="8"/>
      <c r="F267" s="8"/>
      <c r="G267" s="8"/>
      <c r="H267" s="8"/>
      <c r="I267" s="8"/>
      <c r="J267" s="8"/>
      <c r="K267" s="8"/>
    </row>
    <row r="268" ht="15.75" customHeight="1">
      <c r="A268" s="8"/>
      <c r="B268" s="8"/>
      <c r="C268" s="8"/>
      <c r="D268" s="8"/>
      <c r="E268" s="8"/>
      <c r="F268" s="8"/>
      <c r="G268" s="8"/>
      <c r="H268" s="8"/>
      <c r="I268" s="8"/>
      <c r="J268" s="8"/>
      <c r="K268" s="8"/>
    </row>
    <row r="269" ht="15.75" customHeight="1">
      <c r="A269" s="8"/>
      <c r="B269" s="8"/>
      <c r="C269" s="8"/>
      <c r="D269" s="8"/>
      <c r="E269" s="8"/>
      <c r="F269" s="8"/>
      <c r="G269" s="8"/>
      <c r="H269" s="8"/>
      <c r="I269" s="8"/>
      <c r="J269" s="8"/>
      <c r="K269" s="8"/>
    </row>
    <row r="270" ht="15.75" customHeight="1">
      <c r="A270" s="8"/>
      <c r="B270" s="8"/>
      <c r="C270" s="8"/>
      <c r="D270" s="8"/>
      <c r="E270" s="8"/>
      <c r="F270" s="8"/>
      <c r="G270" s="8"/>
      <c r="H270" s="8"/>
      <c r="I270" s="8"/>
      <c r="J270" s="8"/>
      <c r="K270" s="8"/>
    </row>
    <row r="271" ht="15.75" customHeight="1">
      <c r="A271" s="8"/>
      <c r="B271" s="8"/>
      <c r="C271" s="8"/>
      <c r="D271" s="8"/>
      <c r="E271" s="8"/>
      <c r="F271" s="8"/>
      <c r="G271" s="8"/>
      <c r="H271" s="8"/>
      <c r="I271" s="8"/>
      <c r="J271" s="8"/>
      <c r="K271" s="8"/>
    </row>
    <row r="272" ht="15.75" customHeight="1">
      <c r="A272" s="8"/>
      <c r="B272" s="8"/>
      <c r="C272" s="8"/>
      <c r="D272" s="8"/>
      <c r="E272" s="8"/>
      <c r="F272" s="8"/>
      <c r="G272" s="8"/>
      <c r="H272" s="8"/>
      <c r="I272" s="8"/>
      <c r="J272" s="8"/>
      <c r="K272" s="8"/>
    </row>
    <row r="273" ht="15.75" customHeight="1">
      <c r="A273" s="8"/>
      <c r="B273" s="8"/>
      <c r="C273" s="8"/>
      <c r="D273" s="8"/>
      <c r="E273" s="8"/>
      <c r="F273" s="8"/>
      <c r="G273" s="8"/>
      <c r="H273" s="8"/>
      <c r="I273" s="8"/>
      <c r="J273" s="8"/>
      <c r="K273" s="8"/>
    </row>
    <row r="274" ht="15.75" customHeight="1">
      <c r="A274" s="8"/>
      <c r="B274" s="8"/>
      <c r="C274" s="8"/>
      <c r="D274" s="8"/>
      <c r="E274" s="8"/>
      <c r="F274" s="8"/>
      <c r="G274" s="8"/>
      <c r="H274" s="8"/>
      <c r="I274" s="8"/>
      <c r="J274" s="8"/>
      <c r="K274" s="8"/>
    </row>
    <row r="275" ht="15.75" customHeight="1">
      <c r="A275" s="8"/>
      <c r="B275" s="8"/>
      <c r="C275" s="8"/>
      <c r="D275" s="8"/>
      <c r="E275" s="8"/>
      <c r="F275" s="8"/>
      <c r="G275" s="8"/>
      <c r="H275" s="8"/>
      <c r="I275" s="8"/>
      <c r="J275" s="8"/>
      <c r="K275" s="8"/>
    </row>
    <row r="276" ht="15.75" customHeight="1">
      <c r="A276" s="8"/>
      <c r="B276" s="8"/>
      <c r="C276" s="8"/>
      <c r="D276" s="8"/>
      <c r="E276" s="8"/>
      <c r="F276" s="8"/>
      <c r="G276" s="8"/>
      <c r="H276" s="8"/>
      <c r="I276" s="8"/>
      <c r="J276" s="8"/>
      <c r="K276" s="8"/>
    </row>
    <row r="277" ht="15.75" customHeight="1">
      <c r="A277" s="8"/>
      <c r="B277" s="8"/>
      <c r="C277" s="8"/>
      <c r="D277" s="8"/>
      <c r="E277" s="8"/>
      <c r="F277" s="8"/>
      <c r="G277" s="8"/>
      <c r="H277" s="8"/>
      <c r="I277" s="8"/>
      <c r="J277" s="8"/>
      <c r="K277" s="8"/>
    </row>
    <row r="278" ht="15.75" customHeight="1">
      <c r="A278" s="8"/>
      <c r="B278" s="8"/>
      <c r="C278" s="8"/>
      <c r="D278" s="8"/>
      <c r="E278" s="8"/>
      <c r="F278" s="8"/>
      <c r="G278" s="8"/>
      <c r="H278" s="8"/>
      <c r="I278" s="8"/>
      <c r="J278" s="8"/>
      <c r="K278" s="8"/>
    </row>
    <row r="279" ht="15.75" customHeight="1">
      <c r="A279" s="8"/>
      <c r="B279" s="8"/>
      <c r="C279" s="8"/>
      <c r="D279" s="8"/>
      <c r="E279" s="8"/>
      <c r="F279" s="8"/>
      <c r="G279" s="8"/>
      <c r="H279" s="8"/>
      <c r="I279" s="8"/>
      <c r="J279" s="8"/>
      <c r="K279" s="8"/>
    </row>
    <row r="280" ht="15.75" customHeight="1">
      <c r="A280" s="8"/>
      <c r="B280" s="8"/>
      <c r="C280" s="8"/>
      <c r="D280" s="8"/>
      <c r="E280" s="8"/>
      <c r="F280" s="8"/>
      <c r="G280" s="8"/>
      <c r="H280" s="8"/>
      <c r="I280" s="8"/>
      <c r="J280" s="8"/>
      <c r="K280" s="8"/>
    </row>
    <row r="281" ht="15.75" customHeight="1">
      <c r="A281" s="8"/>
      <c r="B281" s="8"/>
      <c r="C281" s="8"/>
      <c r="D281" s="8"/>
      <c r="E281" s="8"/>
      <c r="F281" s="8"/>
      <c r="G281" s="8"/>
      <c r="H281" s="8"/>
      <c r="I281" s="8"/>
      <c r="J281" s="8"/>
      <c r="K281" s="8"/>
    </row>
    <row r="282" ht="15.75" customHeight="1">
      <c r="A282" s="8"/>
      <c r="B282" s="8"/>
      <c r="C282" s="8"/>
      <c r="D282" s="8"/>
      <c r="E282" s="8"/>
      <c r="F282" s="8"/>
      <c r="G282" s="8"/>
      <c r="H282" s="8"/>
      <c r="I282" s="8"/>
      <c r="J282" s="8"/>
      <c r="K282" s="8"/>
    </row>
    <row r="283" ht="15.75" customHeight="1">
      <c r="A283" s="8"/>
      <c r="B283" s="8"/>
      <c r="C283" s="8"/>
      <c r="D283" s="8"/>
      <c r="E283" s="8"/>
      <c r="F283" s="8"/>
      <c r="G283" s="8"/>
      <c r="H283" s="8"/>
      <c r="I283" s="8"/>
      <c r="J283" s="8"/>
      <c r="K283" s="8"/>
    </row>
    <row r="284" ht="15.75" customHeight="1">
      <c r="A284" s="8"/>
      <c r="B284" s="8"/>
      <c r="C284" s="8"/>
      <c r="D284" s="8"/>
      <c r="E284" s="8"/>
      <c r="F284" s="8"/>
      <c r="G284" s="8"/>
      <c r="H284" s="8"/>
      <c r="I284" s="8"/>
      <c r="J284" s="8"/>
      <c r="K284" s="8"/>
    </row>
    <row r="285" ht="15.75" customHeight="1">
      <c r="A285" s="8"/>
      <c r="B285" s="8"/>
      <c r="C285" s="8"/>
      <c r="D285" s="8"/>
      <c r="E285" s="8"/>
      <c r="F285" s="8"/>
      <c r="G285" s="8"/>
      <c r="H285" s="8"/>
      <c r="I285" s="8"/>
      <c r="J285" s="8"/>
      <c r="K285" s="8"/>
    </row>
    <row r="286" ht="15.75" customHeight="1">
      <c r="A286" s="8"/>
      <c r="B286" s="8"/>
      <c r="C286" s="8"/>
      <c r="D286" s="8"/>
      <c r="E286" s="8"/>
      <c r="F286" s="8"/>
      <c r="G286" s="8"/>
      <c r="H286" s="8"/>
      <c r="I286" s="8"/>
      <c r="J286" s="8"/>
      <c r="K286" s="8"/>
    </row>
    <row r="287" ht="15.75" customHeight="1">
      <c r="A287" s="8"/>
      <c r="B287" s="8"/>
      <c r="C287" s="8"/>
      <c r="D287" s="8"/>
      <c r="E287" s="8"/>
      <c r="F287" s="8"/>
      <c r="G287" s="8"/>
      <c r="H287" s="8"/>
      <c r="I287" s="8"/>
      <c r="J287" s="8"/>
      <c r="K287" s="8"/>
    </row>
    <row r="288" ht="15.75" customHeight="1">
      <c r="A288" s="8"/>
      <c r="B288" s="8"/>
      <c r="C288" s="8"/>
      <c r="D288" s="8"/>
      <c r="E288" s="8"/>
      <c r="F288" s="8"/>
      <c r="G288" s="8"/>
      <c r="H288" s="8"/>
      <c r="I288" s="8"/>
      <c r="J288" s="8"/>
      <c r="K288" s="8"/>
    </row>
    <row r="289" ht="15.75" customHeight="1">
      <c r="A289" s="8"/>
      <c r="B289" s="8"/>
      <c r="C289" s="8"/>
      <c r="D289" s="8"/>
      <c r="E289" s="8"/>
      <c r="F289" s="8"/>
      <c r="G289" s="8"/>
      <c r="H289" s="8"/>
      <c r="I289" s="8"/>
      <c r="J289" s="8"/>
      <c r="K289" s="8"/>
    </row>
    <row r="290" ht="15.75" customHeight="1">
      <c r="A290" s="8"/>
      <c r="B290" s="8"/>
      <c r="C290" s="8"/>
      <c r="D290" s="8"/>
      <c r="E290" s="8"/>
      <c r="F290" s="8"/>
      <c r="G290" s="8"/>
      <c r="H290" s="8"/>
      <c r="I290" s="8"/>
      <c r="J290" s="8"/>
      <c r="K290" s="8"/>
    </row>
    <row r="291" ht="15.75" customHeight="1">
      <c r="A291" s="8"/>
      <c r="B291" s="8"/>
      <c r="C291" s="8"/>
      <c r="D291" s="8"/>
      <c r="E291" s="8"/>
      <c r="F291" s="8"/>
      <c r="G291" s="8"/>
      <c r="H291" s="8"/>
      <c r="I291" s="8"/>
      <c r="J291" s="8"/>
      <c r="K291" s="8"/>
    </row>
    <row r="292" ht="15.75" customHeight="1">
      <c r="A292" s="8"/>
      <c r="B292" s="8"/>
      <c r="C292" s="8"/>
      <c r="D292" s="8"/>
      <c r="E292" s="8"/>
      <c r="F292" s="8"/>
      <c r="G292" s="8"/>
      <c r="H292" s="8"/>
      <c r="I292" s="8"/>
      <c r="J292" s="8"/>
      <c r="K292" s="8"/>
    </row>
    <row r="293" ht="15.75" customHeight="1">
      <c r="A293" s="8"/>
      <c r="B293" s="8"/>
      <c r="C293" s="8"/>
      <c r="D293" s="8"/>
      <c r="E293" s="8"/>
      <c r="F293" s="8"/>
      <c r="G293" s="8"/>
      <c r="H293" s="8"/>
      <c r="I293" s="8"/>
      <c r="J293" s="8"/>
      <c r="K293" s="8"/>
    </row>
    <row r="294" ht="15.75" customHeight="1">
      <c r="A294" s="8"/>
      <c r="B294" s="8"/>
      <c r="C294" s="8"/>
      <c r="D294" s="8"/>
      <c r="E294" s="8"/>
      <c r="F294" s="8"/>
      <c r="G294" s="8"/>
      <c r="H294" s="8"/>
      <c r="I294" s="8"/>
      <c r="J294" s="8"/>
      <c r="K294" s="8"/>
    </row>
    <row r="295" ht="15.75" customHeight="1">
      <c r="A295" s="8"/>
      <c r="B295" s="8"/>
      <c r="C295" s="8"/>
      <c r="D295" s="8"/>
      <c r="E295" s="8"/>
      <c r="F295" s="8"/>
      <c r="G295" s="8"/>
      <c r="H295" s="8"/>
      <c r="I295" s="8"/>
      <c r="J295" s="8"/>
      <c r="K295" s="8"/>
    </row>
    <row r="296" ht="15.75" customHeight="1">
      <c r="A296" s="8"/>
      <c r="B296" s="8"/>
      <c r="C296" s="8"/>
      <c r="D296" s="8"/>
      <c r="E296" s="8"/>
      <c r="F296" s="8"/>
      <c r="G296" s="8"/>
      <c r="H296" s="8"/>
      <c r="I296" s="8"/>
      <c r="J296" s="8"/>
      <c r="K296" s="8"/>
    </row>
    <row r="297" ht="15.75" customHeight="1">
      <c r="A297" s="8"/>
      <c r="B297" s="8"/>
      <c r="C297" s="8"/>
      <c r="D297" s="8"/>
      <c r="E297" s="8"/>
      <c r="F297" s="8"/>
      <c r="G297" s="8"/>
      <c r="H297" s="8"/>
      <c r="I297" s="8"/>
      <c r="J297" s="8"/>
      <c r="K297" s="8"/>
    </row>
    <row r="298" ht="15.75" customHeight="1">
      <c r="A298" s="8"/>
      <c r="B298" s="8"/>
      <c r="C298" s="8"/>
      <c r="D298" s="8"/>
      <c r="E298" s="8"/>
      <c r="F298" s="8"/>
      <c r="G298" s="8"/>
      <c r="H298" s="8"/>
      <c r="I298" s="8"/>
      <c r="J298" s="8"/>
      <c r="K298" s="8"/>
    </row>
    <row r="299" ht="15.75" customHeight="1">
      <c r="A299" s="8"/>
      <c r="B299" s="8"/>
      <c r="C299" s="8"/>
      <c r="D299" s="8"/>
      <c r="E299" s="8"/>
      <c r="F299" s="8"/>
      <c r="G299" s="8"/>
      <c r="H299" s="8"/>
      <c r="I299" s="8"/>
      <c r="J299" s="8"/>
      <c r="K299" s="8"/>
    </row>
    <row r="300" ht="15.75" customHeight="1">
      <c r="A300" s="8"/>
      <c r="B300" s="8"/>
      <c r="C300" s="8"/>
      <c r="D300" s="8"/>
      <c r="E300" s="8"/>
      <c r="F300" s="8"/>
      <c r="G300" s="8"/>
      <c r="H300" s="8"/>
      <c r="I300" s="8"/>
      <c r="J300" s="8"/>
      <c r="K300" s="8"/>
    </row>
    <row r="301" ht="15.75" customHeight="1">
      <c r="A301" s="8"/>
      <c r="B301" s="8"/>
      <c r="C301" s="8"/>
      <c r="D301" s="8"/>
      <c r="E301" s="8"/>
      <c r="F301" s="8"/>
      <c r="G301" s="8"/>
      <c r="H301" s="8"/>
      <c r="I301" s="8"/>
      <c r="J301" s="8"/>
      <c r="K301" s="8"/>
    </row>
    <row r="302" ht="15.75" customHeight="1">
      <c r="A302" s="8"/>
      <c r="B302" s="8"/>
      <c r="C302" s="8"/>
      <c r="D302" s="8"/>
      <c r="E302" s="8"/>
      <c r="F302" s="8"/>
      <c r="G302" s="8"/>
      <c r="H302" s="8"/>
      <c r="I302" s="8"/>
      <c r="J302" s="8"/>
      <c r="K302" s="8"/>
    </row>
    <row r="303" ht="15.75" customHeight="1">
      <c r="A303" s="8"/>
      <c r="B303" s="8"/>
      <c r="C303" s="8"/>
      <c r="D303" s="8"/>
      <c r="E303" s="8"/>
      <c r="F303" s="8"/>
      <c r="G303" s="8"/>
      <c r="H303" s="8"/>
      <c r="I303" s="8"/>
      <c r="J303" s="8"/>
      <c r="K303" s="8"/>
    </row>
    <row r="304" ht="15.75" customHeight="1">
      <c r="A304" s="8"/>
      <c r="B304" s="8"/>
      <c r="C304" s="8"/>
      <c r="D304" s="8"/>
      <c r="E304" s="8"/>
      <c r="F304" s="8"/>
      <c r="G304" s="8"/>
      <c r="H304" s="8"/>
      <c r="I304" s="8"/>
      <c r="J304" s="8"/>
      <c r="K304" s="8"/>
    </row>
    <row r="305" ht="15.75" customHeight="1">
      <c r="A305" s="8"/>
      <c r="B305" s="8"/>
      <c r="C305" s="8"/>
      <c r="D305" s="8"/>
      <c r="E305" s="8"/>
      <c r="F305" s="8"/>
      <c r="G305" s="8"/>
      <c r="H305" s="8"/>
      <c r="I305" s="8"/>
      <c r="J305" s="8"/>
      <c r="K305" s="8"/>
    </row>
    <row r="306" ht="15.75" customHeight="1">
      <c r="A306" s="8"/>
      <c r="B306" s="8"/>
      <c r="C306" s="8"/>
      <c r="D306" s="8"/>
      <c r="E306" s="8"/>
      <c r="F306" s="8"/>
      <c r="G306" s="8"/>
      <c r="H306" s="8"/>
      <c r="I306" s="8"/>
      <c r="J306" s="8"/>
      <c r="K306" s="8"/>
    </row>
    <row r="307" ht="15.75" customHeight="1">
      <c r="A307" s="8"/>
      <c r="B307" s="8"/>
      <c r="C307" s="8"/>
      <c r="D307" s="8"/>
      <c r="E307" s="8"/>
      <c r="F307" s="8"/>
      <c r="G307" s="8"/>
      <c r="H307" s="8"/>
      <c r="I307" s="8"/>
      <c r="J307" s="8"/>
      <c r="K307" s="8"/>
    </row>
    <row r="308" ht="15.75" customHeight="1">
      <c r="A308" s="8"/>
      <c r="B308" s="8"/>
      <c r="C308" s="8"/>
      <c r="D308" s="8"/>
      <c r="E308" s="8"/>
      <c r="F308" s="8"/>
      <c r="G308" s="8"/>
      <c r="H308" s="8"/>
      <c r="I308" s="8"/>
      <c r="J308" s="8"/>
      <c r="K308" s="8"/>
    </row>
    <row r="309" ht="15.75" customHeight="1">
      <c r="A309" s="8"/>
      <c r="B309" s="8"/>
      <c r="C309" s="8"/>
      <c r="D309" s="8"/>
      <c r="E309" s="8"/>
      <c r="F309" s="8"/>
      <c r="G309" s="8"/>
      <c r="H309" s="8"/>
      <c r="I309" s="8"/>
      <c r="J309" s="8"/>
      <c r="K309" s="8"/>
    </row>
    <row r="310" ht="15.75" customHeight="1">
      <c r="A310" s="8"/>
      <c r="B310" s="8"/>
      <c r="C310" s="8"/>
      <c r="D310" s="8"/>
      <c r="E310" s="8"/>
      <c r="F310" s="8"/>
      <c r="G310" s="8"/>
      <c r="H310" s="8"/>
      <c r="I310" s="8"/>
      <c r="J310" s="8"/>
      <c r="K310" s="8"/>
    </row>
    <row r="311" ht="15.75" customHeight="1">
      <c r="A311" s="8"/>
      <c r="B311" s="8"/>
      <c r="C311" s="8"/>
      <c r="D311" s="8"/>
      <c r="E311" s="8"/>
      <c r="F311" s="8"/>
      <c r="G311" s="8"/>
      <c r="H311" s="8"/>
      <c r="I311" s="8"/>
      <c r="J311" s="8"/>
      <c r="K311" s="8"/>
    </row>
    <row r="312" ht="15.75" customHeight="1">
      <c r="A312" s="8"/>
      <c r="B312" s="8"/>
      <c r="C312" s="8"/>
      <c r="D312" s="8"/>
      <c r="E312" s="8"/>
      <c r="F312" s="8"/>
      <c r="G312" s="8"/>
      <c r="H312" s="8"/>
      <c r="I312" s="8"/>
      <c r="J312" s="8"/>
      <c r="K312" s="8"/>
    </row>
    <row r="313" ht="15.75" customHeight="1">
      <c r="A313" s="8"/>
      <c r="B313" s="8"/>
      <c r="C313" s="8"/>
      <c r="D313" s="8"/>
      <c r="E313" s="8"/>
      <c r="F313" s="8"/>
      <c r="G313" s="8"/>
      <c r="H313" s="8"/>
      <c r="I313" s="8"/>
      <c r="J313" s="8"/>
      <c r="K313" s="8"/>
    </row>
    <row r="314" ht="15.75" customHeight="1">
      <c r="A314" s="8"/>
      <c r="B314" s="8"/>
      <c r="C314" s="8"/>
      <c r="D314" s="8"/>
      <c r="E314" s="8"/>
      <c r="F314" s="8"/>
      <c r="G314" s="8"/>
      <c r="H314" s="8"/>
      <c r="I314" s="8"/>
      <c r="J314" s="8"/>
      <c r="K314" s="8"/>
    </row>
    <row r="315" ht="15.75" customHeight="1">
      <c r="A315" s="8"/>
      <c r="B315" s="8"/>
      <c r="C315" s="8"/>
      <c r="D315" s="8"/>
      <c r="E315" s="8"/>
      <c r="F315" s="8"/>
      <c r="G315" s="8"/>
      <c r="H315" s="8"/>
      <c r="I315" s="8"/>
      <c r="J315" s="8"/>
      <c r="K315" s="8"/>
    </row>
    <row r="316" ht="15.75" customHeight="1">
      <c r="A316" s="8"/>
      <c r="B316" s="8"/>
      <c r="C316" s="8"/>
      <c r="D316" s="8"/>
      <c r="E316" s="8"/>
      <c r="F316" s="8"/>
      <c r="G316" s="8"/>
      <c r="H316" s="8"/>
      <c r="I316" s="8"/>
      <c r="J316" s="8"/>
      <c r="K316" s="8"/>
    </row>
    <row r="317" ht="15.75" customHeight="1">
      <c r="A317" s="8"/>
      <c r="B317" s="8"/>
      <c r="C317" s="8"/>
      <c r="D317" s="8"/>
      <c r="E317" s="8"/>
      <c r="F317" s="8"/>
      <c r="G317" s="8"/>
      <c r="H317" s="8"/>
      <c r="I317" s="8"/>
      <c r="J317" s="8"/>
      <c r="K317" s="8"/>
    </row>
    <row r="318" ht="15.75" customHeight="1">
      <c r="A318" s="8"/>
      <c r="B318" s="8"/>
      <c r="C318" s="8"/>
      <c r="D318" s="8"/>
      <c r="E318" s="8"/>
      <c r="F318" s="8"/>
      <c r="G318" s="8"/>
      <c r="H318" s="8"/>
      <c r="I318" s="8"/>
      <c r="J318" s="8"/>
      <c r="K318" s="8"/>
    </row>
    <row r="319" ht="15.75" customHeight="1">
      <c r="A319" s="8"/>
      <c r="B319" s="8"/>
      <c r="C319" s="8"/>
      <c r="D319" s="8"/>
      <c r="E319" s="8"/>
      <c r="F319" s="8"/>
      <c r="G319" s="8"/>
      <c r="H319" s="8"/>
      <c r="I319" s="8"/>
      <c r="J319" s="8"/>
      <c r="K319" s="8"/>
    </row>
    <row r="320" ht="15.75" customHeight="1">
      <c r="A320" s="8"/>
      <c r="B320" s="8"/>
      <c r="C320" s="8"/>
      <c r="D320" s="8"/>
      <c r="E320" s="8"/>
      <c r="F320" s="8"/>
      <c r="G320" s="8"/>
      <c r="H320" s="8"/>
      <c r="I320" s="8"/>
      <c r="J320" s="8"/>
      <c r="K320" s="8"/>
    </row>
    <row r="321" ht="15.75" customHeight="1">
      <c r="A321" s="8"/>
      <c r="B321" s="8"/>
      <c r="C321" s="8"/>
      <c r="D321" s="8"/>
      <c r="E321" s="8"/>
      <c r="F321" s="8"/>
      <c r="G321" s="8"/>
      <c r="H321" s="8"/>
      <c r="I321" s="8"/>
      <c r="J321" s="8"/>
      <c r="K321" s="8"/>
    </row>
    <row r="322" ht="15.75" customHeight="1">
      <c r="A322" s="8"/>
      <c r="B322" s="8"/>
      <c r="C322" s="8"/>
      <c r="D322" s="8"/>
      <c r="E322" s="8"/>
      <c r="F322" s="8"/>
      <c r="G322" s="8"/>
      <c r="H322" s="8"/>
      <c r="I322" s="8"/>
      <c r="J322" s="8"/>
      <c r="K322" s="8"/>
    </row>
    <row r="323" ht="15.75" customHeight="1">
      <c r="A323" s="8"/>
      <c r="B323" s="8"/>
      <c r="C323" s="8"/>
      <c r="D323" s="8"/>
      <c r="E323" s="8"/>
      <c r="F323" s="8"/>
      <c r="G323" s="8"/>
      <c r="H323" s="8"/>
      <c r="I323" s="8"/>
      <c r="J323" s="8"/>
      <c r="K323" s="8"/>
    </row>
    <row r="324" ht="15.75" customHeight="1">
      <c r="A324" s="8"/>
      <c r="B324" s="8"/>
      <c r="C324" s="8"/>
      <c r="D324" s="8"/>
      <c r="E324" s="8"/>
      <c r="F324" s="8"/>
      <c r="G324" s="8"/>
      <c r="H324" s="8"/>
      <c r="I324" s="8"/>
      <c r="J324" s="8"/>
      <c r="K324" s="8"/>
    </row>
    <row r="325" ht="15.75" customHeight="1">
      <c r="A325" s="8"/>
      <c r="B325" s="8"/>
      <c r="C325" s="8"/>
      <c r="D325" s="8"/>
      <c r="E325" s="8"/>
      <c r="F325" s="8"/>
      <c r="G325" s="8"/>
      <c r="H325" s="8"/>
      <c r="I325" s="8"/>
      <c r="J325" s="8"/>
      <c r="K325" s="8"/>
    </row>
    <row r="326" ht="15.75" customHeight="1">
      <c r="A326" s="8"/>
      <c r="B326" s="8"/>
      <c r="C326" s="8"/>
      <c r="D326" s="8"/>
      <c r="E326" s="8"/>
      <c r="F326" s="8"/>
      <c r="G326" s="8"/>
      <c r="H326" s="8"/>
      <c r="I326" s="8"/>
      <c r="J326" s="8"/>
      <c r="K326" s="8"/>
    </row>
    <row r="327" ht="15.75" customHeight="1">
      <c r="A327" s="8"/>
      <c r="B327" s="8"/>
      <c r="C327" s="8"/>
      <c r="D327" s="8"/>
      <c r="E327" s="8"/>
      <c r="F327" s="8"/>
      <c r="G327" s="8"/>
      <c r="H327" s="8"/>
      <c r="I327" s="8"/>
      <c r="J327" s="8"/>
      <c r="K327" s="8"/>
    </row>
    <row r="328" ht="15.75" customHeight="1">
      <c r="A328" s="8"/>
      <c r="B328" s="8"/>
      <c r="C328" s="8"/>
      <c r="D328" s="8"/>
      <c r="E328" s="8"/>
      <c r="F328" s="8"/>
      <c r="G328" s="8"/>
      <c r="H328" s="8"/>
      <c r="I328" s="8"/>
      <c r="J328" s="8"/>
      <c r="K328" s="8"/>
    </row>
    <row r="329" ht="15.75" customHeight="1">
      <c r="A329" s="8"/>
      <c r="B329" s="8"/>
      <c r="C329" s="8"/>
      <c r="D329" s="8"/>
      <c r="E329" s="8"/>
      <c r="F329" s="8"/>
      <c r="G329" s="8"/>
      <c r="H329" s="8"/>
      <c r="I329" s="8"/>
      <c r="J329" s="8"/>
      <c r="K329" s="8"/>
    </row>
    <row r="330" ht="15.75" customHeight="1">
      <c r="A330" s="8"/>
      <c r="B330" s="8"/>
      <c r="C330" s="8"/>
      <c r="D330" s="8"/>
      <c r="E330" s="8"/>
      <c r="F330" s="8"/>
      <c r="G330" s="8"/>
      <c r="H330" s="8"/>
      <c r="I330" s="8"/>
      <c r="J330" s="8"/>
      <c r="K330" s="8"/>
    </row>
    <row r="331" ht="15.75" customHeight="1">
      <c r="A331" s="8"/>
      <c r="B331" s="8"/>
      <c r="C331" s="8"/>
      <c r="D331" s="8"/>
      <c r="E331" s="8"/>
      <c r="F331" s="8"/>
      <c r="G331" s="8"/>
      <c r="H331" s="8"/>
      <c r="I331" s="8"/>
      <c r="J331" s="8"/>
      <c r="K331" s="8"/>
    </row>
    <row r="332" ht="15.75" customHeight="1">
      <c r="A332" s="8"/>
      <c r="B332" s="8"/>
      <c r="C332" s="8"/>
      <c r="D332" s="8"/>
      <c r="E332" s="8"/>
      <c r="F332" s="8"/>
      <c r="G332" s="8"/>
      <c r="H332" s="8"/>
      <c r="I332" s="8"/>
      <c r="J332" s="8"/>
      <c r="K332" s="8"/>
    </row>
    <row r="333" ht="15.75" customHeight="1">
      <c r="A333" s="8"/>
      <c r="B333" s="8"/>
      <c r="C333" s="8"/>
      <c r="D333" s="8"/>
      <c r="E333" s="8"/>
      <c r="F333" s="8"/>
      <c r="G333" s="8"/>
      <c r="H333" s="8"/>
      <c r="I333" s="8"/>
      <c r="J333" s="8"/>
      <c r="K333" s="8"/>
    </row>
    <row r="334" ht="15.75" customHeight="1">
      <c r="A334" s="8"/>
      <c r="B334" s="8"/>
      <c r="C334" s="8"/>
      <c r="D334" s="8"/>
      <c r="E334" s="8"/>
      <c r="F334" s="8"/>
      <c r="G334" s="8"/>
      <c r="H334" s="8"/>
      <c r="I334" s="8"/>
      <c r="J334" s="8"/>
      <c r="K334" s="8"/>
    </row>
    <row r="335" ht="15.75" customHeight="1">
      <c r="A335" s="8"/>
      <c r="B335" s="8"/>
      <c r="C335" s="8"/>
      <c r="D335" s="8"/>
      <c r="E335" s="8"/>
      <c r="F335" s="8"/>
      <c r="G335" s="8"/>
      <c r="H335" s="8"/>
      <c r="I335" s="8"/>
      <c r="J335" s="8"/>
      <c r="K335" s="8"/>
    </row>
    <row r="336" ht="15.75" customHeight="1">
      <c r="A336" s="8"/>
      <c r="B336" s="8"/>
      <c r="C336" s="8"/>
      <c r="D336" s="8"/>
      <c r="E336" s="8"/>
      <c r="F336" s="8"/>
      <c r="G336" s="8"/>
      <c r="H336" s="8"/>
      <c r="I336" s="8"/>
      <c r="J336" s="8"/>
      <c r="K336" s="8"/>
    </row>
    <row r="337" ht="15.75" customHeight="1">
      <c r="A337" s="8"/>
      <c r="B337" s="8"/>
      <c r="C337" s="8"/>
      <c r="D337" s="8"/>
      <c r="E337" s="8"/>
      <c r="F337" s="8"/>
      <c r="G337" s="8"/>
      <c r="H337" s="8"/>
      <c r="I337" s="8"/>
      <c r="J337" s="8"/>
      <c r="K337" s="8"/>
    </row>
    <row r="338" ht="15.75" customHeight="1">
      <c r="A338" s="8"/>
      <c r="B338" s="8"/>
      <c r="C338" s="8"/>
      <c r="D338" s="8"/>
      <c r="E338" s="8"/>
      <c r="F338" s="8"/>
      <c r="G338" s="8"/>
      <c r="H338" s="8"/>
      <c r="I338" s="8"/>
      <c r="J338" s="8"/>
      <c r="K338" s="8"/>
    </row>
    <row r="339" ht="15.75" customHeight="1">
      <c r="A339" s="8"/>
      <c r="B339" s="8"/>
      <c r="C339" s="8"/>
      <c r="D339" s="8"/>
      <c r="E339" s="8"/>
      <c r="F339" s="8"/>
      <c r="G339" s="8"/>
      <c r="H339" s="8"/>
      <c r="I339" s="8"/>
      <c r="J339" s="8"/>
      <c r="K339" s="8"/>
    </row>
    <row r="340" ht="15.75" customHeight="1">
      <c r="A340" s="8"/>
      <c r="B340" s="8"/>
      <c r="C340" s="8"/>
      <c r="D340" s="8"/>
      <c r="E340" s="8"/>
      <c r="F340" s="8"/>
      <c r="G340" s="8"/>
      <c r="H340" s="8"/>
      <c r="I340" s="8"/>
      <c r="J340" s="8"/>
      <c r="K340" s="8"/>
    </row>
    <row r="341" ht="15.75" customHeight="1">
      <c r="A341" s="8"/>
      <c r="B341" s="8"/>
      <c r="C341" s="8"/>
      <c r="D341" s="8"/>
      <c r="E341" s="8"/>
      <c r="F341" s="8"/>
      <c r="G341" s="8"/>
      <c r="H341" s="8"/>
      <c r="I341" s="8"/>
      <c r="J341" s="8"/>
      <c r="K341" s="8"/>
    </row>
    <row r="342" ht="15.75" customHeight="1">
      <c r="A342" s="8"/>
      <c r="B342" s="8"/>
      <c r="C342" s="8"/>
      <c r="D342" s="8"/>
      <c r="E342" s="8"/>
      <c r="F342" s="8"/>
      <c r="G342" s="8"/>
      <c r="H342" s="8"/>
      <c r="I342" s="8"/>
      <c r="J342" s="8"/>
      <c r="K342" s="8"/>
    </row>
    <row r="343" ht="15.75" customHeight="1">
      <c r="A343" s="8"/>
      <c r="B343" s="8"/>
      <c r="C343" s="8"/>
      <c r="D343" s="8"/>
      <c r="E343" s="8"/>
      <c r="F343" s="8"/>
      <c r="G343" s="8"/>
      <c r="H343" s="8"/>
      <c r="I343" s="8"/>
      <c r="J343" s="8"/>
      <c r="K343" s="8"/>
    </row>
    <row r="344" ht="15.75" customHeight="1">
      <c r="A344" s="8"/>
      <c r="B344" s="8"/>
      <c r="C344" s="8"/>
      <c r="D344" s="8"/>
      <c r="E344" s="8"/>
      <c r="F344" s="8"/>
      <c r="G344" s="8"/>
      <c r="H344" s="8"/>
      <c r="I344" s="8"/>
      <c r="J344" s="8"/>
      <c r="K344" s="8"/>
    </row>
    <row r="345" ht="15.75" customHeight="1">
      <c r="A345" s="8"/>
      <c r="B345" s="8"/>
      <c r="C345" s="8"/>
      <c r="D345" s="8"/>
      <c r="E345" s="8"/>
      <c r="F345" s="8"/>
      <c r="G345" s="8"/>
      <c r="H345" s="8"/>
      <c r="I345" s="8"/>
      <c r="J345" s="8"/>
      <c r="K345" s="8"/>
    </row>
    <row r="346" ht="15.75" customHeight="1">
      <c r="A346" s="8"/>
      <c r="B346" s="8"/>
      <c r="C346" s="8"/>
      <c r="D346" s="8"/>
      <c r="E346" s="8"/>
      <c r="F346" s="8"/>
      <c r="G346" s="8"/>
      <c r="H346" s="8"/>
      <c r="I346" s="8"/>
      <c r="J346" s="8"/>
      <c r="K346" s="8"/>
    </row>
    <row r="347" ht="15.75" customHeight="1">
      <c r="A347" s="8"/>
      <c r="B347" s="8"/>
      <c r="C347" s="8"/>
      <c r="D347" s="8"/>
      <c r="E347" s="8"/>
      <c r="F347" s="8"/>
      <c r="G347" s="8"/>
      <c r="H347" s="8"/>
      <c r="I347" s="8"/>
      <c r="J347" s="8"/>
      <c r="K347" s="8"/>
    </row>
    <row r="348" ht="15.75" customHeight="1">
      <c r="A348" s="8"/>
      <c r="B348" s="8"/>
      <c r="C348" s="8"/>
      <c r="D348" s="8"/>
      <c r="E348" s="8"/>
      <c r="F348" s="8"/>
      <c r="G348" s="8"/>
      <c r="H348" s="8"/>
      <c r="I348" s="8"/>
      <c r="J348" s="8"/>
      <c r="K348" s="8"/>
    </row>
    <row r="349" ht="15.75" customHeight="1">
      <c r="A349" s="8"/>
      <c r="B349" s="8"/>
      <c r="C349" s="8"/>
      <c r="D349" s="8"/>
      <c r="E349" s="8"/>
      <c r="F349" s="8"/>
      <c r="G349" s="8"/>
      <c r="H349" s="8"/>
      <c r="I349" s="8"/>
      <c r="J349" s="8"/>
      <c r="K349" s="8"/>
    </row>
    <row r="350" ht="15.75" customHeight="1">
      <c r="A350" s="8"/>
      <c r="B350" s="8"/>
      <c r="C350" s="8"/>
      <c r="D350" s="8"/>
      <c r="E350" s="8"/>
      <c r="F350" s="8"/>
      <c r="G350" s="8"/>
      <c r="H350" s="8"/>
      <c r="I350" s="8"/>
      <c r="J350" s="8"/>
      <c r="K350" s="8"/>
    </row>
    <row r="351" ht="15.75" customHeight="1">
      <c r="A351" s="8"/>
      <c r="B351" s="8"/>
      <c r="C351" s="8"/>
      <c r="D351" s="8"/>
      <c r="E351" s="8"/>
      <c r="F351" s="8"/>
      <c r="G351" s="8"/>
      <c r="H351" s="8"/>
      <c r="I351" s="8"/>
      <c r="J351" s="8"/>
      <c r="K351" s="8"/>
    </row>
    <row r="352" ht="15.75" customHeight="1">
      <c r="A352" s="8"/>
      <c r="B352" s="8"/>
      <c r="C352" s="8"/>
      <c r="D352" s="8"/>
      <c r="E352" s="8"/>
      <c r="F352" s="8"/>
      <c r="G352" s="8"/>
      <c r="H352" s="8"/>
      <c r="I352" s="8"/>
      <c r="J352" s="8"/>
      <c r="K352" s="8"/>
    </row>
    <row r="353" ht="15.75" customHeight="1">
      <c r="A353" s="8"/>
      <c r="B353" s="8"/>
      <c r="C353" s="8"/>
      <c r="D353" s="8"/>
      <c r="E353" s="8"/>
      <c r="F353" s="8"/>
      <c r="G353" s="8"/>
      <c r="H353" s="8"/>
      <c r="I353" s="8"/>
      <c r="J353" s="8"/>
      <c r="K353" s="8"/>
    </row>
    <row r="354" ht="15.75" customHeight="1">
      <c r="A354" s="8"/>
      <c r="B354" s="8"/>
      <c r="C354" s="8"/>
      <c r="D354" s="8"/>
      <c r="E354" s="8"/>
      <c r="F354" s="8"/>
      <c r="G354" s="8"/>
      <c r="H354" s="8"/>
      <c r="I354" s="8"/>
      <c r="J354" s="8"/>
      <c r="K354" s="8"/>
    </row>
    <row r="355" ht="15.75" customHeight="1">
      <c r="A355" s="8"/>
      <c r="B355" s="8"/>
      <c r="C355" s="8"/>
      <c r="D355" s="8"/>
      <c r="E355" s="8"/>
      <c r="F355" s="8"/>
      <c r="G355" s="8"/>
      <c r="H355" s="8"/>
      <c r="I355" s="8"/>
      <c r="J355" s="8"/>
      <c r="K355" s="8"/>
    </row>
    <row r="356" ht="15.75" customHeight="1">
      <c r="A356" s="8"/>
      <c r="B356" s="8"/>
      <c r="C356" s="8"/>
      <c r="D356" s="8"/>
      <c r="E356" s="8"/>
      <c r="F356" s="8"/>
      <c r="G356" s="8"/>
      <c r="H356" s="8"/>
      <c r="I356" s="8"/>
      <c r="J356" s="8"/>
      <c r="K356" s="8"/>
    </row>
    <row r="357" ht="15.75" customHeight="1">
      <c r="A357" s="8"/>
      <c r="B357" s="8"/>
      <c r="C357" s="8"/>
      <c r="D357" s="8"/>
      <c r="E357" s="8"/>
      <c r="F357" s="8"/>
      <c r="G357" s="8"/>
      <c r="H357" s="8"/>
      <c r="I357" s="8"/>
      <c r="J357" s="8"/>
      <c r="K357" s="8"/>
    </row>
    <row r="358" ht="15.75" customHeight="1">
      <c r="A358" s="8"/>
      <c r="B358" s="8"/>
      <c r="C358" s="8"/>
      <c r="D358" s="8"/>
      <c r="E358" s="8"/>
      <c r="F358" s="8"/>
      <c r="G358" s="8"/>
      <c r="H358" s="8"/>
      <c r="I358" s="8"/>
      <c r="J358" s="8"/>
      <c r="K358" s="8"/>
    </row>
    <row r="359" ht="15.75" customHeight="1">
      <c r="A359" s="8"/>
      <c r="B359" s="8"/>
      <c r="C359" s="8"/>
      <c r="D359" s="8"/>
      <c r="E359" s="8"/>
      <c r="F359" s="8"/>
      <c r="G359" s="8"/>
      <c r="H359" s="8"/>
      <c r="I359" s="8"/>
      <c r="J359" s="8"/>
      <c r="K359" s="8"/>
    </row>
    <row r="360" ht="15.75" customHeight="1">
      <c r="A360" s="8"/>
      <c r="B360" s="8"/>
      <c r="C360" s="8"/>
      <c r="D360" s="8"/>
      <c r="E360" s="8"/>
      <c r="F360" s="8"/>
      <c r="G360" s="8"/>
      <c r="H360" s="8"/>
      <c r="I360" s="8"/>
      <c r="J360" s="8"/>
      <c r="K360" s="8"/>
    </row>
    <row r="361" ht="15.75" customHeight="1">
      <c r="A361" s="8"/>
      <c r="B361" s="8"/>
      <c r="C361" s="8"/>
      <c r="D361" s="8"/>
      <c r="E361" s="8"/>
      <c r="F361" s="8"/>
      <c r="G361" s="8"/>
      <c r="H361" s="8"/>
      <c r="I361" s="8"/>
      <c r="J361" s="8"/>
      <c r="K361" s="8"/>
    </row>
    <row r="362" ht="15.75" customHeight="1">
      <c r="A362" s="8"/>
      <c r="B362" s="8"/>
      <c r="C362" s="8"/>
      <c r="D362" s="8"/>
      <c r="E362" s="8"/>
      <c r="F362" s="8"/>
      <c r="G362" s="8"/>
      <c r="H362" s="8"/>
      <c r="I362" s="8"/>
      <c r="J362" s="8"/>
      <c r="K362" s="8"/>
    </row>
    <row r="363" ht="15.75" customHeight="1">
      <c r="A363" s="8"/>
      <c r="B363" s="8"/>
      <c r="C363" s="8"/>
      <c r="D363" s="8"/>
      <c r="E363" s="8"/>
      <c r="F363" s="8"/>
      <c r="G363" s="8"/>
      <c r="H363" s="8"/>
      <c r="I363" s="8"/>
      <c r="J363" s="8"/>
      <c r="K363" s="8"/>
    </row>
    <row r="364" ht="15.75" customHeight="1">
      <c r="A364" s="8"/>
      <c r="B364" s="8"/>
      <c r="C364" s="8"/>
      <c r="D364" s="8"/>
      <c r="E364" s="8"/>
      <c r="F364" s="8"/>
      <c r="G364" s="8"/>
      <c r="H364" s="8"/>
      <c r="I364" s="8"/>
      <c r="J364" s="8"/>
      <c r="K364" s="8"/>
    </row>
    <row r="365" ht="15.75" customHeight="1">
      <c r="A365" s="8"/>
      <c r="B365" s="8"/>
      <c r="C365" s="8"/>
      <c r="D365" s="8"/>
      <c r="E365" s="8"/>
      <c r="F365" s="8"/>
      <c r="G365" s="8"/>
      <c r="H365" s="8"/>
      <c r="I365" s="8"/>
      <c r="J365" s="8"/>
      <c r="K365" s="8"/>
    </row>
    <row r="366" ht="15.75" customHeight="1">
      <c r="A366" s="8"/>
      <c r="B366" s="8"/>
      <c r="C366" s="8"/>
      <c r="D366" s="8"/>
      <c r="E366" s="8"/>
      <c r="F366" s="8"/>
      <c r="G366" s="8"/>
      <c r="H366" s="8"/>
      <c r="I366" s="8"/>
      <c r="J366" s="8"/>
      <c r="K366" s="8"/>
    </row>
    <row r="367" ht="15.75" customHeight="1">
      <c r="A367" s="8"/>
      <c r="B367" s="8"/>
      <c r="C367" s="8"/>
      <c r="D367" s="8"/>
      <c r="E367" s="8"/>
      <c r="F367" s="8"/>
      <c r="G367" s="8"/>
      <c r="H367" s="8"/>
      <c r="I367" s="8"/>
      <c r="J367" s="8"/>
      <c r="K367" s="8"/>
    </row>
    <row r="368" ht="15.75" customHeight="1">
      <c r="A368" s="8"/>
      <c r="B368" s="8"/>
      <c r="C368" s="8"/>
      <c r="D368" s="8"/>
      <c r="E368" s="8"/>
      <c r="F368" s="8"/>
      <c r="G368" s="8"/>
      <c r="H368" s="8"/>
      <c r="I368" s="8"/>
      <c r="J368" s="8"/>
      <c r="K368" s="8"/>
    </row>
    <row r="369" ht="15.75" customHeight="1">
      <c r="A369" s="8"/>
      <c r="B369" s="8"/>
      <c r="C369" s="8"/>
      <c r="D369" s="8"/>
      <c r="E369" s="8"/>
      <c r="F369" s="8"/>
      <c r="G369" s="8"/>
      <c r="H369" s="8"/>
      <c r="I369" s="8"/>
      <c r="J369" s="8"/>
      <c r="K369" s="8"/>
    </row>
    <row r="370" ht="15.75" customHeight="1">
      <c r="A370" s="8"/>
      <c r="B370" s="8"/>
      <c r="C370" s="8"/>
      <c r="D370" s="8"/>
      <c r="E370" s="8"/>
      <c r="F370" s="8"/>
      <c r="G370" s="8"/>
      <c r="H370" s="8"/>
      <c r="I370" s="8"/>
      <c r="J370" s="8"/>
      <c r="K370" s="8"/>
    </row>
    <row r="371" ht="15.75" customHeight="1">
      <c r="A371" s="8"/>
      <c r="B371" s="8"/>
      <c r="C371" s="8"/>
      <c r="D371" s="8"/>
      <c r="E371" s="8"/>
      <c r="F371" s="8"/>
      <c r="G371" s="8"/>
      <c r="H371" s="8"/>
      <c r="I371" s="8"/>
      <c r="J371" s="8"/>
      <c r="K371" s="8"/>
    </row>
    <row r="372" ht="15.75" customHeight="1">
      <c r="A372" s="8"/>
      <c r="B372" s="8"/>
      <c r="C372" s="8"/>
      <c r="D372" s="8"/>
      <c r="E372" s="8"/>
      <c r="F372" s="8"/>
      <c r="G372" s="8"/>
      <c r="H372" s="8"/>
      <c r="I372" s="8"/>
      <c r="J372" s="8"/>
      <c r="K372" s="8"/>
    </row>
    <row r="373" ht="15.75" customHeight="1">
      <c r="A373" s="8"/>
      <c r="B373" s="8"/>
      <c r="C373" s="8"/>
      <c r="D373" s="8"/>
      <c r="E373" s="8"/>
      <c r="F373" s="8"/>
      <c r="G373" s="8"/>
      <c r="H373" s="8"/>
      <c r="I373" s="8"/>
      <c r="J373" s="8"/>
      <c r="K373" s="8"/>
    </row>
    <row r="374" ht="15.75" customHeight="1">
      <c r="A374" s="8"/>
      <c r="B374" s="8"/>
      <c r="C374" s="8"/>
      <c r="D374" s="8"/>
      <c r="E374" s="8"/>
      <c r="F374" s="8"/>
      <c r="G374" s="8"/>
      <c r="H374" s="8"/>
      <c r="I374" s="8"/>
      <c r="J374" s="8"/>
      <c r="K374" s="8"/>
    </row>
    <row r="375" ht="15.75" customHeight="1">
      <c r="A375" s="8"/>
      <c r="B375" s="8"/>
      <c r="C375" s="8"/>
      <c r="D375" s="8"/>
      <c r="E375" s="8"/>
      <c r="F375" s="8"/>
      <c r="G375" s="8"/>
      <c r="H375" s="8"/>
      <c r="I375" s="8"/>
      <c r="J375" s="8"/>
      <c r="K375" s="8"/>
    </row>
    <row r="376" ht="15.75" customHeight="1">
      <c r="A376" s="8"/>
      <c r="B376" s="8"/>
      <c r="C376" s="8"/>
      <c r="D376" s="8"/>
      <c r="E376" s="8"/>
      <c r="F376" s="8"/>
      <c r="G376" s="8"/>
      <c r="H376" s="8"/>
      <c r="I376" s="8"/>
      <c r="J376" s="8"/>
      <c r="K376" s="8"/>
    </row>
    <row r="377" ht="15.75" customHeight="1">
      <c r="A377" s="8"/>
      <c r="B377" s="8"/>
      <c r="C377" s="8"/>
      <c r="D377" s="8"/>
      <c r="E377" s="8"/>
      <c r="F377" s="8"/>
      <c r="G377" s="8"/>
      <c r="H377" s="8"/>
      <c r="I377" s="8"/>
      <c r="J377" s="8"/>
      <c r="K377" s="8"/>
    </row>
    <row r="378" ht="15.75" customHeight="1">
      <c r="A378" s="8"/>
      <c r="B378" s="8"/>
      <c r="C378" s="8"/>
      <c r="D378" s="8"/>
      <c r="E378" s="8"/>
      <c r="F378" s="8"/>
      <c r="G378" s="8"/>
      <c r="H378" s="8"/>
      <c r="I378" s="8"/>
      <c r="J378" s="8"/>
      <c r="K378" s="8"/>
    </row>
    <row r="379" ht="15.75" customHeight="1">
      <c r="A379" s="8"/>
      <c r="B379" s="8"/>
      <c r="C379" s="8"/>
      <c r="D379" s="8"/>
      <c r="E379" s="8"/>
      <c r="F379" s="8"/>
      <c r="G379" s="8"/>
      <c r="H379" s="8"/>
      <c r="I379" s="8"/>
      <c r="J379" s="8"/>
      <c r="K379" s="8"/>
    </row>
    <row r="380" ht="15.75" customHeight="1">
      <c r="A380" s="8"/>
      <c r="B380" s="8"/>
      <c r="C380" s="8"/>
      <c r="D380" s="8"/>
      <c r="E380" s="8"/>
      <c r="F380" s="8"/>
      <c r="G380" s="8"/>
      <c r="H380" s="8"/>
      <c r="I380" s="8"/>
      <c r="J380" s="8"/>
      <c r="K380" s="8"/>
    </row>
    <row r="381" ht="15.75" customHeight="1">
      <c r="A381" s="8"/>
      <c r="B381" s="8"/>
      <c r="C381" s="8"/>
      <c r="D381" s="8"/>
      <c r="E381" s="8"/>
      <c r="F381" s="8"/>
      <c r="G381" s="8"/>
      <c r="H381" s="8"/>
      <c r="I381" s="8"/>
      <c r="J381" s="8"/>
      <c r="K381" s="8"/>
    </row>
    <row r="382" ht="15.75" customHeight="1">
      <c r="A382" s="8"/>
      <c r="B382" s="8"/>
      <c r="C382" s="8"/>
      <c r="D382" s="8"/>
      <c r="E382" s="8"/>
      <c r="F382" s="8"/>
      <c r="G382" s="8"/>
      <c r="H382" s="8"/>
      <c r="I382" s="8"/>
      <c r="J382" s="8"/>
      <c r="K382" s="8"/>
    </row>
    <row r="383" ht="15.75" customHeight="1">
      <c r="A383" s="8"/>
      <c r="B383" s="8"/>
      <c r="C383" s="8"/>
      <c r="D383" s="8"/>
      <c r="E383" s="8"/>
      <c r="F383" s="8"/>
      <c r="G383" s="8"/>
      <c r="H383" s="8"/>
      <c r="I383" s="8"/>
      <c r="J383" s="8"/>
      <c r="K383" s="8"/>
    </row>
    <row r="384" ht="15.75" customHeight="1">
      <c r="A384" s="8"/>
      <c r="B384" s="8"/>
      <c r="C384" s="8"/>
      <c r="D384" s="8"/>
      <c r="E384" s="8"/>
      <c r="F384" s="8"/>
      <c r="G384" s="8"/>
      <c r="H384" s="8"/>
      <c r="I384" s="8"/>
      <c r="J384" s="8"/>
      <c r="K384" s="8"/>
    </row>
    <row r="385" ht="15.75" customHeight="1">
      <c r="A385" s="8"/>
      <c r="B385" s="8"/>
      <c r="C385" s="8"/>
      <c r="D385" s="8"/>
      <c r="E385" s="8"/>
      <c r="F385" s="8"/>
      <c r="G385" s="8"/>
      <c r="H385" s="8"/>
      <c r="I385" s="8"/>
      <c r="J385" s="8"/>
      <c r="K385" s="8"/>
    </row>
    <row r="386" ht="15.75" customHeight="1">
      <c r="A386" s="8"/>
      <c r="B386" s="8"/>
      <c r="C386" s="8"/>
      <c r="D386" s="8"/>
      <c r="E386" s="8"/>
      <c r="F386" s="8"/>
      <c r="G386" s="8"/>
      <c r="H386" s="8"/>
      <c r="I386" s="8"/>
      <c r="J386" s="8"/>
      <c r="K386" s="8"/>
    </row>
    <row r="387" ht="15.75" customHeight="1">
      <c r="A387" s="8"/>
      <c r="B387" s="8"/>
      <c r="C387" s="8"/>
      <c r="D387" s="8"/>
      <c r="E387" s="8"/>
      <c r="F387" s="8"/>
      <c r="G387" s="8"/>
      <c r="H387" s="8"/>
      <c r="I387" s="8"/>
      <c r="J387" s="8"/>
      <c r="K387" s="8"/>
    </row>
    <row r="388" ht="15.75" customHeight="1">
      <c r="A388" s="8"/>
      <c r="B388" s="8"/>
      <c r="C388" s="8"/>
      <c r="D388" s="8"/>
      <c r="E388" s="8"/>
      <c r="F388" s="8"/>
      <c r="G388" s="8"/>
      <c r="H388" s="8"/>
      <c r="I388" s="8"/>
      <c r="J388" s="8"/>
      <c r="K388" s="8"/>
    </row>
    <row r="389" ht="15.75" customHeight="1">
      <c r="A389" s="8"/>
      <c r="B389" s="8"/>
      <c r="C389" s="8"/>
      <c r="D389" s="8"/>
      <c r="E389" s="8"/>
      <c r="F389" s="8"/>
      <c r="G389" s="8"/>
      <c r="H389" s="8"/>
      <c r="I389" s="8"/>
      <c r="J389" s="8"/>
      <c r="K389" s="8"/>
    </row>
    <row r="390" ht="15.75" customHeight="1">
      <c r="A390" s="8"/>
      <c r="B390" s="8"/>
      <c r="C390" s="8"/>
      <c r="D390" s="8"/>
      <c r="E390" s="8"/>
      <c r="F390" s="8"/>
      <c r="G390" s="8"/>
      <c r="H390" s="8"/>
      <c r="I390" s="8"/>
      <c r="J390" s="8"/>
      <c r="K390" s="8"/>
    </row>
    <row r="391" ht="15.75" customHeight="1">
      <c r="A391" s="8"/>
      <c r="B391" s="8"/>
      <c r="C391" s="8"/>
      <c r="D391" s="8"/>
      <c r="E391" s="8"/>
      <c r="F391" s="8"/>
      <c r="G391" s="8"/>
      <c r="H391" s="8"/>
      <c r="I391" s="8"/>
      <c r="J391" s="8"/>
      <c r="K391" s="8"/>
    </row>
    <row r="392" ht="15.75" customHeight="1">
      <c r="A392" s="8"/>
      <c r="B392" s="8"/>
      <c r="C392" s="8"/>
      <c r="D392" s="8"/>
      <c r="E392" s="8"/>
      <c r="F392" s="8"/>
      <c r="G392" s="8"/>
      <c r="H392" s="8"/>
      <c r="I392" s="8"/>
      <c r="J392" s="8"/>
      <c r="K392" s="8"/>
    </row>
    <row r="393" ht="15.75" customHeight="1">
      <c r="A393" s="8"/>
      <c r="B393" s="8"/>
      <c r="C393" s="8"/>
      <c r="D393" s="8"/>
      <c r="E393" s="8"/>
      <c r="F393" s="8"/>
      <c r="G393" s="8"/>
      <c r="H393" s="8"/>
      <c r="I393" s="8"/>
      <c r="J393" s="8"/>
      <c r="K393" s="8"/>
    </row>
    <row r="394" ht="15.75" customHeight="1">
      <c r="A394" s="8"/>
      <c r="B394" s="8"/>
      <c r="C394" s="8"/>
      <c r="D394" s="8"/>
      <c r="E394" s="8"/>
      <c r="F394" s="8"/>
      <c r="G394" s="8"/>
      <c r="H394" s="8"/>
      <c r="I394" s="8"/>
      <c r="J394" s="8"/>
      <c r="K394" s="8"/>
    </row>
    <row r="395" ht="15.75" customHeight="1">
      <c r="A395" s="8"/>
      <c r="B395" s="8"/>
      <c r="C395" s="8"/>
      <c r="D395" s="8"/>
      <c r="E395" s="8"/>
      <c r="F395" s="8"/>
      <c r="G395" s="8"/>
      <c r="H395" s="8"/>
      <c r="I395" s="8"/>
      <c r="J395" s="8"/>
      <c r="K395" s="8"/>
    </row>
    <row r="396" ht="15.75" customHeight="1">
      <c r="A396" s="8"/>
      <c r="B396" s="8"/>
      <c r="C396" s="8"/>
      <c r="D396" s="8"/>
      <c r="E396" s="8"/>
      <c r="F396" s="8"/>
      <c r="G396" s="8"/>
      <c r="H396" s="8"/>
      <c r="I396" s="8"/>
      <c r="J396" s="8"/>
      <c r="K396" s="8"/>
    </row>
    <row r="397" ht="15.75" customHeight="1">
      <c r="A397" s="8"/>
      <c r="B397" s="8"/>
      <c r="C397" s="8"/>
      <c r="D397" s="8"/>
      <c r="E397" s="8"/>
      <c r="F397" s="8"/>
      <c r="G397" s="8"/>
      <c r="H397" s="8"/>
      <c r="I397" s="8"/>
      <c r="J397" s="8"/>
      <c r="K397" s="8"/>
    </row>
    <row r="398" ht="15.75" customHeight="1">
      <c r="A398" s="8"/>
      <c r="B398" s="8"/>
      <c r="C398" s="8"/>
      <c r="D398" s="8"/>
      <c r="E398" s="8"/>
      <c r="F398" s="8"/>
      <c r="G398" s="8"/>
      <c r="H398" s="8"/>
      <c r="I398" s="8"/>
      <c r="J398" s="8"/>
      <c r="K398" s="8"/>
    </row>
    <row r="399" ht="15.75" customHeight="1">
      <c r="A399" s="8"/>
      <c r="B399" s="8"/>
      <c r="C399" s="8"/>
      <c r="D399" s="8"/>
      <c r="E399" s="8"/>
      <c r="F399" s="8"/>
      <c r="G399" s="8"/>
      <c r="H399" s="8"/>
      <c r="I399" s="8"/>
      <c r="J399" s="8"/>
      <c r="K399" s="8"/>
    </row>
    <row r="400" ht="15.75" customHeight="1">
      <c r="A400" s="8"/>
      <c r="B400" s="8"/>
      <c r="C400" s="8"/>
      <c r="D400" s="8"/>
      <c r="E400" s="8"/>
      <c r="F400" s="8"/>
      <c r="G400" s="8"/>
      <c r="H400" s="8"/>
      <c r="I400" s="8"/>
      <c r="J400" s="8"/>
      <c r="K400" s="8"/>
    </row>
    <row r="401" ht="15.75" customHeight="1">
      <c r="A401" s="8"/>
      <c r="B401" s="8"/>
      <c r="C401" s="8"/>
      <c r="D401" s="8"/>
      <c r="E401" s="8"/>
      <c r="F401" s="8"/>
      <c r="G401" s="8"/>
      <c r="H401" s="8"/>
      <c r="I401" s="8"/>
      <c r="J401" s="8"/>
      <c r="K401" s="8"/>
    </row>
    <row r="402" ht="15.75" customHeight="1">
      <c r="A402" s="8"/>
      <c r="B402" s="8"/>
      <c r="C402" s="8"/>
      <c r="D402" s="8"/>
      <c r="E402" s="8"/>
      <c r="F402" s="8"/>
      <c r="G402" s="8"/>
      <c r="H402" s="8"/>
      <c r="I402" s="8"/>
      <c r="J402" s="8"/>
      <c r="K402" s="8"/>
    </row>
    <row r="403" ht="15.75" customHeight="1">
      <c r="A403" s="8"/>
      <c r="B403" s="8"/>
      <c r="C403" s="8"/>
      <c r="D403" s="8"/>
      <c r="E403" s="8"/>
      <c r="F403" s="8"/>
      <c r="G403" s="8"/>
      <c r="H403" s="8"/>
      <c r="I403" s="8"/>
      <c r="J403" s="8"/>
      <c r="K403" s="8"/>
    </row>
    <row r="404" ht="15.75" customHeight="1">
      <c r="A404" s="8"/>
      <c r="B404" s="8"/>
      <c r="C404" s="8"/>
      <c r="D404" s="8"/>
      <c r="E404" s="8"/>
      <c r="F404" s="8"/>
      <c r="G404" s="8"/>
      <c r="H404" s="8"/>
      <c r="I404" s="8"/>
      <c r="J404" s="8"/>
      <c r="K404" s="8"/>
    </row>
    <row r="405" ht="15.75" customHeight="1">
      <c r="A405" s="8"/>
      <c r="B405" s="8"/>
      <c r="C405" s="8"/>
      <c r="D405" s="8"/>
      <c r="E405" s="8"/>
      <c r="F405" s="8"/>
      <c r="G405" s="8"/>
      <c r="H405" s="8"/>
      <c r="I405" s="8"/>
      <c r="J405" s="8"/>
      <c r="K405" s="8"/>
    </row>
    <row r="406" ht="15.75" customHeight="1">
      <c r="A406" s="8"/>
      <c r="B406" s="8"/>
      <c r="C406" s="8"/>
      <c r="D406" s="8"/>
      <c r="E406" s="8"/>
      <c r="F406" s="8"/>
      <c r="G406" s="8"/>
      <c r="H406" s="8"/>
      <c r="I406" s="8"/>
      <c r="J406" s="8"/>
      <c r="K406" s="8"/>
    </row>
    <row r="407" ht="15.75" customHeight="1">
      <c r="A407" s="8"/>
      <c r="B407" s="8"/>
      <c r="C407" s="8"/>
      <c r="D407" s="8"/>
      <c r="E407" s="8"/>
      <c r="F407" s="8"/>
      <c r="G407" s="8"/>
      <c r="H407" s="8"/>
      <c r="I407" s="8"/>
      <c r="J407" s="8"/>
      <c r="K407" s="8"/>
    </row>
    <row r="408" ht="15.75" customHeight="1">
      <c r="A408" s="8"/>
      <c r="B408" s="8"/>
      <c r="C408" s="8"/>
      <c r="D408" s="8"/>
      <c r="E408" s="8"/>
      <c r="F408" s="8"/>
      <c r="G408" s="8"/>
      <c r="H408" s="8"/>
      <c r="I408" s="8"/>
      <c r="J408" s="8"/>
      <c r="K408" s="8"/>
    </row>
    <row r="409" ht="15.75" customHeight="1">
      <c r="A409" s="8"/>
      <c r="B409" s="8"/>
      <c r="C409" s="8"/>
      <c r="D409" s="8"/>
      <c r="E409" s="8"/>
      <c r="F409" s="8"/>
      <c r="G409" s="8"/>
      <c r="H409" s="8"/>
      <c r="I409" s="8"/>
      <c r="J409" s="8"/>
      <c r="K409" s="8"/>
    </row>
    <row r="410" ht="15.75" customHeight="1">
      <c r="A410" s="8"/>
      <c r="B410" s="8"/>
      <c r="C410" s="8"/>
      <c r="D410" s="8"/>
      <c r="E410" s="8"/>
      <c r="F410" s="8"/>
      <c r="G410" s="8"/>
      <c r="H410" s="8"/>
      <c r="I410" s="8"/>
      <c r="J410" s="8"/>
      <c r="K410" s="8"/>
    </row>
    <row r="411" ht="15.75" customHeight="1">
      <c r="A411" s="8"/>
      <c r="B411" s="8"/>
      <c r="C411" s="8"/>
      <c r="D411" s="8"/>
      <c r="E411" s="8"/>
      <c r="F411" s="8"/>
      <c r="G411" s="8"/>
      <c r="H411" s="8"/>
      <c r="I411" s="8"/>
      <c r="J411" s="8"/>
      <c r="K411" s="8"/>
    </row>
    <row r="412" ht="15.75" customHeight="1">
      <c r="A412" s="8"/>
      <c r="B412" s="8"/>
      <c r="C412" s="8"/>
      <c r="D412" s="8"/>
      <c r="E412" s="8"/>
      <c r="F412" s="8"/>
      <c r="G412" s="8"/>
      <c r="H412" s="8"/>
      <c r="I412" s="8"/>
      <c r="J412" s="8"/>
      <c r="K412" s="8"/>
    </row>
    <row r="413" ht="15.75" customHeight="1">
      <c r="A413" s="8"/>
      <c r="B413" s="8"/>
      <c r="C413" s="8"/>
      <c r="D413" s="8"/>
      <c r="E413" s="8"/>
      <c r="F413" s="8"/>
      <c r="G413" s="8"/>
      <c r="H413" s="8"/>
      <c r="I413" s="8"/>
      <c r="J413" s="8"/>
      <c r="K413" s="8"/>
    </row>
    <row r="414" ht="15.75" customHeight="1">
      <c r="A414" s="8"/>
      <c r="B414" s="8"/>
      <c r="C414" s="8"/>
      <c r="D414" s="8"/>
      <c r="E414" s="8"/>
      <c r="F414" s="8"/>
      <c r="G414" s="8"/>
      <c r="H414" s="8"/>
      <c r="I414" s="8"/>
      <c r="J414" s="8"/>
      <c r="K414" s="8"/>
    </row>
    <row r="415" ht="15.75" customHeight="1">
      <c r="A415" s="8"/>
      <c r="B415" s="8"/>
      <c r="C415" s="8"/>
      <c r="D415" s="8"/>
      <c r="E415" s="8"/>
      <c r="F415" s="8"/>
      <c r="G415" s="8"/>
      <c r="H415" s="8"/>
      <c r="I415" s="8"/>
      <c r="J415" s="8"/>
      <c r="K415" s="8"/>
    </row>
    <row r="416" ht="15.75" customHeight="1">
      <c r="A416" s="8"/>
      <c r="B416" s="8"/>
      <c r="C416" s="8"/>
      <c r="D416" s="8"/>
      <c r="E416" s="8"/>
      <c r="F416" s="8"/>
      <c r="G416" s="8"/>
      <c r="H416" s="8"/>
      <c r="I416" s="8"/>
      <c r="J416" s="8"/>
      <c r="K416" s="8"/>
    </row>
    <row r="417" ht="15.75" customHeight="1">
      <c r="A417" s="8"/>
      <c r="B417" s="8"/>
      <c r="C417" s="8"/>
      <c r="D417" s="8"/>
      <c r="E417" s="8"/>
      <c r="F417" s="8"/>
      <c r="G417" s="8"/>
      <c r="H417" s="8"/>
      <c r="I417" s="8"/>
      <c r="J417" s="8"/>
      <c r="K417" s="8"/>
    </row>
    <row r="418" ht="15.75" customHeight="1">
      <c r="A418" s="8"/>
      <c r="B418" s="8"/>
      <c r="C418" s="8"/>
      <c r="D418" s="8"/>
      <c r="E418" s="8"/>
      <c r="F418" s="8"/>
      <c r="G418" s="8"/>
      <c r="H418" s="8"/>
      <c r="I418" s="8"/>
      <c r="J418" s="8"/>
      <c r="K418" s="8"/>
    </row>
    <row r="419" ht="15.75" customHeight="1">
      <c r="A419" s="8"/>
      <c r="B419" s="8"/>
      <c r="C419" s="8"/>
      <c r="D419" s="8"/>
      <c r="E419" s="8"/>
      <c r="F419" s="8"/>
      <c r="G419" s="8"/>
      <c r="H419" s="8"/>
      <c r="I419" s="8"/>
      <c r="J419" s="8"/>
      <c r="K419" s="8"/>
    </row>
    <row r="420" ht="15.75" customHeight="1">
      <c r="A420" s="8"/>
      <c r="B420" s="8"/>
      <c r="C420" s="8"/>
      <c r="D420" s="8"/>
      <c r="E420" s="8"/>
      <c r="F420" s="8"/>
      <c r="G420" s="8"/>
      <c r="H420" s="8"/>
      <c r="I420" s="8"/>
      <c r="J420" s="8"/>
      <c r="K420" s="8"/>
    </row>
    <row r="421" ht="15.75" customHeight="1">
      <c r="A421" s="8"/>
      <c r="B421" s="8"/>
      <c r="C421" s="8"/>
      <c r="D421" s="8"/>
      <c r="E421" s="8"/>
      <c r="F421" s="8"/>
      <c r="G421" s="8"/>
      <c r="H421" s="8"/>
      <c r="I421" s="8"/>
      <c r="J421" s="8"/>
      <c r="K421" s="8"/>
    </row>
    <row r="422" ht="15.75" customHeight="1">
      <c r="A422" s="8"/>
      <c r="B422" s="8"/>
      <c r="C422" s="8"/>
      <c r="D422" s="8"/>
      <c r="E422" s="8"/>
      <c r="F422" s="8"/>
      <c r="G422" s="8"/>
      <c r="H422" s="8"/>
      <c r="I422" s="8"/>
      <c r="J422" s="8"/>
      <c r="K422" s="8"/>
    </row>
    <row r="423" ht="15.75" customHeight="1">
      <c r="A423" s="8"/>
      <c r="B423" s="8"/>
      <c r="C423" s="8"/>
      <c r="D423" s="8"/>
      <c r="E423" s="8"/>
      <c r="F423" s="8"/>
      <c r="G423" s="8"/>
      <c r="H423" s="8"/>
      <c r="I423" s="8"/>
      <c r="J423" s="8"/>
      <c r="K423" s="8"/>
    </row>
    <row r="424" ht="15.75" customHeight="1">
      <c r="A424" s="8"/>
      <c r="B424" s="8"/>
      <c r="C424" s="8"/>
      <c r="D424" s="8"/>
      <c r="E424" s="8"/>
      <c r="F424" s="8"/>
      <c r="G424" s="8"/>
      <c r="H424" s="8"/>
      <c r="I424" s="8"/>
      <c r="J424" s="8"/>
      <c r="K424" s="8"/>
    </row>
    <row r="425" ht="15.75" customHeight="1">
      <c r="A425" s="8"/>
      <c r="B425" s="8"/>
      <c r="C425" s="8"/>
      <c r="D425" s="8"/>
      <c r="E425" s="8"/>
      <c r="F425" s="8"/>
      <c r="G425" s="8"/>
      <c r="H425" s="8"/>
      <c r="I425" s="8"/>
      <c r="J425" s="8"/>
      <c r="K425" s="8"/>
    </row>
    <row r="426" ht="15.75" customHeight="1">
      <c r="A426" s="8"/>
      <c r="B426" s="8"/>
      <c r="C426" s="8"/>
      <c r="D426" s="8"/>
      <c r="E426" s="8"/>
      <c r="F426" s="8"/>
      <c r="G426" s="8"/>
      <c r="H426" s="8"/>
      <c r="I426" s="8"/>
      <c r="J426" s="8"/>
      <c r="K426" s="8"/>
    </row>
    <row r="427" ht="15.75" customHeight="1">
      <c r="A427" s="8"/>
      <c r="B427" s="8"/>
      <c r="C427" s="8"/>
      <c r="D427" s="8"/>
      <c r="E427" s="8"/>
      <c r="F427" s="8"/>
      <c r="G427" s="8"/>
      <c r="H427" s="8"/>
      <c r="I427" s="8"/>
      <c r="J427" s="8"/>
      <c r="K427" s="8"/>
    </row>
    <row r="428" ht="15.75" customHeight="1">
      <c r="A428" s="8"/>
      <c r="B428" s="8"/>
      <c r="C428" s="8"/>
      <c r="D428" s="8"/>
      <c r="E428" s="8"/>
      <c r="F428" s="8"/>
      <c r="G428" s="8"/>
      <c r="H428" s="8"/>
      <c r="I428" s="8"/>
      <c r="J428" s="8"/>
      <c r="K428" s="8"/>
    </row>
    <row r="429" ht="15.75" customHeight="1">
      <c r="A429" s="8"/>
      <c r="B429" s="8"/>
      <c r="C429" s="8"/>
      <c r="D429" s="8"/>
      <c r="E429" s="8"/>
      <c r="F429" s="8"/>
      <c r="G429" s="8"/>
      <c r="H429" s="8"/>
      <c r="I429" s="8"/>
      <c r="J429" s="8"/>
      <c r="K429" s="8"/>
    </row>
    <row r="430" ht="15.75" customHeight="1">
      <c r="A430" s="8"/>
      <c r="B430" s="8"/>
      <c r="C430" s="8"/>
      <c r="D430" s="8"/>
      <c r="E430" s="8"/>
      <c r="F430" s="8"/>
      <c r="G430" s="8"/>
      <c r="H430" s="8"/>
      <c r="I430" s="8"/>
      <c r="J430" s="8"/>
      <c r="K430" s="8"/>
    </row>
    <row r="431" ht="15.75" customHeight="1">
      <c r="A431" s="8"/>
      <c r="B431" s="8"/>
      <c r="C431" s="8"/>
      <c r="D431" s="8"/>
      <c r="E431" s="8"/>
      <c r="F431" s="8"/>
      <c r="G431" s="8"/>
      <c r="H431" s="8"/>
      <c r="I431" s="8"/>
      <c r="J431" s="8"/>
      <c r="K431" s="8"/>
    </row>
    <row r="432" ht="15.75" customHeight="1">
      <c r="A432" s="8"/>
      <c r="B432" s="8"/>
      <c r="C432" s="8"/>
      <c r="D432" s="8"/>
      <c r="E432" s="8"/>
      <c r="F432" s="8"/>
      <c r="G432" s="8"/>
      <c r="H432" s="8"/>
      <c r="I432" s="8"/>
      <c r="J432" s="8"/>
      <c r="K432" s="8"/>
    </row>
    <row r="433" ht="15.75" customHeight="1">
      <c r="A433" s="8"/>
      <c r="B433" s="8"/>
      <c r="C433" s="8"/>
      <c r="D433" s="8"/>
      <c r="E433" s="8"/>
      <c r="F433" s="8"/>
      <c r="G433" s="8"/>
      <c r="H433" s="8"/>
      <c r="I433" s="8"/>
      <c r="J433" s="8"/>
      <c r="K433" s="8"/>
    </row>
    <row r="434" ht="15.75" customHeight="1">
      <c r="A434" s="8"/>
      <c r="B434" s="8"/>
      <c r="C434" s="8"/>
      <c r="D434" s="8"/>
      <c r="E434" s="8"/>
      <c r="F434" s="8"/>
      <c r="G434" s="8"/>
      <c r="H434" s="8"/>
      <c r="I434" s="8"/>
      <c r="J434" s="8"/>
      <c r="K434" s="8"/>
    </row>
    <row r="435" ht="15.75" customHeight="1">
      <c r="A435" s="8"/>
      <c r="B435" s="8"/>
      <c r="C435" s="8"/>
      <c r="D435" s="8"/>
      <c r="E435" s="8"/>
      <c r="F435" s="8"/>
      <c r="G435" s="8"/>
      <c r="H435" s="8"/>
      <c r="I435" s="8"/>
      <c r="J435" s="8"/>
      <c r="K435" s="8"/>
    </row>
    <row r="436" ht="15.75" customHeight="1">
      <c r="A436" s="8"/>
      <c r="B436" s="8"/>
      <c r="C436" s="8"/>
      <c r="D436" s="8"/>
      <c r="E436" s="8"/>
      <c r="F436" s="8"/>
      <c r="G436" s="8"/>
      <c r="H436" s="8"/>
      <c r="I436" s="8"/>
      <c r="J436" s="8"/>
      <c r="K436" s="8"/>
    </row>
    <row r="437" ht="15.75" customHeight="1">
      <c r="A437" s="8"/>
      <c r="B437" s="8"/>
      <c r="C437" s="8"/>
      <c r="D437" s="8"/>
      <c r="E437" s="8"/>
      <c r="F437" s="8"/>
      <c r="G437" s="8"/>
      <c r="H437" s="8"/>
      <c r="I437" s="8"/>
      <c r="J437" s="8"/>
      <c r="K437" s="8"/>
    </row>
    <row r="438" ht="15.75" customHeight="1">
      <c r="A438" s="8"/>
      <c r="B438" s="8"/>
      <c r="C438" s="8"/>
      <c r="D438" s="8"/>
      <c r="E438" s="8"/>
      <c r="F438" s="8"/>
      <c r="G438" s="8"/>
      <c r="H438" s="8"/>
      <c r="I438" s="8"/>
      <c r="J438" s="8"/>
      <c r="K438" s="8"/>
    </row>
    <row r="439" ht="15.75" customHeight="1">
      <c r="A439" s="8"/>
      <c r="B439" s="8"/>
      <c r="C439" s="8"/>
      <c r="D439" s="8"/>
      <c r="E439" s="8"/>
      <c r="F439" s="8"/>
      <c r="G439" s="8"/>
      <c r="H439" s="8"/>
      <c r="I439" s="8"/>
      <c r="J439" s="8"/>
      <c r="K439" s="8"/>
    </row>
    <row r="440" ht="15.75" customHeight="1">
      <c r="A440" s="8"/>
      <c r="B440" s="8"/>
      <c r="C440" s="8"/>
      <c r="D440" s="8"/>
      <c r="E440" s="8"/>
      <c r="F440" s="8"/>
      <c r="G440" s="8"/>
      <c r="H440" s="8"/>
      <c r="I440" s="8"/>
      <c r="J440" s="8"/>
      <c r="K440" s="8"/>
    </row>
    <row r="441" ht="15.75" customHeight="1">
      <c r="A441" s="8"/>
      <c r="B441" s="8"/>
      <c r="C441" s="8"/>
      <c r="D441" s="8"/>
      <c r="E441" s="8"/>
      <c r="F441" s="8"/>
      <c r="G441" s="8"/>
      <c r="H441" s="8"/>
      <c r="I441" s="8"/>
      <c r="J441" s="8"/>
      <c r="K441" s="8"/>
    </row>
    <row r="442" ht="15.75" customHeight="1">
      <c r="A442" s="8"/>
      <c r="B442" s="8"/>
      <c r="C442" s="8"/>
      <c r="D442" s="8"/>
      <c r="E442" s="8"/>
      <c r="F442" s="8"/>
      <c r="G442" s="8"/>
      <c r="H442" s="8"/>
      <c r="I442" s="8"/>
      <c r="J442" s="8"/>
      <c r="K442" s="8"/>
    </row>
    <row r="443" ht="15.75" customHeight="1">
      <c r="A443" s="8"/>
      <c r="B443" s="8"/>
      <c r="C443" s="8"/>
      <c r="D443" s="8"/>
      <c r="E443" s="8"/>
      <c r="F443" s="8"/>
      <c r="G443" s="8"/>
      <c r="H443" s="8"/>
      <c r="I443" s="8"/>
      <c r="J443" s="8"/>
      <c r="K443" s="8"/>
    </row>
    <row r="444" ht="15.75" customHeight="1">
      <c r="A444" s="8"/>
      <c r="B444" s="8"/>
      <c r="C444" s="8"/>
      <c r="D444" s="8"/>
      <c r="E444" s="8"/>
      <c r="F444" s="8"/>
      <c r="G444" s="8"/>
      <c r="H444" s="8"/>
      <c r="I444" s="8"/>
      <c r="J444" s="8"/>
      <c r="K444" s="8"/>
    </row>
    <row r="445" ht="15.75" customHeight="1">
      <c r="A445" s="8"/>
      <c r="B445" s="8"/>
      <c r="C445" s="8"/>
      <c r="D445" s="8"/>
      <c r="E445" s="8"/>
      <c r="F445" s="8"/>
      <c r="G445" s="8"/>
      <c r="H445" s="8"/>
      <c r="I445" s="8"/>
      <c r="J445" s="8"/>
      <c r="K445" s="8"/>
    </row>
    <row r="446" ht="15.75" customHeight="1">
      <c r="A446" s="8"/>
      <c r="B446" s="8"/>
      <c r="C446" s="8"/>
      <c r="D446" s="8"/>
      <c r="E446" s="8"/>
      <c r="F446" s="8"/>
      <c r="G446" s="8"/>
      <c r="H446" s="8"/>
      <c r="I446" s="8"/>
      <c r="J446" s="8"/>
      <c r="K446" s="8"/>
    </row>
    <row r="447" ht="15.75" customHeight="1">
      <c r="A447" s="8"/>
      <c r="B447" s="8"/>
      <c r="C447" s="8"/>
      <c r="D447" s="8"/>
      <c r="E447" s="8"/>
      <c r="F447" s="8"/>
      <c r="G447" s="8"/>
      <c r="H447" s="8"/>
      <c r="I447" s="8"/>
      <c r="J447" s="8"/>
      <c r="K447" s="8"/>
    </row>
    <row r="448" ht="15.75" customHeight="1">
      <c r="A448" s="8"/>
      <c r="B448" s="8"/>
      <c r="C448" s="8"/>
      <c r="D448" s="8"/>
      <c r="E448" s="8"/>
      <c r="F448" s="8"/>
      <c r="G448" s="8"/>
      <c r="H448" s="8"/>
      <c r="I448" s="8"/>
      <c r="J448" s="8"/>
      <c r="K448" s="8"/>
    </row>
    <row r="449" ht="15.75" customHeight="1">
      <c r="A449" s="8"/>
      <c r="B449" s="8"/>
      <c r="C449" s="8"/>
      <c r="D449" s="8"/>
      <c r="E449" s="8"/>
      <c r="F449" s="8"/>
      <c r="G449" s="8"/>
      <c r="H449" s="8"/>
      <c r="I449" s="8"/>
      <c r="J449" s="8"/>
      <c r="K449" s="8"/>
    </row>
    <row r="450" ht="15.75" customHeight="1">
      <c r="A450" s="8"/>
      <c r="B450" s="8"/>
      <c r="C450" s="8"/>
      <c r="D450" s="8"/>
      <c r="E450" s="8"/>
      <c r="F450" s="8"/>
      <c r="G450" s="8"/>
      <c r="H450" s="8"/>
      <c r="I450" s="8"/>
      <c r="J450" s="8"/>
      <c r="K450" s="8"/>
    </row>
    <row r="451" ht="15.75" customHeight="1">
      <c r="A451" s="8"/>
      <c r="B451" s="8"/>
      <c r="C451" s="8"/>
      <c r="D451" s="8"/>
      <c r="E451" s="8"/>
      <c r="F451" s="8"/>
      <c r="G451" s="8"/>
      <c r="H451" s="8"/>
      <c r="I451" s="8"/>
      <c r="J451" s="8"/>
      <c r="K451" s="8"/>
    </row>
    <row r="452" ht="15.75" customHeight="1">
      <c r="A452" s="8"/>
      <c r="B452" s="8"/>
      <c r="C452" s="8"/>
      <c r="D452" s="8"/>
      <c r="E452" s="8"/>
      <c r="F452" s="8"/>
      <c r="G452" s="8"/>
      <c r="H452" s="8"/>
      <c r="I452" s="8"/>
      <c r="J452" s="8"/>
      <c r="K452" s="8"/>
    </row>
    <row r="453" ht="15.75" customHeight="1">
      <c r="A453" s="8"/>
      <c r="B453" s="8"/>
      <c r="C453" s="8"/>
      <c r="D453" s="8"/>
      <c r="E453" s="8"/>
      <c r="F453" s="8"/>
      <c r="G453" s="8"/>
      <c r="H453" s="8"/>
      <c r="I453" s="8"/>
      <c r="J453" s="8"/>
      <c r="K453" s="8"/>
    </row>
    <row r="454" ht="15.75" customHeight="1">
      <c r="A454" s="8"/>
      <c r="B454" s="8"/>
      <c r="C454" s="8"/>
      <c r="D454" s="8"/>
      <c r="E454" s="8"/>
      <c r="F454" s="8"/>
      <c r="G454" s="8"/>
      <c r="H454" s="8"/>
      <c r="I454" s="8"/>
      <c r="J454" s="8"/>
      <c r="K454" s="8"/>
    </row>
    <row r="455" ht="15.75" customHeight="1">
      <c r="A455" s="8"/>
      <c r="B455" s="8"/>
      <c r="C455" s="8"/>
      <c r="D455" s="8"/>
      <c r="E455" s="8"/>
      <c r="F455" s="8"/>
      <c r="G455" s="8"/>
      <c r="H455" s="8"/>
      <c r="I455" s="8"/>
      <c r="J455" s="8"/>
      <c r="K455" s="8"/>
    </row>
    <row r="456" ht="15.75" customHeight="1">
      <c r="A456" s="8"/>
      <c r="B456" s="8"/>
      <c r="C456" s="8"/>
      <c r="D456" s="8"/>
      <c r="E456" s="8"/>
      <c r="F456" s="8"/>
      <c r="G456" s="8"/>
      <c r="H456" s="8"/>
      <c r="I456" s="8"/>
      <c r="J456" s="8"/>
      <c r="K456" s="8"/>
    </row>
    <row r="457" ht="15.75" customHeight="1">
      <c r="A457" s="8"/>
      <c r="B457" s="8"/>
      <c r="C457" s="8"/>
      <c r="D457" s="8"/>
      <c r="E457" s="8"/>
      <c r="F457" s="8"/>
      <c r="G457" s="8"/>
      <c r="H457" s="8"/>
      <c r="I457" s="8"/>
      <c r="J457" s="8"/>
      <c r="K457" s="8"/>
    </row>
    <row r="458" ht="15.75" customHeight="1">
      <c r="A458" s="8"/>
      <c r="B458" s="8"/>
      <c r="C458" s="8"/>
      <c r="D458" s="8"/>
      <c r="E458" s="8"/>
      <c r="F458" s="8"/>
      <c r="G458" s="8"/>
      <c r="H458" s="8"/>
      <c r="I458" s="8"/>
      <c r="J458" s="8"/>
      <c r="K458" s="8"/>
    </row>
    <row r="459" ht="15.75" customHeight="1">
      <c r="A459" s="8"/>
      <c r="B459" s="8"/>
      <c r="C459" s="8"/>
      <c r="D459" s="8"/>
      <c r="E459" s="8"/>
      <c r="F459" s="8"/>
      <c r="G459" s="8"/>
      <c r="H459" s="8"/>
      <c r="I459" s="8"/>
      <c r="J459" s="8"/>
      <c r="K459" s="8"/>
    </row>
    <row r="460" ht="15.75" customHeight="1">
      <c r="A460" s="8"/>
      <c r="B460" s="8"/>
      <c r="C460" s="8"/>
      <c r="D460" s="8"/>
      <c r="E460" s="8"/>
      <c r="F460" s="8"/>
      <c r="G460" s="8"/>
      <c r="H460" s="8"/>
      <c r="I460" s="8"/>
      <c r="J460" s="8"/>
      <c r="K460" s="8"/>
    </row>
    <row r="461" ht="15.75" customHeight="1">
      <c r="A461" s="8"/>
      <c r="B461" s="8"/>
      <c r="C461" s="8"/>
      <c r="D461" s="8"/>
      <c r="E461" s="8"/>
      <c r="F461" s="8"/>
      <c r="G461" s="8"/>
      <c r="H461" s="8"/>
      <c r="I461" s="8"/>
      <c r="J461" s="8"/>
      <c r="K461" s="8"/>
    </row>
    <row r="462" ht="15.75" customHeight="1">
      <c r="A462" s="8"/>
      <c r="B462" s="8"/>
      <c r="C462" s="8"/>
      <c r="D462" s="8"/>
      <c r="E462" s="8"/>
      <c r="F462" s="8"/>
      <c r="G462" s="8"/>
      <c r="H462" s="8"/>
      <c r="I462" s="8"/>
      <c r="J462" s="8"/>
      <c r="K462" s="8"/>
    </row>
    <row r="463" ht="15.75" customHeight="1">
      <c r="A463" s="8"/>
      <c r="B463" s="8"/>
      <c r="C463" s="8"/>
      <c r="D463" s="8"/>
      <c r="E463" s="8"/>
      <c r="F463" s="8"/>
      <c r="G463" s="8"/>
      <c r="H463" s="8"/>
      <c r="I463" s="8"/>
      <c r="J463" s="8"/>
      <c r="K463" s="8"/>
    </row>
    <row r="464" ht="15.75" customHeight="1">
      <c r="A464" s="8"/>
      <c r="B464" s="8"/>
      <c r="C464" s="8"/>
      <c r="D464" s="8"/>
      <c r="E464" s="8"/>
      <c r="F464" s="8"/>
      <c r="G464" s="8"/>
      <c r="H464" s="8"/>
      <c r="I464" s="8"/>
      <c r="J464" s="8"/>
      <c r="K464" s="8"/>
    </row>
    <row r="465" ht="15.75" customHeight="1">
      <c r="A465" s="8"/>
      <c r="B465" s="8"/>
      <c r="C465" s="8"/>
      <c r="D465" s="8"/>
      <c r="E465" s="8"/>
      <c r="F465" s="8"/>
      <c r="G465" s="8"/>
      <c r="H465" s="8"/>
      <c r="I465" s="8"/>
      <c r="J465" s="8"/>
      <c r="K465" s="8"/>
    </row>
    <row r="466" ht="15.75" customHeight="1">
      <c r="A466" s="8"/>
      <c r="B466" s="8"/>
      <c r="C466" s="8"/>
      <c r="D466" s="8"/>
      <c r="E466" s="8"/>
      <c r="F466" s="8"/>
      <c r="G466" s="8"/>
      <c r="H466" s="8"/>
      <c r="I466" s="8"/>
      <c r="J466" s="8"/>
      <c r="K466" s="8"/>
    </row>
    <row r="467" ht="15.75" customHeight="1">
      <c r="A467" s="8"/>
      <c r="B467" s="8"/>
      <c r="C467" s="8"/>
      <c r="D467" s="8"/>
      <c r="E467" s="8"/>
      <c r="F467" s="8"/>
      <c r="G467" s="8"/>
      <c r="H467" s="8"/>
      <c r="I467" s="8"/>
      <c r="J467" s="8"/>
      <c r="K467" s="8"/>
    </row>
    <row r="468" ht="15.75" customHeight="1">
      <c r="A468" s="8"/>
      <c r="B468" s="8"/>
      <c r="C468" s="8"/>
      <c r="D468" s="8"/>
      <c r="E468" s="8"/>
      <c r="F468" s="8"/>
      <c r="G468" s="8"/>
      <c r="H468" s="8"/>
      <c r="I468" s="8"/>
      <c r="J468" s="8"/>
      <c r="K468" s="8"/>
    </row>
    <row r="469" ht="15.75" customHeight="1">
      <c r="A469" s="8"/>
      <c r="B469" s="8"/>
      <c r="C469" s="8"/>
      <c r="D469" s="8"/>
      <c r="E469" s="8"/>
      <c r="F469" s="8"/>
      <c r="G469" s="8"/>
      <c r="H469" s="8"/>
      <c r="I469" s="8"/>
      <c r="J469" s="8"/>
      <c r="K469" s="8"/>
    </row>
    <row r="470" ht="15.75" customHeight="1">
      <c r="A470" s="8"/>
      <c r="B470" s="8"/>
      <c r="C470" s="8"/>
      <c r="D470" s="8"/>
      <c r="E470" s="8"/>
      <c r="F470" s="8"/>
      <c r="G470" s="8"/>
      <c r="H470" s="8"/>
      <c r="I470" s="8"/>
      <c r="J470" s="8"/>
      <c r="K470" s="8"/>
    </row>
    <row r="471" ht="15.75" customHeight="1">
      <c r="A471" s="8"/>
      <c r="B471" s="8"/>
      <c r="C471" s="8"/>
      <c r="D471" s="8"/>
      <c r="E471" s="8"/>
      <c r="F471" s="8"/>
      <c r="G471" s="8"/>
      <c r="H471" s="8"/>
      <c r="I471" s="8"/>
      <c r="J471" s="8"/>
      <c r="K471" s="8"/>
    </row>
    <row r="472" ht="15.75" customHeight="1">
      <c r="A472" s="8"/>
      <c r="B472" s="8"/>
      <c r="C472" s="8"/>
      <c r="D472" s="8"/>
      <c r="E472" s="8"/>
      <c r="F472" s="8"/>
      <c r="G472" s="8"/>
      <c r="H472" s="8"/>
      <c r="I472" s="8"/>
      <c r="J472" s="8"/>
      <c r="K472" s="8"/>
    </row>
    <row r="473" ht="15.75" customHeight="1">
      <c r="A473" s="8"/>
      <c r="B473" s="8"/>
      <c r="C473" s="8"/>
      <c r="D473" s="8"/>
      <c r="E473" s="8"/>
      <c r="F473" s="8"/>
      <c r="G473" s="8"/>
      <c r="H473" s="8"/>
      <c r="I473" s="8"/>
      <c r="J473" s="8"/>
      <c r="K473" s="8"/>
    </row>
    <row r="474" ht="15.75" customHeight="1">
      <c r="A474" s="8"/>
      <c r="B474" s="8"/>
      <c r="C474" s="8"/>
      <c r="D474" s="8"/>
      <c r="E474" s="8"/>
      <c r="F474" s="8"/>
      <c r="G474" s="8"/>
      <c r="H474" s="8"/>
      <c r="I474" s="8"/>
      <c r="J474" s="8"/>
      <c r="K474" s="8"/>
    </row>
    <row r="475" ht="15.75" customHeight="1">
      <c r="A475" s="8"/>
      <c r="B475" s="8"/>
      <c r="C475" s="8"/>
      <c r="D475" s="8"/>
      <c r="E475" s="8"/>
      <c r="F475" s="8"/>
      <c r="G475" s="8"/>
      <c r="H475" s="8"/>
      <c r="I475" s="8"/>
      <c r="J475" s="8"/>
      <c r="K475" s="8"/>
    </row>
    <row r="476" ht="15.75" customHeight="1">
      <c r="A476" s="8"/>
      <c r="B476" s="8"/>
      <c r="C476" s="8"/>
      <c r="D476" s="8"/>
      <c r="E476" s="8"/>
      <c r="F476" s="8"/>
      <c r="G476" s="8"/>
      <c r="H476" s="8"/>
      <c r="I476" s="8"/>
      <c r="J476" s="8"/>
      <c r="K476" s="8"/>
    </row>
    <row r="477" ht="15.75" customHeight="1">
      <c r="A477" s="8"/>
      <c r="B477" s="8"/>
      <c r="C477" s="8"/>
      <c r="D477" s="8"/>
      <c r="E477" s="8"/>
      <c r="F477" s="8"/>
      <c r="G477" s="8"/>
      <c r="H477" s="8"/>
      <c r="I477" s="8"/>
      <c r="J477" s="8"/>
      <c r="K477" s="8"/>
    </row>
    <row r="478" ht="15.75" customHeight="1">
      <c r="A478" s="8"/>
      <c r="B478" s="8"/>
      <c r="C478" s="8"/>
      <c r="D478" s="8"/>
      <c r="E478" s="8"/>
      <c r="F478" s="8"/>
      <c r="G478" s="8"/>
      <c r="H478" s="8"/>
      <c r="I478" s="8"/>
      <c r="J478" s="8"/>
      <c r="K478" s="8"/>
    </row>
    <row r="479" ht="15.75" customHeight="1">
      <c r="A479" s="8"/>
      <c r="B479" s="8"/>
      <c r="C479" s="8"/>
      <c r="D479" s="8"/>
      <c r="E479" s="8"/>
      <c r="F479" s="8"/>
      <c r="G479" s="8"/>
      <c r="H479" s="8"/>
      <c r="I479" s="8"/>
      <c r="J479" s="8"/>
      <c r="K479" s="8"/>
    </row>
    <row r="480" ht="15.75" customHeight="1">
      <c r="A480" s="8"/>
      <c r="B480" s="8"/>
      <c r="C480" s="8"/>
      <c r="D480" s="8"/>
      <c r="E480" s="8"/>
      <c r="F480" s="8"/>
      <c r="G480" s="8"/>
      <c r="H480" s="8"/>
      <c r="I480" s="8"/>
      <c r="J480" s="8"/>
      <c r="K480" s="8"/>
    </row>
    <row r="481" ht="15.75" customHeight="1">
      <c r="A481" s="8"/>
      <c r="B481" s="8"/>
      <c r="C481" s="8"/>
      <c r="D481" s="8"/>
      <c r="E481" s="8"/>
      <c r="F481" s="8"/>
      <c r="G481" s="8"/>
      <c r="H481" s="8"/>
      <c r="I481" s="8"/>
      <c r="J481" s="8"/>
      <c r="K481" s="8"/>
    </row>
    <row r="482" ht="15.75" customHeight="1">
      <c r="A482" s="8"/>
      <c r="B482" s="8"/>
      <c r="C482" s="8"/>
      <c r="D482" s="8"/>
      <c r="E482" s="8"/>
      <c r="F482" s="8"/>
      <c r="G482" s="8"/>
      <c r="H482" s="8"/>
      <c r="I482" s="8"/>
      <c r="J482" s="8"/>
      <c r="K482" s="8"/>
    </row>
    <row r="483" ht="15.75" customHeight="1">
      <c r="A483" s="8"/>
      <c r="B483" s="8"/>
      <c r="C483" s="8"/>
      <c r="D483" s="8"/>
      <c r="E483" s="8"/>
      <c r="F483" s="8"/>
      <c r="G483" s="8"/>
      <c r="H483" s="8"/>
      <c r="I483" s="8"/>
      <c r="J483" s="8"/>
      <c r="K483" s="8"/>
    </row>
    <row r="484" ht="15.75" customHeight="1">
      <c r="A484" s="8"/>
      <c r="B484" s="8"/>
      <c r="C484" s="8"/>
      <c r="D484" s="8"/>
      <c r="E484" s="8"/>
      <c r="F484" s="8"/>
      <c r="G484" s="8"/>
      <c r="H484" s="8"/>
      <c r="I484" s="8"/>
      <c r="J484" s="8"/>
      <c r="K484" s="8"/>
    </row>
    <row r="485" ht="15.75" customHeight="1">
      <c r="A485" s="8"/>
      <c r="B485" s="8"/>
      <c r="C485" s="8"/>
      <c r="D485" s="8"/>
      <c r="E485" s="8"/>
      <c r="F485" s="8"/>
      <c r="G485" s="8"/>
      <c r="H485" s="8"/>
      <c r="I485" s="8"/>
      <c r="J485" s="8"/>
      <c r="K485" s="8"/>
    </row>
    <row r="486" ht="15.75" customHeight="1">
      <c r="A486" s="8"/>
      <c r="B486" s="8"/>
      <c r="C486" s="8"/>
      <c r="D486" s="8"/>
      <c r="E486" s="8"/>
      <c r="F486" s="8"/>
      <c r="G486" s="8"/>
      <c r="H486" s="8"/>
      <c r="I486" s="8"/>
      <c r="J486" s="8"/>
      <c r="K486" s="8"/>
    </row>
    <row r="487" ht="15.75" customHeight="1">
      <c r="A487" s="8"/>
      <c r="B487" s="8"/>
      <c r="C487" s="8"/>
      <c r="D487" s="8"/>
      <c r="E487" s="8"/>
      <c r="F487" s="8"/>
      <c r="G487" s="8"/>
      <c r="H487" s="8"/>
      <c r="I487" s="8"/>
      <c r="J487" s="8"/>
      <c r="K487" s="8"/>
    </row>
    <row r="488" ht="15.75" customHeight="1">
      <c r="A488" s="8"/>
      <c r="B488" s="8"/>
      <c r="C488" s="8"/>
      <c r="D488" s="8"/>
      <c r="E488" s="8"/>
      <c r="F488" s="8"/>
      <c r="G488" s="8"/>
      <c r="H488" s="8"/>
      <c r="I488" s="8"/>
      <c r="J488" s="8"/>
      <c r="K488" s="8"/>
    </row>
    <row r="489" ht="15.75" customHeight="1">
      <c r="A489" s="8"/>
      <c r="B489" s="8"/>
      <c r="C489" s="8"/>
      <c r="D489" s="8"/>
      <c r="E489" s="8"/>
      <c r="F489" s="8"/>
      <c r="G489" s="8"/>
      <c r="H489" s="8"/>
      <c r="I489" s="8"/>
      <c r="J489" s="8"/>
      <c r="K489" s="8"/>
    </row>
    <row r="490" ht="15.75" customHeight="1">
      <c r="A490" s="8"/>
      <c r="B490" s="8"/>
      <c r="C490" s="8"/>
      <c r="D490" s="8"/>
      <c r="E490" s="8"/>
      <c r="F490" s="8"/>
      <c r="G490" s="8"/>
      <c r="H490" s="8"/>
      <c r="I490" s="8"/>
      <c r="J490" s="8"/>
      <c r="K490" s="8"/>
    </row>
    <row r="491" ht="15.75" customHeight="1">
      <c r="A491" s="8"/>
      <c r="B491" s="8"/>
      <c r="C491" s="8"/>
      <c r="D491" s="8"/>
      <c r="E491" s="8"/>
      <c r="F491" s="8"/>
      <c r="G491" s="8"/>
      <c r="H491" s="8"/>
      <c r="I491" s="8"/>
      <c r="J491" s="8"/>
      <c r="K491" s="8"/>
    </row>
    <row r="492" ht="15.75" customHeight="1">
      <c r="A492" s="8"/>
      <c r="B492" s="8"/>
      <c r="C492" s="8"/>
      <c r="D492" s="8"/>
      <c r="E492" s="8"/>
      <c r="F492" s="8"/>
      <c r="G492" s="8"/>
      <c r="H492" s="8"/>
      <c r="I492" s="8"/>
      <c r="J492" s="8"/>
      <c r="K492" s="8"/>
    </row>
    <row r="493" ht="15.75" customHeight="1">
      <c r="A493" s="8"/>
      <c r="B493" s="8"/>
      <c r="C493" s="8"/>
      <c r="D493" s="8"/>
      <c r="E493" s="8"/>
      <c r="F493" s="8"/>
      <c r="G493" s="8"/>
      <c r="H493" s="8"/>
      <c r="I493" s="8"/>
      <c r="J493" s="8"/>
      <c r="K493" s="8"/>
    </row>
    <row r="494" ht="15.75" customHeight="1">
      <c r="A494" s="8"/>
      <c r="B494" s="8"/>
      <c r="C494" s="8"/>
      <c r="D494" s="8"/>
      <c r="E494" s="8"/>
      <c r="F494" s="8"/>
      <c r="G494" s="8"/>
      <c r="H494" s="8"/>
      <c r="I494" s="8"/>
      <c r="J494" s="8"/>
      <c r="K494" s="8"/>
    </row>
    <row r="495" ht="15.75" customHeight="1">
      <c r="A495" s="8"/>
      <c r="B495" s="8"/>
      <c r="C495" s="8"/>
      <c r="D495" s="8"/>
      <c r="E495" s="8"/>
      <c r="F495" s="8"/>
      <c r="G495" s="8"/>
      <c r="H495" s="8"/>
      <c r="I495" s="8"/>
      <c r="J495" s="8"/>
      <c r="K495" s="8"/>
    </row>
    <row r="496" ht="15.75" customHeight="1">
      <c r="A496" s="8"/>
      <c r="B496" s="8"/>
      <c r="C496" s="8"/>
      <c r="D496" s="8"/>
      <c r="E496" s="8"/>
      <c r="F496" s="8"/>
      <c r="G496" s="8"/>
      <c r="H496" s="8"/>
      <c r="I496" s="8"/>
      <c r="J496" s="8"/>
      <c r="K496" s="8"/>
    </row>
    <row r="497" ht="15.75" customHeight="1">
      <c r="A497" s="8"/>
      <c r="B497" s="8"/>
      <c r="C497" s="8"/>
      <c r="D497" s="8"/>
      <c r="E497" s="8"/>
      <c r="F497" s="8"/>
      <c r="G497" s="8"/>
      <c r="H497" s="8"/>
      <c r="I497" s="8"/>
      <c r="J497" s="8"/>
      <c r="K497" s="8"/>
    </row>
    <row r="498" ht="15.75" customHeight="1">
      <c r="A498" s="8"/>
      <c r="B498" s="8"/>
      <c r="C498" s="8"/>
      <c r="D498" s="8"/>
      <c r="E498" s="8"/>
      <c r="F498" s="8"/>
      <c r="G498" s="8"/>
      <c r="H498" s="8"/>
      <c r="I498" s="8"/>
      <c r="J498" s="8"/>
      <c r="K498" s="8"/>
    </row>
    <row r="499" ht="15.75" customHeight="1">
      <c r="A499" s="8"/>
      <c r="B499" s="8"/>
      <c r="C499" s="8"/>
      <c r="D499" s="8"/>
      <c r="E499" s="8"/>
      <c r="F499" s="8"/>
      <c r="G499" s="8"/>
      <c r="H499" s="8"/>
      <c r="I499" s="8"/>
      <c r="J499" s="8"/>
      <c r="K499" s="8"/>
    </row>
    <row r="500" ht="15.75" customHeight="1">
      <c r="A500" s="8"/>
      <c r="B500" s="8"/>
      <c r="C500" s="8"/>
      <c r="D500" s="8"/>
      <c r="E500" s="8"/>
      <c r="F500" s="8"/>
      <c r="G500" s="8"/>
      <c r="H500" s="8"/>
      <c r="I500" s="8"/>
      <c r="J500" s="8"/>
      <c r="K500" s="8"/>
    </row>
    <row r="501" ht="15.75" customHeight="1">
      <c r="A501" s="8"/>
      <c r="B501" s="8"/>
      <c r="C501" s="8"/>
      <c r="D501" s="8"/>
      <c r="E501" s="8"/>
      <c r="F501" s="8"/>
      <c r="G501" s="8"/>
      <c r="H501" s="8"/>
      <c r="I501" s="8"/>
      <c r="J501" s="8"/>
      <c r="K501" s="8"/>
    </row>
    <row r="502" ht="15.75" customHeight="1">
      <c r="A502" s="8"/>
      <c r="B502" s="8"/>
      <c r="C502" s="8"/>
      <c r="D502" s="8"/>
      <c r="E502" s="8"/>
      <c r="F502" s="8"/>
      <c r="G502" s="8"/>
      <c r="H502" s="8"/>
      <c r="I502" s="8"/>
      <c r="J502" s="8"/>
      <c r="K502" s="8"/>
    </row>
    <row r="503" ht="15.75" customHeight="1">
      <c r="A503" s="8"/>
      <c r="B503" s="8"/>
      <c r="C503" s="8"/>
      <c r="D503" s="8"/>
      <c r="E503" s="8"/>
      <c r="F503" s="8"/>
      <c r="G503" s="8"/>
      <c r="H503" s="8"/>
      <c r="I503" s="8"/>
      <c r="J503" s="8"/>
      <c r="K503" s="8"/>
    </row>
    <row r="504" ht="15.75" customHeight="1">
      <c r="A504" s="8"/>
      <c r="B504" s="8"/>
      <c r="C504" s="8"/>
      <c r="D504" s="8"/>
      <c r="E504" s="8"/>
      <c r="F504" s="8"/>
      <c r="G504" s="8"/>
      <c r="H504" s="8"/>
      <c r="I504" s="8"/>
      <c r="J504" s="8"/>
      <c r="K504" s="8"/>
    </row>
    <row r="505" ht="15.75" customHeight="1">
      <c r="A505" s="8"/>
      <c r="B505" s="8"/>
      <c r="C505" s="8"/>
      <c r="D505" s="8"/>
      <c r="E505" s="8"/>
      <c r="F505" s="8"/>
      <c r="G505" s="8"/>
      <c r="H505" s="8"/>
      <c r="I505" s="8"/>
      <c r="J505" s="8"/>
      <c r="K505" s="8"/>
    </row>
    <row r="506" ht="15.75" customHeight="1">
      <c r="A506" s="8"/>
      <c r="B506" s="8"/>
      <c r="C506" s="8"/>
      <c r="D506" s="8"/>
      <c r="E506" s="8"/>
      <c r="F506" s="8"/>
      <c r="G506" s="8"/>
      <c r="H506" s="8"/>
      <c r="I506" s="8"/>
      <c r="J506" s="8"/>
      <c r="K506" s="8"/>
    </row>
    <row r="507" ht="15.75" customHeight="1">
      <c r="A507" s="8"/>
      <c r="B507" s="8"/>
      <c r="C507" s="8"/>
      <c r="D507" s="8"/>
      <c r="E507" s="8"/>
      <c r="F507" s="8"/>
      <c r="G507" s="8"/>
      <c r="H507" s="8"/>
      <c r="I507" s="8"/>
      <c r="J507" s="8"/>
      <c r="K507" s="8"/>
    </row>
    <row r="508" ht="15.75" customHeight="1">
      <c r="A508" s="8"/>
      <c r="B508" s="8"/>
      <c r="C508" s="8"/>
      <c r="D508" s="8"/>
      <c r="E508" s="8"/>
      <c r="F508" s="8"/>
      <c r="G508" s="8"/>
      <c r="H508" s="8"/>
      <c r="I508" s="8"/>
      <c r="J508" s="8"/>
      <c r="K508" s="8"/>
    </row>
    <row r="509" ht="15.75" customHeight="1">
      <c r="A509" s="8"/>
      <c r="B509" s="8"/>
      <c r="C509" s="8"/>
      <c r="D509" s="8"/>
      <c r="E509" s="8"/>
      <c r="F509" s="8"/>
      <c r="G509" s="8"/>
      <c r="H509" s="8"/>
      <c r="I509" s="8"/>
      <c r="J509" s="8"/>
      <c r="K509" s="8"/>
    </row>
    <row r="510" ht="15.75" customHeight="1">
      <c r="A510" s="8"/>
      <c r="B510" s="8"/>
      <c r="C510" s="8"/>
      <c r="D510" s="8"/>
      <c r="E510" s="8"/>
      <c r="F510" s="8"/>
      <c r="G510" s="8"/>
      <c r="H510" s="8"/>
      <c r="I510" s="8"/>
      <c r="J510" s="8"/>
      <c r="K510" s="8"/>
    </row>
    <row r="511" ht="15.75" customHeight="1">
      <c r="A511" s="8"/>
      <c r="B511" s="8"/>
      <c r="C511" s="8"/>
      <c r="D511" s="8"/>
      <c r="E511" s="8"/>
      <c r="F511" s="8"/>
      <c r="G511" s="8"/>
      <c r="H511" s="8"/>
      <c r="I511" s="8"/>
      <c r="J511" s="8"/>
      <c r="K511" s="8"/>
    </row>
    <row r="512" ht="15.75" customHeight="1">
      <c r="A512" s="8"/>
      <c r="B512" s="8"/>
      <c r="C512" s="8"/>
      <c r="D512" s="8"/>
      <c r="E512" s="8"/>
      <c r="F512" s="8"/>
      <c r="G512" s="8"/>
      <c r="H512" s="8"/>
      <c r="I512" s="8"/>
      <c r="J512" s="8"/>
      <c r="K512" s="8"/>
    </row>
    <row r="513" ht="15.75" customHeight="1">
      <c r="A513" s="8"/>
      <c r="B513" s="8"/>
      <c r="C513" s="8"/>
      <c r="D513" s="8"/>
      <c r="E513" s="8"/>
      <c r="F513" s="8"/>
      <c r="G513" s="8"/>
      <c r="H513" s="8"/>
      <c r="I513" s="8"/>
      <c r="J513" s="8"/>
      <c r="K513" s="8"/>
    </row>
    <row r="514" ht="15.75" customHeight="1">
      <c r="A514" s="8"/>
      <c r="B514" s="8"/>
      <c r="C514" s="8"/>
      <c r="D514" s="8"/>
      <c r="E514" s="8"/>
      <c r="F514" s="8"/>
      <c r="G514" s="8"/>
      <c r="H514" s="8"/>
      <c r="I514" s="8"/>
      <c r="J514" s="8"/>
      <c r="K514" s="8"/>
    </row>
    <row r="515" ht="15.75" customHeight="1">
      <c r="A515" s="8"/>
      <c r="B515" s="8"/>
      <c r="C515" s="8"/>
      <c r="D515" s="8"/>
      <c r="E515" s="8"/>
      <c r="F515" s="8"/>
      <c r="G515" s="8"/>
      <c r="H515" s="8"/>
      <c r="I515" s="8"/>
      <c r="J515" s="8"/>
      <c r="K515" s="8"/>
    </row>
    <row r="516" ht="15.75" customHeight="1">
      <c r="A516" s="8"/>
      <c r="B516" s="8"/>
      <c r="C516" s="8"/>
      <c r="D516" s="8"/>
      <c r="E516" s="8"/>
      <c r="F516" s="8"/>
      <c r="G516" s="8"/>
      <c r="H516" s="8"/>
      <c r="I516" s="8"/>
      <c r="J516" s="8"/>
      <c r="K516" s="8"/>
    </row>
    <row r="517" ht="15.75" customHeight="1">
      <c r="A517" s="8"/>
      <c r="B517" s="8"/>
      <c r="C517" s="8"/>
      <c r="D517" s="8"/>
      <c r="E517" s="8"/>
      <c r="F517" s="8"/>
      <c r="G517" s="8"/>
      <c r="H517" s="8"/>
      <c r="I517" s="8"/>
      <c r="J517" s="8"/>
      <c r="K517" s="8"/>
    </row>
    <row r="518" ht="15.75" customHeight="1">
      <c r="A518" s="8"/>
      <c r="B518" s="8"/>
      <c r="C518" s="8"/>
      <c r="D518" s="8"/>
      <c r="E518" s="8"/>
      <c r="F518" s="8"/>
      <c r="G518" s="8"/>
      <c r="H518" s="8"/>
      <c r="I518" s="8"/>
      <c r="J518" s="8"/>
      <c r="K518" s="8"/>
    </row>
    <row r="519" ht="15.75" customHeight="1">
      <c r="A519" s="8"/>
      <c r="B519" s="8"/>
      <c r="C519" s="8"/>
      <c r="D519" s="8"/>
      <c r="E519" s="8"/>
      <c r="F519" s="8"/>
      <c r="G519" s="8"/>
      <c r="H519" s="8"/>
      <c r="I519" s="8"/>
      <c r="J519" s="8"/>
      <c r="K519" s="8"/>
    </row>
    <row r="520" ht="15.75" customHeight="1">
      <c r="A520" s="8"/>
      <c r="B520" s="8"/>
      <c r="C520" s="8"/>
      <c r="D520" s="8"/>
      <c r="E520" s="8"/>
      <c r="F520" s="8"/>
      <c r="G520" s="8"/>
      <c r="H520" s="8"/>
      <c r="I520" s="8"/>
      <c r="J520" s="8"/>
      <c r="K520" s="8"/>
    </row>
    <row r="521" ht="15.75" customHeight="1">
      <c r="A521" s="8"/>
      <c r="B521" s="8"/>
      <c r="C521" s="8"/>
      <c r="D521" s="8"/>
      <c r="E521" s="8"/>
      <c r="F521" s="8"/>
      <c r="G521" s="8"/>
      <c r="H521" s="8"/>
      <c r="I521" s="8"/>
      <c r="J521" s="8"/>
      <c r="K521" s="8"/>
    </row>
    <row r="522" ht="15.75" customHeight="1">
      <c r="A522" s="8"/>
      <c r="B522" s="8"/>
      <c r="C522" s="8"/>
      <c r="D522" s="8"/>
      <c r="E522" s="8"/>
      <c r="F522" s="8"/>
      <c r="G522" s="8"/>
      <c r="H522" s="8"/>
      <c r="I522" s="8"/>
      <c r="J522" s="8"/>
      <c r="K522" s="8"/>
    </row>
    <row r="523" ht="15.75" customHeight="1">
      <c r="A523" s="8"/>
      <c r="B523" s="8"/>
      <c r="C523" s="8"/>
      <c r="D523" s="8"/>
      <c r="E523" s="8"/>
      <c r="F523" s="8"/>
      <c r="G523" s="8"/>
      <c r="H523" s="8"/>
      <c r="I523" s="8"/>
      <c r="J523" s="8"/>
      <c r="K523" s="8"/>
    </row>
    <row r="524" ht="15.75" customHeight="1">
      <c r="A524" s="8"/>
      <c r="B524" s="8"/>
      <c r="C524" s="8"/>
      <c r="D524" s="8"/>
      <c r="E524" s="8"/>
      <c r="F524" s="8"/>
      <c r="G524" s="8"/>
      <c r="H524" s="8"/>
      <c r="I524" s="8"/>
      <c r="J524" s="8"/>
      <c r="K524" s="8"/>
    </row>
    <row r="525" ht="15.75" customHeight="1">
      <c r="A525" s="8"/>
      <c r="B525" s="8"/>
      <c r="C525" s="8"/>
      <c r="D525" s="8"/>
      <c r="E525" s="8"/>
      <c r="F525" s="8"/>
      <c r="G525" s="8"/>
      <c r="H525" s="8"/>
      <c r="I525" s="8"/>
      <c r="J525" s="8"/>
      <c r="K525" s="8"/>
    </row>
    <row r="526" ht="15.75" customHeight="1">
      <c r="A526" s="8"/>
      <c r="B526" s="8"/>
      <c r="C526" s="8"/>
      <c r="D526" s="8"/>
      <c r="E526" s="8"/>
      <c r="F526" s="8"/>
      <c r="G526" s="8"/>
      <c r="H526" s="8"/>
      <c r="I526" s="8"/>
      <c r="J526" s="8"/>
      <c r="K526" s="8"/>
    </row>
    <row r="527" ht="15.75" customHeight="1">
      <c r="A527" s="8"/>
      <c r="B527" s="8"/>
      <c r="C527" s="8"/>
      <c r="D527" s="8"/>
      <c r="E527" s="8"/>
      <c r="F527" s="8"/>
      <c r="G527" s="8"/>
      <c r="H527" s="8"/>
      <c r="I527" s="8"/>
      <c r="J527" s="8"/>
      <c r="K527" s="8"/>
    </row>
    <row r="528" ht="15.75" customHeight="1">
      <c r="A528" s="8"/>
      <c r="B528" s="8"/>
      <c r="C528" s="8"/>
      <c r="D528" s="8"/>
      <c r="E528" s="8"/>
      <c r="F528" s="8"/>
      <c r="G528" s="8"/>
      <c r="H528" s="8"/>
      <c r="I528" s="8"/>
      <c r="J528" s="8"/>
      <c r="K528" s="8"/>
    </row>
    <row r="529" ht="15.75" customHeight="1">
      <c r="A529" s="8"/>
      <c r="B529" s="8"/>
      <c r="C529" s="8"/>
      <c r="D529" s="8"/>
      <c r="E529" s="8"/>
      <c r="F529" s="8"/>
      <c r="G529" s="8"/>
      <c r="H529" s="8"/>
      <c r="I529" s="8"/>
      <c r="J529" s="8"/>
      <c r="K529" s="8"/>
    </row>
    <row r="530" ht="15.75" customHeight="1">
      <c r="A530" s="8"/>
      <c r="B530" s="8"/>
      <c r="C530" s="8"/>
      <c r="D530" s="8"/>
      <c r="E530" s="8"/>
      <c r="F530" s="8"/>
      <c r="G530" s="8"/>
      <c r="H530" s="8"/>
      <c r="I530" s="8"/>
      <c r="J530" s="8"/>
      <c r="K530" s="8"/>
    </row>
    <row r="531" ht="15.75" customHeight="1">
      <c r="A531" s="8"/>
      <c r="B531" s="8"/>
      <c r="C531" s="8"/>
      <c r="D531" s="8"/>
      <c r="E531" s="8"/>
      <c r="F531" s="8"/>
      <c r="G531" s="8"/>
      <c r="H531" s="8"/>
      <c r="I531" s="8"/>
      <c r="J531" s="8"/>
      <c r="K531" s="8"/>
    </row>
    <row r="532" ht="15.75" customHeight="1">
      <c r="A532" s="8"/>
      <c r="B532" s="8"/>
      <c r="C532" s="8"/>
      <c r="D532" s="8"/>
      <c r="E532" s="8"/>
      <c r="F532" s="8"/>
      <c r="G532" s="8"/>
      <c r="H532" s="8"/>
      <c r="I532" s="8"/>
      <c r="J532" s="8"/>
      <c r="K532" s="8"/>
    </row>
    <row r="533" ht="15.75" customHeight="1">
      <c r="A533" s="8"/>
      <c r="B533" s="8"/>
      <c r="C533" s="8"/>
      <c r="D533" s="8"/>
      <c r="E533" s="8"/>
      <c r="F533" s="8"/>
      <c r="G533" s="8"/>
      <c r="H533" s="8"/>
      <c r="I533" s="8"/>
      <c r="J533" s="8"/>
      <c r="K533" s="8"/>
    </row>
    <row r="534" ht="15.75" customHeight="1">
      <c r="A534" s="8"/>
      <c r="B534" s="8"/>
      <c r="C534" s="8"/>
      <c r="D534" s="8"/>
      <c r="E534" s="8"/>
      <c r="F534" s="8"/>
      <c r="G534" s="8"/>
      <c r="H534" s="8"/>
      <c r="I534" s="8"/>
      <c r="J534" s="8"/>
      <c r="K534" s="8"/>
    </row>
    <row r="535" ht="15.75" customHeight="1">
      <c r="A535" s="8"/>
      <c r="B535" s="8"/>
      <c r="C535" s="8"/>
      <c r="D535" s="8"/>
      <c r="E535" s="8"/>
      <c r="F535" s="8"/>
      <c r="G535" s="8"/>
      <c r="H535" s="8"/>
      <c r="I535" s="8"/>
      <c r="J535" s="8"/>
      <c r="K535" s="8"/>
    </row>
    <row r="536" ht="15.75" customHeight="1">
      <c r="A536" s="8"/>
      <c r="B536" s="8"/>
      <c r="C536" s="8"/>
      <c r="D536" s="8"/>
      <c r="E536" s="8"/>
      <c r="F536" s="8"/>
      <c r="G536" s="8"/>
      <c r="H536" s="8"/>
      <c r="I536" s="8"/>
      <c r="J536" s="8"/>
      <c r="K536" s="8"/>
    </row>
    <row r="537" ht="15.75" customHeight="1">
      <c r="A537" s="8"/>
      <c r="B537" s="8"/>
      <c r="C537" s="8"/>
      <c r="D537" s="8"/>
      <c r="E537" s="8"/>
      <c r="F537" s="8"/>
      <c r="G537" s="8"/>
      <c r="H537" s="8"/>
      <c r="I537" s="8"/>
      <c r="J537" s="8"/>
      <c r="K537" s="8"/>
    </row>
    <row r="538" ht="15.75" customHeight="1">
      <c r="A538" s="8"/>
      <c r="B538" s="8"/>
      <c r="C538" s="8"/>
      <c r="D538" s="8"/>
      <c r="E538" s="8"/>
      <c r="F538" s="8"/>
      <c r="G538" s="8"/>
      <c r="H538" s="8"/>
      <c r="I538" s="8"/>
      <c r="J538" s="8"/>
      <c r="K538" s="8"/>
    </row>
    <row r="539" ht="15.75" customHeight="1">
      <c r="A539" s="8"/>
      <c r="B539" s="8"/>
      <c r="C539" s="8"/>
      <c r="D539" s="8"/>
      <c r="E539" s="8"/>
      <c r="F539" s="8"/>
      <c r="G539" s="8"/>
      <c r="H539" s="8"/>
      <c r="I539" s="8"/>
      <c r="J539" s="8"/>
      <c r="K539" s="8"/>
    </row>
    <row r="540" ht="15.75" customHeight="1">
      <c r="A540" s="8"/>
      <c r="B540" s="8"/>
      <c r="C540" s="8"/>
      <c r="D540" s="8"/>
      <c r="E540" s="8"/>
      <c r="F540" s="8"/>
      <c r="G540" s="8"/>
      <c r="H540" s="8"/>
      <c r="I540" s="8"/>
      <c r="J540" s="8"/>
      <c r="K540" s="8"/>
    </row>
    <row r="541" ht="15.75" customHeight="1">
      <c r="A541" s="8"/>
      <c r="B541" s="8"/>
      <c r="C541" s="8"/>
      <c r="D541" s="8"/>
      <c r="E541" s="8"/>
      <c r="F541" s="8"/>
      <c r="G541" s="8"/>
      <c r="H541" s="8"/>
      <c r="I541" s="8"/>
      <c r="J541" s="8"/>
      <c r="K541" s="8"/>
    </row>
    <row r="542" ht="15.75" customHeight="1">
      <c r="A542" s="8"/>
      <c r="B542" s="8"/>
      <c r="C542" s="8"/>
      <c r="D542" s="8"/>
      <c r="E542" s="8"/>
      <c r="F542" s="8"/>
      <c r="G542" s="8"/>
      <c r="H542" s="8"/>
      <c r="I542" s="8"/>
      <c r="J542" s="8"/>
      <c r="K542" s="8"/>
    </row>
    <row r="543" ht="15.75" customHeight="1">
      <c r="A543" s="8"/>
      <c r="B543" s="8"/>
      <c r="C543" s="8"/>
      <c r="D543" s="8"/>
      <c r="E543" s="8"/>
      <c r="F543" s="8"/>
      <c r="G543" s="8"/>
      <c r="H543" s="8"/>
      <c r="I543" s="8"/>
      <c r="J543" s="8"/>
      <c r="K543" s="8"/>
    </row>
    <row r="544" ht="15.75" customHeight="1">
      <c r="A544" s="8"/>
      <c r="B544" s="8"/>
      <c r="C544" s="8"/>
      <c r="D544" s="8"/>
      <c r="E544" s="8"/>
      <c r="F544" s="8"/>
      <c r="G544" s="8"/>
      <c r="H544" s="8"/>
      <c r="I544" s="8"/>
      <c r="J544" s="8"/>
      <c r="K544" s="8"/>
    </row>
    <row r="545" ht="15.75" customHeight="1">
      <c r="A545" s="8"/>
      <c r="B545" s="8"/>
      <c r="C545" s="8"/>
      <c r="D545" s="8"/>
      <c r="E545" s="8"/>
      <c r="F545" s="8"/>
      <c r="G545" s="8"/>
      <c r="H545" s="8"/>
      <c r="I545" s="8"/>
      <c r="J545" s="8"/>
      <c r="K545" s="8"/>
    </row>
    <row r="546" ht="15.75" customHeight="1">
      <c r="A546" s="8"/>
      <c r="B546" s="8"/>
      <c r="C546" s="8"/>
      <c r="D546" s="8"/>
      <c r="E546" s="8"/>
      <c r="F546" s="8"/>
      <c r="G546" s="8"/>
      <c r="H546" s="8"/>
      <c r="I546" s="8"/>
      <c r="J546" s="8"/>
      <c r="K546" s="8"/>
    </row>
    <row r="547" ht="15.75" customHeight="1">
      <c r="A547" s="8"/>
      <c r="B547" s="8"/>
      <c r="C547" s="8"/>
      <c r="D547" s="8"/>
      <c r="E547" s="8"/>
      <c r="F547" s="8"/>
      <c r="G547" s="8"/>
      <c r="H547" s="8"/>
      <c r="I547" s="8"/>
      <c r="J547" s="8"/>
      <c r="K547" s="8"/>
    </row>
    <row r="548" ht="15.75" customHeight="1">
      <c r="A548" s="8"/>
      <c r="B548" s="8"/>
      <c r="C548" s="8"/>
      <c r="D548" s="8"/>
      <c r="E548" s="8"/>
      <c r="F548" s="8"/>
      <c r="G548" s="8"/>
      <c r="H548" s="8"/>
      <c r="I548" s="8"/>
      <c r="J548" s="8"/>
      <c r="K548" s="8"/>
    </row>
    <row r="549" ht="15.75" customHeight="1">
      <c r="A549" s="8"/>
      <c r="B549" s="8"/>
      <c r="C549" s="8"/>
      <c r="D549" s="8"/>
      <c r="E549" s="8"/>
      <c r="F549" s="8"/>
      <c r="G549" s="8"/>
      <c r="H549" s="8"/>
      <c r="I549" s="8"/>
      <c r="J549" s="8"/>
      <c r="K549" s="8"/>
    </row>
    <row r="550" ht="15.75" customHeight="1">
      <c r="A550" s="8"/>
      <c r="B550" s="8"/>
      <c r="C550" s="8"/>
      <c r="D550" s="8"/>
      <c r="E550" s="8"/>
      <c r="F550" s="8"/>
      <c r="G550" s="8"/>
      <c r="H550" s="8"/>
      <c r="I550" s="8"/>
      <c r="J550" s="8"/>
      <c r="K550" s="8"/>
    </row>
    <row r="551" ht="15.75" customHeight="1">
      <c r="A551" s="8"/>
      <c r="B551" s="8"/>
      <c r="C551" s="8"/>
      <c r="D551" s="8"/>
      <c r="E551" s="8"/>
      <c r="F551" s="8"/>
      <c r="G551" s="8"/>
      <c r="H551" s="8"/>
      <c r="I551" s="8"/>
      <c r="J551" s="8"/>
      <c r="K551" s="8"/>
    </row>
    <row r="552" ht="15.75" customHeight="1">
      <c r="A552" s="8"/>
      <c r="B552" s="8"/>
      <c r="C552" s="8"/>
      <c r="D552" s="8"/>
      <c r="E552" s="8"/>
      <c r="F552" s="8"/>
      <c r="G552" s="8"/>
      <c r="H552" s="8"/>
      <c r="I552" s="8"/>
      <c r="J552" s="8"/>
      <c r="K552" s="8"/>
    </row>
    <row r="553" ht="15.75" customHeight="1">
      <c r="A553" s="8"/>
      <c r="B553" s="8"/>
      <c r="C553" s="8"/>
      <c r="D553" s="8"/>
      <c r="E553" s="8"/>
      <c r="F553" s="8"/>
      <c r="G553" s="8"/>
      <c r="H553" s="8"/>
      <c r="I553" s="8"/>
      <c r="J553" s="8"/>
      <c r="K553" s="8"/>
    </row>
    <row r="554" ht="15.75" customHeight="1">
      <c r="A554" s="8"/>
      <c r="B554" s="8"/>
      <c r="C554" s="8"/>
      <c r="D554" s="8"/>
      <c r="E554" s="8"/>
      <c r="F554" s="8"/>
      <c r="G554" s="8"/>
      <c r="H554" s="8"/>
      <c r="I554" s="8"/>
      <c r="J554" s="8"/>
      <c r="K554" s="8"/>
    </row>
    <row r="555" ht="15.75" customHeight="1">
      <c r="A555" s="8"/>
      <c r="B555" s="8"/>
      <c r="C555" s="8"/>
      <c r="D555" s="8"/>
      <c r="E555" s="8"/>
      <c r="F555" s="8"/>
      <c r="G555" s="8"/>
      <c r="H555" s="8"/>
      <c r="I555" s="8"/>
      <c r="J555" s="8"/>
      <c r="K555" s="8"/>
    </row>
    <row r="556" ht="15.75" customHeight="1">
      <c r="A556" s="8"/>
      <c r="B556" s="8"/>
      <c r="C556" s="8"/>
      <c r="D556" s="8"/>
      <c r="E556" s="8"/>
      <c r="F556" s="8"/>
      <c r="G556" s="8"/>
      <c r="H556" s="8"/>
      <c r="I556" s="8"/>
      <c r="J556" s="8"/>
      <c r="K556" s="8"/>
    </row>
    <row r="557" ht="15.75" customHeight="1">
      <c r="A557" s="8"/>
      <c r="B557" s="8"/>
      <c r="C557" s="8"/>
      <c r="D557" s="8"/>
      <c r="E557" s="8"/>
      <c r="F557" s="8"/>
      <c r="G557" s="8"/>
      <c r="H557" s="8"/>
      <c r="I557" s="8"/>
      <c r="J557" s="8"/>
      <c r="K557" s="8"/>
    </row>
    <row r="558" ht="15.75" customHeight="1">
      <c r="A558" s="8"/>
      <c r="B558" s="8"/>
      <c r="C558" s="8"/>
      <c r="D558" s="8"/>
      <c r="E558" s="8"/>
      <c r="F558" s="8"/>
      <c r="G558" s="8"/>
      <c r="H558" s="8"/>
      <c r="I558" s="8"/>
      <c r="J558" s="8"/>
      <c r="K558" s="8"/>
    </row>
    <row r="559" ht="15.75" customHeight="1">
      <c r="A559" s="8"/>
      <c r="B559" s="8"/>
      <c r="C559" s="8"/>
      <c r="D559" s="8"/>
      <c r="E559" s="8"/>
      <c r="F559" s="8"/>
      <c r="G559" s="8"/>
      <c r="H559" s="8"/>
      <c r="I559" s="8"/>
      <c r="J559" s="8"/>
      <c r="K559" s="8"/>
    </row>
    <row r="560" ht="15.75" customHeight="1">
      <c r="A560" s="8"/>
      <c r="B560" s="8"/>
      <c r="C560" s="8"/>
      <c r="D560" s="8"/>
      <c r="E560" s="8"/>
      <c r="F560" s="8"/>
      <c r="G560" s="8"/>
      <c r="H560" s="8"/>
      <c r="I560" s="8"/>
      <c r="J560" s="8"/>
      <c r="K560" s="8"/>
    </row>
    <row r="561" ht="15.75" customHeight="1">
      <c r="A561" s="8"/>
      <c r="B561" s="8"/>
      <c r="C561" s="8"/>
      <c r="D561" s="8"/>
      <c r="E561" s="8"/>
      <c r="F561" s="8"/>
      <c r="G561" s="8"/>
      <c r="H561" s="8"/>
      <c r="I561" s="8"/>
      <c r="J561" s="8"/>
      <c r="K561" s="8"/>
    </row>
    <row r="562" ht="15.75" customHeight="1">
      <c r="A562" s="8"/>
      <c r="B562" s="8"/>
      <c r="C562" s="8"/>
      <c r="D562" s="8"/>
      <c r="E562" s="8"/>
      <c r="F562" s="8"/>
      <c r="G562" s="8"/>
      <c r="H562" s="8"/>
      <c r="I562" s="8"/>
      <c r="J562" s="8"/>
      <c r="K562" s="8"/>
    </row>
    <row r="563" ht="15.75" customHeight="1">
      <c r="A563" s="8"/>
      <c r="B563" s="8"/>
      <c r="C563" s="8"/>
      <c r="D563" s="8"/>
      <c r="E563" s="8"/>
      <c r="F563" s="8"/>
      <c r="G563" s="8"/>
      <c r="H563" s="8"/>
      <c r="I563" s="8"/>
      <c r="J563" s="8"/>
      <c r="K563" s="8"/>
    </row>
    <row r="564" ht="15.75" customHeight="1">
      <c r="A564" s="8"/>
      <c r="B564" s="8"/>
      <c r="C564" s="8"/>
      <c r="D564" s="8"/>
      <c r="E564" s="8"/>
      <c r="F564" s="8"/>
      <c r="G564" s="8"/>
      <c r="H564" s="8"/>
      <c r="I564" s="8"/>
      <c r="J564" s="8"/>
      <c r="K564" s="8"/>
    </row>
    <row r="565" ht="15.75" customHeight="1">
      <c r="A565" s="8"/>
      <c r="B565" s="8"/>
      <c r="C565" s="8"/>
      <c r="D565" s="8"/>
      <c r="E565" s="8"/>
      <c r="F565" s="8"/>
      <c r="G565" s="8"/>
      <c r="H565" s="8"/>
      <c r="I565" s="8"/>
      <c r="J565" s="8"/>
      <c r="K565" s="8"/>
    </row>
    <row r="566" ht="15.75" customHeight="1">
      <c r="A566" s="8"/>
      <c r="B566" s="8"/>
      <c r="C566" s="8"/>
      <c r="D566" s="8"/>
      <c r="E566" s="8"/>
      <c r="F566" s="8"/>
      <c r="G566" s="8"/>
      <c r="H566" s="8"/>
      <c r="I566" s="8"/>
      <c r="J566" s="8"/>
      <c r="K566" s="8"/>
    </row>
    <row r="567" ht="15.75" customHeight="1">
      <c r="A567" s="8"/>
      <c r="B567" s="8"/>
      <c r="C567" s="8"/>
      <c r="D567" s="8"/>
      <c r="E567" s="8"/>
      <c r="F567" s="8"/>
      <c r="G567" s="8"/>
      <c r="H567" s="8"/>
      <c r="I567" s="8"/>
      <c r="J567" s="8"/>
      <c r="K567" s="8"/>
    </row>
    <row r="568" ht="15.75" customHeight="1">
      <c r="A568" s="8"/>
      <c r="B568" s="8"/>
      <c r="C568" s="8"/>
      <c r="D568" s="8"/>
      <c r="E568" s="8"/>
      <c r="F568" s="8"/>
      <c r="G568" s="8"/>
      <c r="H568" s="8"/>
      <c r="I568" s="8"/>
      <c r="J568" s="8"/>
      <c r="K568" s="8"/>
    </row>
    <row r="569" ht="15.75" customHeight="1">
      <c r="A569" s="8"/>
      <c r="B569" s="8"/>
      <c r="C569" s="8"/>
      <c r="D569" s="8"/>
      <c r="E569" s="8"/>
      <c r="F569" s="8"/>
      <c r="G569" s="8"/>
      <c r="H569" s="8"/>
      <c r="I569" s="8"/>
      <c r="J569" s="8"/>
      <c r="K569" s="8"/>
    </row>
    <row r="570" ht="15.75" customHeight="1">
      <c r="A570" s="8"/>
      <c r="B570" s="8"/>
      <c r="C570" s="8"/>
      <c r="D570" s="8"/>
      <c r="E570" s="8"/>
      <c r="F570" s="8"/>
      <c r="G570" s="8"/>
      <c r="H570" s="8"/>
      <c r="I570" s="8"/>
      <c r="J570" s="8"/>
      <c r="K570" s="8"/>
    </row>
    <row r="571" ht="15.75" customHeight="1">
      <c r="A571" s="8"/>
      <c r="B571" s="8"/>
      <c r="C571" s="8"/>
      <c r="D571" s="8"/>
      <c r="E571" s="8"/>
      <c r="F571" s="8"/>
      <c r="G571" s="8"/>
      <c r="H571" s="8"/>
      <c r="I571" s="8"/>
      <c r="J571" s="8"/>
      <c r="K571" s="8"/>
    </row>
    <row r="572" ht="15.75" customHeight="1">
      <c r="A572" s="8"/>
      <c r="B572" s="8"/>
      <c r="C572" s="8"/>
      <c r="D572" s="8"/>
      <c r="E572" s="8"/>
      <c r="F572" s="8"/>
      <c r="G572" s="8"/>
      <c r="H572" s="8"/>
      <c r="I572" s="8"/>
      <c r="J572" s="8"/>
      <c r="K572" s="8"/>
    </row>
    <row r="573" ht="15.75" customHeight="1">
      <c r="A573" s="8"/>
      <c r="B573" s="8"/>
      <c r="C573" s="8"/>
      <c r="D573" s="8"/>
      <c r="E573" s="8"/>
      <c r="F573" s="8"/>
      <c r="G573" s="8"/>
      <c r="H573" s="8"/>
      <c r="I573" s="8"/>
      <c r="J573" s="8"/>
      <c r="K573" s="8"/>
    </row>
    <row r="574" ht="15.75" customHeight="1">
      <c r="A574" s="8"/>
      <c r="B574" s="8"/>
      <c r="C574" s="8"/>
      <c r="D574" s="8"/>
      <c r="E574" s="8"/>
      <c r="F574" s="8"/>
      <c r="G574" s="8"/>
      <c r="H574" s="8"/>
      <c r="I574" s="8"/>
      <c r="J574" s="8"/>
      <c r="K574" s="8"/>
    </row>
    <row r="575" ht="15.75" customHeight="1">
      <c r="A575" s="8"/>
      <c r="B575" s="8"/>
      <c r="C575" s="8"/>
      <c r="D575" s="8"/>
      <c r="E575" s="8"/>
      <c r="F575" s="8"/>
      <c r="G575" s="8"/>
      <c r="H575" s="8"/>
      <c r="I575" s="8"/>
      <c r="J575" s="8"/>
      <c r="K575" s="8"/>
    </row>
    <row r="576" ht="15.75" customHeight="1">
      <c r="A576" s="8"/>
      <c r="B576" s="8"/>
      <c r="C576" s="8"/>
      <c r="D576" s="8"/>
      <c r="E576" s="8"/>
      <c r="F576" s="8"/>
      <c r="G576" s="8"/>
      <c r="H576" s="8"/>
      <c r="I576" s="8"/>
      <c r="J576" s="8"/>
      <c r="K576" s="8"/>
    </row>
    <row r="577" ht="15.75" customHeight="1">
      <c r="A577" s="8"/>
      <c r="B577" s="8"/>
      <c r="C577" s="8"/>
      <c r="D577" s="8"/>
      <c r="E577" s="8"/>
      <c r="F577" s="8"/>
      <c r="G577" s="8"/>
      <c r="H577" s="8"/>
      <c r="I577" s="8"/>
      <c r="J577" s="8"/>
      <c r="K577" s="8"/>
    </row>
    <row r="578" ht="15.75" customHeight="1">
      <c r="A578" s="8"/>
      <c r="B578" s="8"/>
      <c r="C578" s="8"/>
      <c r="D578" s="8"/>
      <c r="E578" s="8"/>
      <c r="F578" s="8"/>
      <c r="G578" s="8"/>
      <c r="H578" s="8"/>
      <c r="I578" s="8"/>
      <c r="J578" s="8"/>
      <c r="K578" s="8"/>
    </row>
    <row r="579" ht="15.75" customHeight="1">
      <c r="A579" s="8"/>
      <c r="B579" s="8"/>
      <c r="C579" s="8"/>
      <c r="D579" s="8"/>
      <c r="E579" s="8"/>
      <c r="F579" s="8"/>
      <c r="G579" s="8"/>
      <c r="H579" s="8"/>
      <c r="I579" s="8"/>
      <c r="J579" s="8"/>
      <c r="K579" s="8"/>
    </row>
    <row r="580" ht="15.75" customHeight="1">
      <c r="A580" s="8"/>
      <c r="B580" s="8"/>
      <c r="C580" s="8"/>
      <c r="D580" s="8"/>
      <c r="E580" s="8"/>
      <c r="F580" s="8"/>
      <c r="G580" s="8"/>
      <c r="H580" s="8"/>
      <c r="I580" s="8"/>
      <c r="J580" s="8"/>
      <c r="K580" s="8"/>
    </row>
    <row r="581" ht="15.75" customHeight="1">
      <c r="A581" s="8"/>
      <c r="B581" s="8"/>
      <c r="C581" s="8"/>
      <c r="D581" s="8"/>
      <c r="E581" s="8"/>
      <c r="F581" s="8"/>
      <c r="G581" s="8"/>
      <c r="H581" s="8"/>
      <c r="I581" s="8"/>
      <c r="J581" s="8"/>
      <c r="K581" s="8"/>
    </row>
    <row r="582" ht="15.75" customHeight="1">
      <c r="A582" s="8"/>
      <c r="B582" s="8"/>
      <c r="C582" s="8"/>
      <c r="D582" s="8"/>
      <c r="E582" s="8"/>
      <c r="F582" s="8"/>
      <c r="G582" s="8"/>
      <c r="H582" s="8"/>
      <c r="I582" s="8"/>
      <c r="J582" s="8"/>
      <c r="K582" s="8"/>
    </row>
    <row r="583" ht="15.75" customHeight="1">
      <c r="A583" s="8"/>
      <c r="B583" s="8"/>
      <c r="C583" s="8"/>
      <c r="D583" s="8"/>
      <c r="E583" s="8"/>
      <c r="F583" s="8"/>
      <c r="G583" s="8"/>
      <c r="H583" s="8"/>
      <c r="I583" s="8"/>
      <c r="J583" s="8"/>
      <c r="K583" s="8"/>
    </row>
    <row r="584" ht="15.75" customHeight="1">
      <c r="A584" s="8"/>
      <c r="B584" s="8"/>
      <c r="C584" s="8"/>
      <c r="D584" s="8"/>
      <c r="E584" s="8"/>
      <c r="F584" s="8"/>
      <c r="G584" s="8"/>
      <c r="H584" s="8"/>
      <c r="I584" s="8"/>
      <c r="J584" s="8"/>
      <c r="K584" s="8"/>
    </row>
    <row r="585" ht="15.75" customHeight="1">
      <c r="A585" s="8"/>
      <c r="B585" s="8"/>
      <c r="C585" s="8"/>
      <c r="D585" s="8"/>
      <c r="E585" s="8"/>
      <c r="F585" s="8"/>
      <c r="G585" s="8"/>
      <c r="H585" s="8"/>
      <c r="I585" s="8"/>
      <c r="J585" s="8"/>
      <c r="K585" s="8"/>
    </row>
    <row r="586" ht="15.75" customHeight="1">
      <c r="A586" s="8"/>
      <c r="B586" s="8"/>
      <c r="C586" s="8"/>
      <c r="D586" s="8"/>
      <c r="E586" s="8"/>
      <c r="F586" s="8"/>
      <c r="G586" s="8"/>
      <c r="H586" s="8"/>
      <c r="I586" s="8"/>
      <c r="J586" s="8"/>
      <c r="K586" s="8"/>
    </row>
    <row r="587" ht="15.75" customHeight="1">
      <c r="A587" s="8"/>
      <c r="B587" s="8"/>
      <c r="C587" s="8"/>
      <c r="D587" s="8"/>
      <c r="E587" s="8"/>
      <c r="F587" s="8"/>
      <c r="G587" s="8"/>
      <c r="H587" s="8"/>
      <c r="I587" s="8"/>
      <c r="J587" s="8"/>
      <c r="K587" s="8"/>
    </row>
    <row r="588" ht="15.75" customHeight="1">
      <c r="A588" s="8"/>
      <c r="B588" s="8"/>
      <c r="C588" s="8"/>
      <c r="D588" s="8"/>
      <c r="E588" s="8"/>
      <c r="F588" s="8"/>
      <c r="G588" s="8"/>
      <c r="H588" s="8"/>
      <c r="I588" s="8"/>
      <c r="J588" s="8"/>
      <c r="K588" s="8"/>
    </row>
    <row r="589" ht="15.75" customHeight="1">
      <c r="A589" s="8"/>
      <c r="B589" s="8"/>
      <c r="C589" s="8"/>
      <c r="D589" s="8"/>
      <c r="E589" s="8"/>
      <c r="F589" s="8"/>
      <c r="G589" s="8"/>
      <c r="H589" s="8"/>
      <c r="I589" s="8"/>
      <c r="J589" s="8"/>
      <c r="K589" s="8"/>
    </row>
    <row r="590" ht="15.75" customHeight="1">
      <c r="A590" s="8"/>
      <c r="B590" s="8"/>
      <c r="C590" s="8"/>
      <c r="D590" s="8"/>
      <c r="E590" s="8"/>
      <c r="F590" s="8"/>
      <c r="G590" s="8"/>
      <c r="H590" s="8"/>
      <c r="I590" s="8"/>
      <c r="J590" s="8"/>
      <c r="K590" s="8"/>
    </row>
    <row r="591" ht="15.75" customHeight="1">
      <c r="A591" s="8"/>
      <c r="B591" s="8"/>
      <c r="C591" s="8"/>
      <c r="D591" s="8"/>
      <c r="E591" s="8"/>
      <c r="F591" s="8"/>
      <c r="G591" s="8"/>
      <c r="H591" s="8"/>
      <c r="I591" s="8"/>
      <c r="J591" s="8"/>
      <c r="K591" s="8"/>
    </row>
    <row r="592" ht="15.75" customHeight="1">
      <c r="A592" s="8"/>
      <c r="B592" s="8"/>
      <c r="C592" s="8"/>
      <c r="D592" s="8"/>
      <c r="E592" s="8"/>
      <c r="F592" s="8"/>
      <c r="G592" s="8"/>
      <c r="H592" s="8"/>
      <c r="I592" s="8"/>
      <c r="J592" s="8"/>
      <c r="K592" s="8"/>
    </row>
    <row r="593" ht="15.75" customHeight="1">
      <c r="A593" s="8"/>
      <c r="B593" s="8"/>
      <c r="C593" s="8"/>
      <c r="D593" s="8"/>
      <c r="E593" s="8"/>
      <c r="F593" s="8"/>
      <c r="G593" s="8"/>
      <c r="H593" s="8"/>
      <c r="I593" s="8"/>
      <c r="J593" s="8"/>
      <c r="K593" s="8"/>
    </row>
    <row r="594" ht="15.75" customHeight="1">
      <c r="A594" s="8"/>
      <c r="B594" s="8"/>
      <c r="C594" s="8"/>
      <c r="D594" s="8"/>
      <c r="E594" s="8"/>
      <c r="F594" s="8"/>
      <c r="G594" s="8"/>
      <c r="H594" s="8"/>
      <c r="I594" s="8"/>
      <c r="J594" s="8"/>
      <c r="K594" s="8"/>
    </row>
    <row r="595" ht="15.75" customHeight="1">
      <c r="A595" s="8"/>
      <c r="B595" s="8"/>
      <c r="C595" s="8"/>
      <c r="D595" s="8"/>
      <c r="E595" s="8"/>
      <c r="F595" s="8"/>
      <c r="G595" s="8"/>
      <c r="H595" s="8"/>
      <c r="I595" s="8"/>
      <c r="J595" s="8"/>
      <c r="K595" s="8"/>
    </row>
    <row r="596" ht="15.75" customHeight="1">
      <c r="A596" s="8"/>
      <c r="B596" s="8"/>
      <c r="C596" s="8"/>
      <c r="D596" s="8"/>
      <c r="E596" s="8"/>
      <c r="F596" s="8"/>
      <c r="G596" s="8"/>
      <c r="H596" s="8"/>
      <c r="I596" s="8"/>
      <c r="J596" s="8"/>
      <c r="K596" s="8"/>
    </row>
    <row r="597" ht="15.75" customHeight="1">
      <c r="A597" s="8"/>
      <c r="B597" s="8"/>
      <c r="C597" s="8"/>
      <c r="D597" s="8"/>
      <c r="E597" s="8"/>
      <c r="F597" s="8"/>
      <c r="G597" s="8"/>
      <c r="H597" s="8"/>
      <c r="I597" s="8"/>
      <c r="J597" s="8"/>
      <c r="K597" s="8"/>
    </row>
    <row r="598" ht="15.75" customHeight="1">
      <c r="A598" s="8"/>
      <c r="B598" s="8"/>
      <c r="C598" s="8"/>
      <c r="D598" s="8"/>
      <c r="E598" s="8"/>
      <c r="F598" s="8"/>
      <c r="G598" s="8"/>
      <c r="H598" s="8"/>
      <c r="I598" s="8"/>
      <c r="J598" s="8"/>
      <c r="K598" s="8"/>
    </row>
    <row r="599" ht="15.75" customHeight="1">
      <c r="A599" s="8"/>
      <c r="B599" s="8"/>
      <c r="C599" s="8"/>
      <c r="D599" s="8"/>
      <c r="E599" s="8"/>
      <c r="F599" s="8"/>
      <c r="G599" s="8"/>
      <c r="H599" s="8"/>
      <c r="I599" s="8"/>
      <c r="J599" s="8"/>
      <c r="K599" s="8"/>
    </row>
    <row r="600" ht="15.75" customHeight="1">
      <c r="A600" s="8"/>
      <c r="B600" s="8"/>
      <c r="C600" s="8"/>
      <c r="D600" s="8"/>
      <c r="E600" s="8"/>
      <c r="F600" s="8"/>
      <c r="G600" s="8"/>
      <c r="H600" s="8"/>
      <c r="I600" s="8"/>
      <c r="J600" s="8"/>
      <c r="K600" s="8"/>
    </row>
    <row r="601" ht="15.75" customHeight="1">
      <c r="A601" s="8"/>
      <c r="B601" s="8"/>
      <c r="C601" s="8"/>
      <c r="D601" s="8"/>
      <c r="E601" s="8"/>
      <c r="F601" s="8"/>
      <c r="G601" s="8"/>
      <c r="H601" s="8"/>
      <c r="I601" s="8"/>
      <c r="J601" s="8"/>
      <c r="K601" s="8"/>
    </row>
    <row r="602" ht="15.75" customHeight="1">
      <c r="A602" s="8"/>
      <c r="B602" s="8"/>
      <c r="C602" s="8"/>
      <c r="D602" s="8"/>
      <c r="E602" s="8"/>
      <c r="F602" s="8"/>
      <c r="G602" s="8"/>
      <c r="H602" s="8"/>
      <c r="I602" s="8"/>
      <c r="J602" s="8"/>
      <c r="K602" s="8"/>
    </row>
    <row r="603" ht="15.75" customHeight="1">
      <c r="A603" s="8"/>
      <c r="B603" s="8"/>
      <c r="C603" s="8"/>
      <c r="D603" s="8"/>
      <c r="E603" s="8"/>
      <c r="F603" s="8"/>
      <c r="G603" s="8"/>
      <c r="H603" s="8"/>
      <c r="I603" s="8"/>
      <c r="J603" s="8"/>
      <c r="K603" s="8"/>
    </row>
    <row r="604" ht="15.75" customHeight="1">
      <c r="A604" s="8"/>
      <c r="B604" s="8"/>
      <c r="C604" s="8"/>
      <c r="D604" s="8"/>
      <c r="E604" s="8"/>
      <c r="F604" s="8"/>
      <c r="G604" s="8"/>
      <c r="H604" s="8"/>
      <c r="I604" s="8"/>
      <c r="J604" s="8"/>
      <c r="K604" s="8"/>
    </row>
    <row r="605" ht="15.75" customHeight="1">
      <c r="A605" s="8"/>
      <c r="B605" s="8"/>
      <c r="C605" s="8"/>
      <c r="D605" s="8"/>
      <c r="E605" s="8"/>
      <c r="F605" s="8"/>
      <c r="G605" s="8"/>
      <c r="H605" s="8"/>
      <c r="I605" s="8"/>
      <c r="J605" s="8"/>
      <c r="K605" s="8"/>
    </row>
    <row r="606" ht="15.75" customHeight="1">
      <c r="A606" s="8"/>
      <c r="B606" s="8"/>
      <c r="C606" s="8"/>
      <c r="D606" s="8"/>
      <c r="E606" s="8"/>
      <c r="F606" s="8"/>
      <c r="G606" s="8"/>
      <c r="H606" s="8"/>
      <c r="I606" s="8"/>
      <c r="J606" s="8"/>
      <c r="K606" s="8"/>
    </row>
    <row r="607" ht="15.75" customHeight="1">
      <c r="A607" s="8"/>
      <c r="B607" s="8"/>
      <c r="C607" s="8"/>
      <c r="D607" s="8"/>
      <c r="E607" s="8"/>
      <c r="F607" s="8"/>
      <c r="G607" s="8"/>
      <c r="H607" s="8"/>
      <c r="I607" s="8"/>
      <c r="J607" s="8"/>
      <c r="K607" s="8"/>
    </row>
    <row r="608" ht="15.75" customHeight="1">
      <c r="A608" s="8"/>
      <c r="B608" s="8"/>
      <c r="C608" s="8"/>
      <c r="D608" s="8"/>
      <c r="E608" s="8"/>
      <c r="F608" s="8"/>
      <c r="G608" s="8"/>
      <c r="H608" s="8"/>
      <c r="I608" s="8"/>
      <c r="J608" s="8"/>
      <c r="K608" s="8"/>
    </row>
    <row r="609" ht="15.75" customHeight="1">
      <c r="A609" s="8"/>
      <c r="B609" s="8"/>
      <c r="C609" s="8"/>
      <c r="D609" s="8"/>
      <c r="E609" s="8"/>
      <c r="F609" s="8"/>
      <c r="G609" s="8"/>
      <c r="H609" s="8"/>
      <c r="I609" s="8"/>
      <c r="J609" s="8"/>
      <c r="K609" s="8"/>
    </row>
    <row r="610" ht="15.75" customHeight="1">
      <c r="A610" s="8"/>
      <c r="B610" s="8"/>
      <c r="C610" s="8"/>
      <c r="D610" s="8"/>
      <c r="E610" s="8"/>
      <c r="F610" s="8"/>
      <c r="G610" s="8"/>
      <c r="H610" s="8"/>
      <c r="I610" s="8"/>
      <c r="J610" s="8"/>
      <c r="K610" s="8"/>
    </row>
    <row r="611" ht="15.75" customHeight="1">
      <c r="A611" s="8"/>
      <c r="B611" s="8"/>
      <c r="C611" s="8"/>
      <c r="D611" s="8"/>
      <c r="E611" s="8"/>
      <c r="F611" s="8"/>
      <c r="G611" s="8"/>
      <c r="H611" s="8"/>
      <c r="I611" s="8"/>
      <c r="J611" s="8"/>
      <c r="K611" s="8"/>
    </row>
    <row r="612" ht="15.75" customHeight="1">
      <c r="A612" s="8"/>
      <c r="B612" s="8"/>
      <c r="C612" s="8"/>
      <c r="D612" s="8"/>
      <c r="E612" s="8"/>
      <c r="F612" s="8"/>
      <c r="G612" s="8"/>
      <c r="H612" s="8"/>
      <c r="I612" s="8"/>
      <c r="J612" s="8"/>
      <c r="K612" s="8"/>
    </row>
    <row r="613" ht="15.75" customHeight="1">
      <c r="A613" s="8"/>
      <c r="B613" s="8"/>
      <c r="C613" s="8"/>
      <c r="D613" s="8"/>
      <c r="E613" s="8"/>
      <c r="F613" s="8"/>
      <c r="G613" s="8"/>
      <c r="H613" s="8"/>
      <c r="I613" s="8"/>
      <c r="J613" s="8"/>
      <c r="K613" s="8"/>
    </row>
    <row r="614" ht="15.75" customHeight="1">
      <c r="A614" s="8"/>
      <c r="B614" s="8"/>
      <c r="C614" s="8"/>
      <c r="D614" s="8"/>
      <c r="E614" s="8"/>
      <c r="F614" s="8"/>
      <c r="G614" s="8"/>
      <c r="H614" s="8"/>
      <c r="I614" s="8"/>
      <c r="J614" s="8"/>
      <c r="K614" s="8"/>
    </row>
    <row r="615" ht="15.75" customHeight="1">
      <c r="A615" s="8"/>
      <c r="B615" s="8"/>
      <c r="C615" s="8"/>
      <c r="D615" s="8"/>
      <c r="E615" s="8"/>
      <c r="F615" s="8"/>
      <c r="G615" s="8"/>
      <c r="H615" s="8"/>
      <c r="I615" s="8"/>
      <c r="J615" s="8"/>
      <c r="K615" s="8"/>
    </row>
    <row r="616" ht="15.75" customHeight="1">
      <c r="A616" s="8"/>
      <c r="B616" s="8"/>
      <c r="C616" s="8"/>
      <c r="D616" s="8"/>
      <c r="E616" s="8"/>
      <c r="F616" s="8"/>
      <c r="G616" s="8"/>
      <c r="H616" s="8"/>
      <c r="I616" s="8"/>
      <c r="J616" s="8"/>
      <c r="K616" s="8"/>
    </row>
    <row r="617" ht="15.75" customHeight="1">
      <c r="A617" s="8"/>
      <c r="B617" s="8"/>
      <c r="C617" s="8"/>
      <c r="D617" s="8"/>
      <c r="E617" s="8"/>
      <c r="F617" s="8"/>
      <c r="G617" s="8"/>
      <c r="H617" s="8"/>
      <c r="I617" s="8"/>
      <c r="J617" s="8"/>
      <c r="K617" s="8"/>
    </row>
    <row r="618" ht="15.75" customHeight="1">
      <c r="A618" s="8"/>
      <c r="B618" s="8"/>
      <c r="C618" s="8"/>
      <c r="D618" s="8"/>
      <c r="E618" s="8"/>
      <c r="F618" s="8"/>
      <c r="G618" s="8"/>
      <c r="H618" s="8"/>
      <c r="I618" s="8"/>
      <c r="J618" s="8"/>
      <c r="K618" s="8"/>
    </row>
    <row r="619" ht="15.75" customHeight="1">
      <c r="A619" s="8"/>
      <c r="B619" s="8"/>
      <c r="C619" s="8"/>
      <c r="D619" s="8"/>
      <c r="E619" s="8"/>
      <c r="F619" s="8"/>
      <c r="G619" s="8"/>
      <c r="H619" s="8"/>
      <c r="I619" s="8"/>
      <c r="J619" s="8"/>
      <c r="K619" s="8"/>
    </row>
    <row r="620" ht="15.75" customHeight="1">
      <c r="A620" s="8"/>
      <c r="B620" s="8"/>
      <c r="C620" s="8"/>
      <c r="D620" s="8"/>
      <c r="E620" s="8"/>
      <c r="F620" s="8"/>
      <c r="G620" s="8"/>
      <c r="H620" s="8"/>
      <c r="I620" s="8"/>
      <c r="J620" s="8"/>
      <c r="K620" s="8"/>
    </row>
    <row r="621" ht="15.75" customHeight="1">
      <c r="A621" s="8"/>
      <c r="B621" s="8"/>
      <c r="C621" s="8"/>
      <c r="D621" s="8"/>
      <c r="E621" s="8"/>
      <c r="F621" s="8"/>
      <c r="G621" s="8"/>
      <c r="H621" s="8"/>
      <c r="I621" s="8"/>
      <c r="J621" s="8"/>
      <c r="K621" s="8"/>
    </row>
    <row r="622" ht="15.75" customHeight="1">
      <c r="A622" s="8"/>
      <c r="B622" s="8"/>
      <c r="C622" s="8"/>
      <c r="D622" s="8"/>
      <c r="E622" s="8"/>
      <c r="F622" s="8"/>
      <c r="G622" s="8"/>
      <c r="H622" s="8"/>
      <c r="I622" s="8"/>
      <c r="J622" s="8"/>
      <c r="K622" s="8"/>
    </row>
    <row r="623" ht="15.75" customHeight="1">
      <c r="A623" s="8"/>
      <c r="B623" s="8"/>
      <c r="C623" s="8"/>
      <c r="D623" s="8"/>
      <c r="E623" s="8"/>
      <c r="F623" s="8"/>
      <c r="G623" s="8"/>
      <c r="H623" s="8"/>
      <c r="I623" s="8"/>
      <c r="J623" s="8"/>
      <c r="K623" s="8"/>
    </row>
    <row r="624" ht="15.75" customHeight="1">
      <c r="A624" s="8"/>
      <c r="B624" s="8"/>
      <c r="C624" s="8"/>
      <c r="D624" s="8"/>
      <c r="E624" s="8"/>
      <c r="F624" s="8"/>
      <c r="G624" s="8"/>
      <c r="H624" s="8"/>
      <c r="I624" s="8"/>
      <c r="J624" s="8"/>
      <c r="K624" s="8"/>
    </row>
    <row r="625" ht="15.75" customHeight="1">
      <c r="A625" s="8"/>
      <c r="B625" s="8"/>
      <c r="C625" s="8"/>
      <c r="D625" s="8"/>
      <c r="E625" s="8"/>
      <c r="F625" s="8"/>
      <c r="G625" s="8"/>
      <c r="H625" s="8"/>
      <c r="I625" s="8"/>
      <c r="J625" s="8"/>
      <c r="K625" s="8"/>
    </row>
    <row r="626" ht="15.75" customHeight="1">
      <c r="A626" s="8"/>
      <c r="B626" s="8"/>
      <c r="C626" s="8"/>
      <c r="D626" s="8"/>
      <c r="E626" s="8"/>
      <c r="F626" s="8"/>
      <c r="G626" s="8"/>
      <c r="H626" s="8"/>
      <c r="I626" s="8"/>
      <c r="J626" s="8"/>
      <c r="K626" s="8"/>
    </row>
    <row r="627" ht="15.75" customHeight="1">
      <c r="A627" s="8"/>
      <c r="B627" s="8"/>
      <c r="C627" s="8"/>
      <c r="D627" s="8"/>
      <c r="E627" s="8"/>
      <c r="F627" s="8"/>
      <c r="G627" s="8"/>
      <c r="H627" s="8"/>
      <c r="I627" s="8"/>
      <c r="J627" s="8"/>
      <c r="K627" s="8"/>
    </row>
    <row r="628" ht="15.75" customHeight="1">
      <c r="A628" s="8"/>
      <c r="B628" s="8"/>
      <c r="C628" s="8"/>
      <c r="D628" s="8"/>
      <c r="E628" s="8"/>
      <c r="F628" s="8"/>
      <c r="G628" s="8"/>
      <c r="H628" s="8"/>
      <c r="I628" s="8"/>
      <c r="J628" s="8"/>
      <c r="K628" s="8"/>
    </row>
    <row r="629" ht="15.75" customHeight="1">
      <c r="A629" s="8"/>
      <c r="B629" s="8"/>
      <c r="C629" s="8"/>
      <c r="D629" s="8"/>
      <c r="E629" s="8"/>
      <c r="F629" s="8"/>
      <c r="G629" s="8"/>
      <c r="H629" s="8"/>
      <c r="I629" s="8"/>
      <c r="J629" s="8"/>
      <c r="K629" s="8"/>
    </row>
    <row r="630" ht="15.75" customHeight="1">
      <c r="A630" s="8"/>
      <c r="B630" s="8"/>
      <c r="C630" s="8"/>
      <c r="D630" s="8"/>
      <c r="E630" s="8"/>
      <c r="F630" s="8"/>
      <c r="G630" s="8"/>
      <c r="H630" s="8"/>
      <c r="I630" s="8"/>
      <c r="J630" s="8"/>
      <c r="K630" s="8"/>
    </row>
    <row r="631" ht="15.75" customHeight="1">
      <c r="A631" s="8"/>
      <c r="B631" s="8"/>
      <c r="C631" s="8"/>
      <c r="D631" s="8"/>
      <c r="E631" s="8"/>
      <c r="F631" s="8"/>
      <c r="G631" s="8"/>
      <c r="H631" s="8"/>
      <c r="I631" s="8"/>
      <c r="J631" s="8"/>
      <c r="K631" s="8"/>
    </row>
    <row r="632" ht="15.75" customHeight="1">
      <c r="A632" s="8"/>
      <c r="B632" s="8"/>
      <c r="C632" s="8"/>
      <c r="D632" s="8"/>
      <c r="E632" s="8"/>
      <c r="F632" s="8"/>
      <c r="G632" s="8"/>
      <c r="H632" s="8"/>
      <c r="I632" s="8"/>
      <c r="J632" s="8"/>
      <c r="K632" s="8"/>
    </row>
    <row r="633" ht="15.75" customHeight="1">
      <c r="A633" s="8"/>
      <c r="B633" s="8"/>
      <c r="C633" s="8"/>
      <c r="D633" s="8"/>
      <c r="E633" s="8"/>
      <c r="F633" s="8"/>
      <c r="G633" s="8"/>
      <c r="H633" s="8"/>
      <c r="I633" s="8"/>
      <c r="J633" s="8"/>
      <c r="K633" s="8"/>
    </row>
    <row r="634" ht="15.75" customHeight="1">
      <c r="A634" s="8"/>
      <c r="B634" s="8"/>
      <c r="C634" s="8"/>
      <c r="D634" s="8"/>
      <c r="E634" s="8"/>
      <c r="F634" s="8"/>
      <c r="G634" s="8"/>
      <c r="H634" s="8"/>
      <c r="I634" s="8"/>
      <c r="J634" s="8"/>
      <c r="K634" s="8"/>
    </row>
    <row r="635" ht="15.75" customHeight="1">
      <c r="A635" s="8"/>
      <c r="B635" s="8"/>
      <c r="C635" s="8"/>
      <c r="D635" s="8"/>
      <c r="E635" s="8"/>
      <c r="F635" s="8"/>
      <c r="G635" s="8"/>
      <c r="H635" s="8"/>
      <c r="I635" s="8"/>
      <c r="J635" s="8"/>
      <c r="K635" s="8"/>
    </row>
    <row r="636" ht="15.75" customHeight="1">
      <c r="A636" s="8"/>
      <c r="B636" s="8"/>
      <c r="C636" s="8"/>
      <c r="D636" s="8"/>
      <c r="E636" s="8"/>
      <c r="F636" s="8"/>
      <c r="G636" s="8"/>
      <c r="H636" s="8"/>
      <c r="I636" s="8"/>
      <c r="J636" s="8"/>
      <c r="K636" s="8"/>
    </row>
    <row r="637" ht="15.75" customHeight="1">
      <c r="A637" s="8"/>
      <c r="B637" s="8"/>
      <c r="C637" s="8"/>
      <c r="D637" s="8"/>
      <c r="E637" s="8"/>
      <c r="F637" s="8"/>
      <c r="G637" s="8"/>
      <c r="H637" s="8"/>
      <c r="I637" s="8"/>
      <c r="J637" s="8"/>
      <c r="K637" s="8"/>
    </row>
    <row r="638" ht="15.75" customHeight="1">
      <c r="A638" s="8"/>
      <c r="B638" s="8"/>
      <c r="C638" s="8"/>
      <c r="D638" s="8"/>
      <c r="E638" s="8"/>
      <c r="F638" s="8"/>
      <c r="G638" s="8"/>
      <c r="H638" s="8"/>
      <c r="I638" s="8"/>
      <c r="J638" s="8"/>
      <c r="K638" s="8"/>
    </row>
    <row r="639" ht="15.75" customHeight="1">
      <c r="A639" s="8"/>
      <c r="B639" s="8"/>
      <c r="C639" s="8"/>
      <c r="D639" s="8"/>
      <c r="E639" s="8"/>
      <c r="F639" s="8"/>
      <c r="G639" s="8"/>
      <c r="H639" s="8"/>
      <c r="I639" s="8"/>
      <c r="J639" s="8"/>
      <c r="K639" s="8"/>
    </row>
    <row r="640" ht="15.75" customHeight="1">
      <c r="A640" s="8"/>
      <c r="B640" s="8"/>
      <c r="C640" s="8"/>
      <c r="D640" s="8"/>
      <c r="E640" s="8"/>
      <c r="F640" s="8"/>
      <c r="G640" s="8"/>
      <c r="H640" s="8"/>
      <c r="I640" s="8"/>
      <c r="J640" s="8"/>
      <c r="K640" s="8"/>
    </row>
    <row r="641" ht="15.75" customHeight="1">
      <c r="A641" s="8"/>
      <c r="B641" s="8"/>
      <c r="C641" s="8"/>
      <c r="D641" s="8"/>
      <c r="E641" s="8"/>
      <c r="F641" s="8"/>
      <c r="G641" s="8"/>
      <c r="H641" s="8"/>
      <c r="I641" s="8"/>
      <c r="J641" s="8"/>
      <c r="K641" s="8"/>
    </row>
    <row r="642" ht="15.75" customHeight="1">
      <c r="A642" s="8"/>
      <c r="B642" s="8"/>
      <c r="C642" s="8"/>
      <c r="D642" s="8"/>
      <c r="E642" s="8"/>
      <c r="F642" s="8"/>
      <c r="G642" s="8"/>
      <c r="H642" s="8"/>
      <c r="I642" s="8"/>
      <c r="J642" s="8"/>
      <c r="K642" s="8"/>
    </row>
    <row r="643" ht="15.75" customHeight="1">
      <c r="A643" s="8"/>
      <c r="B643" s="8"/>
      <c r="C643" s="8"/>
      <c r="D643" s="8"/>
      <c r="E643" s="8"/>
      <c r="F643" s="8"/>
      <c r="G643" s="8"/>
      <c r="H643" s="8"/>
      <c r="I643" s="8"/>
      <c r="J643" s="8"/>
      <c r="K643" s="8"/>
    </row>
    <row r="644" ht="15.75" customHeight="1">
      <c r="A644" s="8"/>
      <c r="B644" s="8"/>
      <c r="C644" s="8"/>
      <c r="D644" s="8"/>
      <c r="E644" s="8"/>
      <c r="F644" s="8"/>
      <c r="G644" s="8"/>
      <c r="H644" s="8"/>
      <c r="I644" s="8"/>
      <c r="J644" s="8"/>
      <c r="K644" s="8"/>
    </row>
    <row r="645" ht="15.75" customHeight="1">
      <c r="A645" s="8"/>
      <c r="B645" s="8"/>
      <c r="C645" s="8"/>
      <c r="D645" s="8"/>
      <c r="E645" s="8"/>
      <c r="F645" s="8"/>
      <c r="G645" s="8"/>
      <c r="H645" s="8"/>
      <c r="I645" s="8"/>
      <c r="J645" s="8"/>
      <c r="K645" s="8"/>
    </row>
    <row r="646" ht="15.75" customHeight="1">
      <c r="A646" s="8"/>
      <c r="B646" s="8"/>
      <c r="C646" s="8"/>
      <c r="D646" s="8"/>
      <c r="E646" s="8"/>
      <c r="F646" s="8"/>
      <c r="G646" s="8"/>
      <c r="H646" s="8"/>
      <c r="I646" s="8"/>
      <c r="J646" s="8"/>
      <c r="K646" s="8"/>
    </row>
    <row r="647" ht="15.75" customHeight="1">
      <c r="A647" s="8"/>
      <c r="B647" s="8"/>
      <c r="C647" s="8"/>
      <c r="D647" s="8"/>
      <c r="E647" s="8"/>
      <c r="F647" s="8"/>
      <c r="G647" s="8"/>
      <c r="H647" s="8"/>
      <c r="I647" s="8"/>
      <c r="J647" s="8"/>
      <c r="K647" s="8"/>
    </row>
    <row r="648" ht="15.75" customHeight="1">
      <c r="A648" s="8"/>
      <c r="B648" s="8"/>
      <c r="C648" s="8"/>
      <c r="D648" s="8"/>
      <c r="E648" s="8"/>
      <c r="F648" s="8"/>
      <c r="G648" s="8"/>
      <c r="H648" s="8"/>
      <c r="I648" s="8"/>
      <c r="J648" s="8"/>
      <c r="K648" s="8"/>
    </row>
    <row r="649" ht="15.75" customHeight="1">
      <c r="A649" s="8"/>
      <c r="B649" s="8"/>
      <c r="C649" s="8"/>
      <c r="D649" s="8"/>
      <c r="E649" s="8"/>
      <c r="F649" s="8"/>
      <c r="G649" s="8"/>
      <c r="H649" s="8"/>
      <c r="I649" s="8"/>
      <c r="J649" s="8"/>
      <c r="K649" s="8"/>
    </row>
    <row r="650" ht="15.75" customHeight="1">
      <c r="A650" s="8"/>
      <c r="B650" s="8"/>
      <c r="C650" s="8"/>
      <c r="D650" s="8"/>
      <c r="E650" s="8"/>
      <c r="F650" s="8"/>
      <c r="G650" s="8"/>
      <c r="H650" s="8"/>
      <c r="I650" s="8"/>
      <c r="J650" s="8"/>
      <c r="K650" s="8"/>
    </row>
    <row r="651" ht="15.75" customHeight="1">
      <c r="A651" s="8"/>
      <c r="B651" s="8"/>
      <c r="C651" s="8"/>
      <c r="D651" s="8"/>
      <c r="E651" s="8"/>
      <c r="F651" s="8"/>
      <c r="G651" s="8"/>
      <c r="H651" s="8"/>
      <c r="I651" s="8"/>
      <c r="J651" s="8"/>
      <c r="K651" s="8"/>
    </row>
    <row r="652" ht="15.75" customHeight="1">
      <c r="A652" s="8"/>
      <c r="B652" s="8"/>
      <c r="C652" s="8"/>
      <c r="D652" s="8"/>
      <c r="E652" s="8"/>
      <c r="F652" s="8"/>
      <c r="G652" s="8"/>
      <c r="H652" s="8"/>
      <c r="I652" s="8"/>
      <c r="J652" s="8"/>
      <c r="K652" s="8"/>
    </row>
    <row r="653" ht="15.75" customHeight="1">
      <c r="A653" s="8"/>
      <c r="B653" s="8"/>
      <c r="C653" s="8"/>
      <c r="D653" s="8"/>
      <c r="E653" s="8"/>
      <c r="F653" s="8"/>
      <c r="G653" s="8"/>
      <c r="H653" s="8"/>
      <c r="I653" s="8"/>
      <c r="J653" s="8"/>
      <c r="K653" s="8"/>
    </row>
    <row r="654" ht="15.75" customHeight="1">
      <c r="A654" s="8"/>
      <c r="B654" s="8"/>
      <c r="C654" s="8"/>
      <c r="D654" s="8"/>
      <c r="E654" s="8"/>
      <c r="F654" s="8"/>
      <c r="G654" s="8"/>
      <c r="H654" s="8"/>
      <c r="I654" s="8"/>
      <c r="J654" s="8"/>
      <c r="K654" s="8"/>
    </row>
    <row r="655" ht="15.75" customHeight="1">
      <c r="A655" s="8"/>
      <c r="B655" s="8"/>
      <c r="C655" s="8"/>
      <c r="D655" s="8"/>
      <c r="E655" s="8"/>
      <c r="F655" s="8"/>
      <c r="G655" s="8"/>
      <c r="H655" s="8"/>
      <c r="I655" s="8"/>
      <c r="J655" s="8"/>
      <c r="K655" s="8"/>
    </row>
    <row r="656" ht="15.75" customHeight="1">
      <c r="A656" s="8"/>
      <c r="B656" s="8"/>
      <c r="C656" s="8"/>
      <c r="D656" s="8"/>
      <c r="E656" s="8"/>
      <c r="F656" s="8"/>
      <c r="G656" s="8"/>
      <c r="H656" s="8"/>
      <c r="I656" s="8"/>
      <c r="J656" s="8"/>
      <c r="K656" s="8"/>
    </row>
    <row r="657" ht="15.75" customHeight="1">
      <c r="A657" s="8"/>
      <c r="B657" s="8"/>
      <c r="C657" s="8"/>
      <c r="D657" s="8"/>
      <c r="E657" s="8"/>
      <c r="F657" s="8"/>
      <c r="G657" s="8"/>
      <c r="H657" s="8"/>
      <c r="I657" s="8"/>
      <c r="J657" s="8"/>
      <c r="K657" s="8"/>
    </row>
    <row r="658" ht="15.75" customHeight="1">
      <c r="A658" s="8"/>
      <c r="B658" s="8"/>
      <c r="C658" s="8"/>
      <c r="D658" s="8"/>
      <c r="E658" s="8"/>
      <c r="F658" s="8"/>
      <c r="G658" s="8"/>
      <c r="H658" s="8"/>
      <c r="I658" s="8"/>
      <c r="J658" s="8"/>
      <c r="K658" s="8"/>
    </row>
    <row r="659" ht="15.75" customHeight="1">
      <c r="A659" s="8"/>
      <c r="B659" s="8"/>
      <c r="C659" s="8"/>
      <c r="D659" s="8"/>
      <c r="E659" s="8"/>
      <c r="F659" s="8"/>
      <c r="G659" s="8"/>
      <c r="H659" s="8"/>
      <c r="I659" s="8"/>
      <c r="J659" s="8"/>
      <c r="K659" s="8"/>
    </row>
    <row r="660" ht="15.75" customHeight="1">
      <c r="A660" s="8"/>
      <c r="B660" s="8"/>
      <c r="C660" s="8"/>
      <c r="D660" s="8"/>
      <c r="E660" s="8"/>
      <c r="F660" s="8"/>
      <c r="G660" s="8"/>
      <c r="H660" s="8"/>
      <c r="I660" s="8"/>
      <c r="J660" s="8"/>
      <c r="K660" s="8"/>
    </row>
    <row r="661" ht="15.75" customHeight="1">
      <c r="A661" s="8"/>
      <c r="B661" s="8"/>
      <c r="C661" s="8"/>
      <c r="D661" s="8"/>
      <c r="E661" s="8"/>
      <c r="F661" s="8"/>
      <c r="G661" s="8"/>
      <c r="H661" s="8"/>
      <c r="I661" s="8"/>
      <c r="J661" s="8"/>
      <c r="K661" s="8"/>
    </row>
    <row r="662" ht="15.75" customHeight="1">
      <c r="A662" s="8"/>
      <c r="B662" s="8"/>
      <c r="C662" s="8"/>
      <c r="D662" s="8"/>
      <c r="E662" s="8"/>
      <c r="F662" s="8"/>
      <c r="G662" s="8"/>
      <c r="H662" s="8"/>
      <c r="I662" s="8"/>
      <c r="J662" s="8"/>
      <c r="K662" s="8"/>
    </row>
    <row r="663" ht="15.75" customHeight="1">
      <c r="A663" s="8"/>
      <c r="B663" s="8"/>
      <c r="C663" s="8"/>
      <c r="D663" s="8"/>
      <c r="E663" s="8"/>
      <c r="F663" s="8"/>
      <c r="G663" s="8"/>
      <c r="H663" s="8"/>
      <c r="I663" s="8"/>
      <c r="J663" s="8"/>
      <c r="K663" s="8"/>
    </row>
    <row r="664" ht="15.75" customHeight="1">
      <c r="A664" s="8"/>
      <c r="B664" s="8"/>
      <c r="C664" s="8"/>
      <c r="D664" s="8"/>
      <c r="E664" s="8"/>
      <c r="F664" s="8"/>
      <c r="G664" s="8"/>
      <c r="H664" s="8"/>
      <c r="I664" s="8"/>
      <c r="J664" s="8"/>
      <c r="K664" s="8"/>
    </row>
    <row r="665" ht="15.75" customHeight="1">
      <c r="A665" s="8"/>
      <c r="B665" s="8"/>
      <c r="C665" s="8"/>
      <c r="D665" s="8"/>
      <c r="E665" s="8"/>
      <c r="F665" s="8"/>
      <c r="G665" s="8"/>
      <c r="H665" s="8"/>
      <c r="I665" s="8"/>
      <c r="J665" s="8"/>
      <c r="K665" s="8"/>
    </row>
    <row r="666" ht="15.75" customHeight="1">
      <c r="A666" s="8"/>
      <c r="B666" s="8"/>
      <c r="C666" s="8"/>
      <c r="D666" s="8"/>
      <c r="E666" s="8"/>
      <c r="F666" s="8"/>
      <c r="G666" s="8"/>
      <c r="H666" s="8"/>
      <c r="I666" s="8"/>
      <c r="J666" s="8"/>
      <c r="K666" s="8"/>
    </row>
    <row r="667" ht="15.75" customHeight="1">
      <c r="A667" s="8"/>
      <c r="B667" s="8"/>
      <c r="C667" s="8"/>
      <c r="D667" s="8"/>
      <c r="E667" s="8"/>
      <c r="F667" s="8"/>
      <c r="G667" s="8"/>
      <c r="H667" s="8"/>
      <c r="I667" s="8"/>
      <c r="J667" s="8"/>
      <c r="K667" s="8"/>
    </row>
    <row r="668" ht="15.75" customHeight="1">
      <c r="A668" s="8"/>
      <c r="B668" s="8"/>
      <c r="C668" s="8"/>
      <c r="D668" s="8"/>
      <c r="E668" s="8"/>
      <c r="F668" s="8"/>
      <c r="G668" s="8"/>
      <c r="H668" s="8"/>
      <c r="I668" s="8"/>
      <c r="J668" s="8"/>
      <c r="K668" s="8"/>
    </row>
    <row r="669" ht="15.75" customHeight="1">
      <c r="A669" s="8"/>
      <c r="B669" s="8"/>
      <c r="C669" s="8"/>
      <c r="D669" s="8"/>
      <c r="E669" s="8"/>
      <c r="F669" s="8"/>
      <c r="G669" s="8"/>
      <c r="H669" s="8"/>
      <c r="I669" s="8"/>
      <c r="J669" s="8"/>
      <c r="K669" s="8"/>
    </row>
    <row r="670" ht="15.75" customHeight="1">
      <c r="A670" s="8"/>
      <c r="B670" s="8"/>
      <c r="C670" s="8"/>
      <c r="D670" s="8"/>
      <c r="E670" s="8"/>
      <c r="F670" s="8"/>
      <c r="G670" s="8"/>
      <c r="H670" s="8"/>
      <c r="I670" s="8"/>
      <c r="J670" s="8"/>
      <c r="K670" s="8"/>
    </row>
    <row r="671" ht="15.75" customHeight="1">
      <c r="A671" s="8"/>
      <c r="B671" s="8"/>
      <c r="C671" s="8"/>
      <c r="D671" s="8"/>
      <c r="E671" s="8"/>
      <c r="F671" s="8"/>
      <c r="G671" s="8"/>
      <c r="H671" s="8"/>
      <c r="I671" s="8"/>
      <c r="J671" s="8"/>
      <c r="K671" s="8"/>
    </row>
    <row r="672" ht="15.75" customHeight="1">
      <c r="A672" s="8"/>
      <c r="B672" s="8"/>
      <c r="C672" s="8"/>
      <c r="D672" s="8"/>
      <c r="E672" s="8"/>
      <c r="F672" s="8"/>
      <c r="G672" s="8"/>
      <c r="H672" s="8"/>
      <c r="I672" s="8"/>
      <c r="J672" s="8"/>
      <c r="K672" s="8"/>
    </row>
    <row r="673" ht="15.75" customHeight="1">
      <c r="A673" s="8"/>
      <c r="B673" s="8"/>
      <c r="C673" s="8"/>
      <c r="D673" s="8"/>
      <c r="E673" s="8"/>
      <c r="F673" s="8"/>
      <c r="G673" s="8"/>
      <c r="H673" s="8"/>
      <c r="I673" s="8"/>
      <c r="J673" s="8"/>
      <c r="K673" s="8"/>
    </row>
    <row r="674" ht="15.75" customHeight="1">
      <c r="A674" s="8"/>
      <c r="B674" s="8"/>
      <c r="C674" s="8"/>
      <c r="D674" s="8"/>
      <c r="E674" s="8"/>
      <c r="F674" s="8"/>
      <c r="G674" s="8"/>
      <c r="H674" s="8"/>
      <c r="I674" s="8"/>
      <c r="J674" s="8"/>
      <c r="K674" s="8"/>
    </row>
    <row r="675" ht="15.75" customHeight="1">
      <c r="A675" s="8"/>
      <c r="B675" s="8"/>
      <c r="C675" s="8"/>
      <c r="D675" s="8"/>
      <c r="E675" s="8"/>
      <c r="F675" s="8"/>
      <c r="G675" s="8"/>
      <c r="H675" s="8"/>
      <c r="I675" s="8"/>
      <c r="J675" s="8"/>
      <c r="K675" s="8"/>
    </row>
    <row r="676" ht="15.75" customHeight="1">
      <c r="A676" s="8"/>
      <c r="B676" s="8"/>
      <c r="C676" s="8"/>
      <c r="D676" s="8"/>
      <c r="E676" s="8"/>
      <c r="F676" s="8"/>
      <c r="G676" s="8"/>
      <c r="H676" s="8"/>
      <c r="I676" s="8"/>
      <c r="J676" s="8"/>
      <c r="K676" s="8"/>
    </row>
    <row r="677" ht="15.75" customHeight="1">
      <c r="A677" s="8"/>
      <c r="B677" s="8"/>
      <c r="C677" s="8"/>
      <c r="D677" s="8"/>
      <c r="E677" s="8"/>
      <c r="F677" s="8"/>
      <c r="G677" s="8"/>
      <c r="H677" s="8"/>
      <c r="I677" s="8"/>
      <c r="J677" s="8"/>
      <c r="K677" s="8"/>
    </row>
    <row r="678" ht="15.75" customHeight="1">
      <c r="A678" s="8"/>
      <c r="B678" s="8"/>
      <c r="C678" s="8"/>
      <c r="D678" s="8"/>
      <c r="E678" s="8"/>
      <c r="F678" s="8"/>
      <c r="G678" s="8"/>
      <c r="H678" s="8"/>
      <c r="I678" s="8"/>
      <c r="J678" s="8"/>
      <c r="K678" s="8"/>
    </row>
    <row r="679" ht="15.75" customHeight="1">
      <c r="A679" s="8"/>
      <c r="B679" s="8"/>
      <c r="C679" s="8"/>
      <c r="D679" s="8"/>
      <c r="E679" s="8"/>
      <c r="F679" s="8"/>
      <c r="G679" s="8"/>
      <c r="H679" s="8"/>
      <c r="I679" s="8"/>
      <c r="J679" s="8"/>
      <c r="K679" s="8"/>
    </row>
    <row r="680" ht="15.75" customHeight="1">
      <c r="A680" s="8"/>
      <c r="B680" s="8"/>
      <c r="C680" s="8"/>
      <c r="D680" s="8"/>
      <c r="E680" s="8"/>
      <c r="F680" s="8"/>
      <c r="G680" s="8"/>
      <c r="H680" s="8"/>
      <c r="I680" s="8"/>
      <c r="J680" s="8"/>
      <c r="K680" s="8"/>
    </row>
    <row r="681" ht="15.75" customHeight="1">
      <c r="A681" s="8"/>
      <c r="B681" s="8"/>
      <c r="C681" s="8"/>
      <c r="D681" s="8"/>
      <c r="E681" s="8"/>
      <c r="F681" s="8"/>
      <c r="G681" s="8"/>
      <c r="H681" s="8"/>
      <c r="I681" s="8"/>
      <c r="J681" s="8"/>
      <c r="K681" s="8"/>
    </row>
    <row r="682" ht="15.75" customHeight="1">
      <c r="A682" s="8"/>
      <c r="B682" s="8"/>
      <c r="C682" s="8"/>
      <c r="D682" s="8"/>
      <c r="E682" s="8"/>
      <c r="F682" s="8"/>
      <c r="G682" s="8"/>
      <c r="H682" s="8"/>
      <c r="I682" s="8"/>
      <c r="J682" s="8"/>
      <c r="K682" s="8"/>
    </row>
    <row r="683" ht="15.75" customHeight="1">
      <c r="A683" s="8"/>
      <c r="B683" s="8"/>
      <c r="C683" s="8"/>
      <c r="D683" s="8"/>
      <c r="E683" s="8"/>
      <c r="F683" s="8"/>
      <c r="G683" s="8"/>
      <c r="H683" s="8"/>
      <c r="I683" s="8"/>
      <c r="J683" s="8"/>
      <c r="K683" s="8"/>
    </row>
    <row r="684" ht="15.75" customHeight="1">
      <c r="A684" s="8"/>
      <c r="B684" s="8"/>
      <c r="C684" s="8"/>
      <c r="D684" s="8"/>
      <c r="E684" s="8"/>
      <c r="F684" s="8"/>
      <c r="G684" s="8"/>
      <c r="H684" s="8"/>
      <c r="I684" s="8"/>
      <c r="J684" s="8"/>
      <c r="K684" s="8"/>
    </row>
    <row r="685" ht="15.75" customHeight="1">
      <c r="A685" s="8"/>
      <c r="B685" s="8"/>
      <c r="C685" s="8"/>
      <c r="D685" s="8"/>
      <c r="E685" s="8"/>
      <c r="F685" s="8"/>
      <c r="G685" s="8"/>
      <c r="H685" s="8"/>
      <c r="I685" s="8"/>
      <c r="J685" s="8"/>
      <c r="K685" s="8"/>
    </row>
    <row r="686" ht="15.75" customHeight="1">
      <c r="A686" s="8"/>
      <c r="B686" s="8"/>
      <c r="C686" s="8"/>
      <c r="D686" s="8"/>
      <c r="E686" s="8"/>
      <c r="F686" s="8"/>
      <c r="G686" s="8"/>
      <c r="H686" s="8"/>
      <c r="I686" s="8"/>
      <c r="J686" s="8"/>
      <c r="K686" s="8"/>
    </row>
    <row r="687" ht="15.75" customHeight="1">
      <c r="A687" s="8"/>
      <c r="B687" s="8"/>
      <c r="C687" s="8"/>
      <c r="D687" s="8"/>
      <c r="E687" s="8"/>
      <c r="F687" s="8"/>
      <c r="G687" s="8"/>
      <c r="H687" s="8"/>
      <c r="I687" s="8"/>
      <c r="J687" s="8"/>
      <c r="K687" s="8"/>
    </row>
    <row r="688" ht="15.75" customHeight="1">
      <c r="A688" s="8"/>
      <c r="B688" s="8"/>
      <c r="C688" s="8"/>
      <c r="D688" s="8"/>
      <c r="E688" s="8"/>
      <c r="F688" s="8"/>
      <c r="G688" s="8"/>
      <c r="H688" s="8"/>
      <c r="I688" s="8"/>
      <c r="J688" s="8"/>
      <c r="K688" s="8"/>
    </row>
    <row r="689" ht="15.75" customHeight="1">
      <c r="A689" s="8"/>
      <c r="B689" s="8"/>
      <c r="C689" s="8"/>
      <c r="D689" s="8"/>
      <c r="E689" s="8"/>
      <c r="F689" s="8"/>
      <c r="G689" s="8"/>
      <c r="H689" s="8"/>
      <c r="I689" s="8"/>
      <c r="J689" s="8"/>
      <c r="K689" s="8"/>
    </row>
    <row r="690" ht="15.75" customHeight="1">
      <c r="A690" s="8"/>
      <c r="B690" s="8"/>
      <c r="C690" s="8"/>
      <c r="D690" s="8"/>
      <c r="E690" s="8"/>
      <c r="F690" s="8"/>
      <c r="G690" s="8"/>
      <c r="H690" s="8"/>
      <c r="I690" s="8"/>
      <c r="J690" s="8"/>
      <c r="K690" s="8"/>
    </row>
    <row r="691" ht="15.75" customHeight="1">
      <c r="A691" s="8"/>
      <c r="B691" s="8"/>
      <c r="C691" s="8"/>
      <c r="D691" s="8"/>
      <c r="E691" s="8"/>
      <c r="F691" s="8"/>
      <c r="G691" s="8"/>
      <c r="H691" s="8"/>
      <c r="I691" s="8"/>
      <c r="J691" s="8"/>
      <c r="K691" s="8"/>
    </row>
    <row r="692" ht="15.75" customHeight="1">
      <c r="A692" s="8"/>
      <c r="B692" s="8"/>
      <c r="C692" s="8"/>
      <c r="D692" s="8"/>
      <c r="E692" s="8"/>
      <c r="F692" s="8"/>
      <c r="G692" s="8"/>
      <c r="H692" s="8"/>
      <c r="I692" s="8"/>
      <c r="J692" s="8"/>
      <c r="K692" s="8"/>
    </row>
    <row r="693" ht="15.75" customHeight="1">
      <c r="A693" s="8"/>
      <c r="B693" s="8"/>
      <c r="C693" s="8"/>
      <c r="D693" s="8"/>
      <c r="E693" s="8"/>
      <c r="F693" s="8"/>
      <c r="G693" s="8"/>
      <c r="H693" s="8"/>
      <c r="I693" s="8"/>
      <c r="J693" s="8"/>
      <c r="K693" s="8"/>
    </row>
    <row r="694" ht="15.75" customHeight="1">
      <c r="A694" s="8"/>
      <c r="B694" s="8"/>
      <c r="C694" s="8"/>
      <c r="D694" s="8"/>
      <c r="E694" s="8"/>
      <c r="F694" s="8"/>
      <c r="G694" s="8"/>
      <c r="H694" s="8"/>
      <c r="I694" s="8"/>
      <c r="J694" s="8"/>
      <c r="K694" s="8"/>
    </row>
    <row r="695" ht="15.75" customHeight="1">
      <c r="A695" s="8"/>
      <c r="B695" s="8"/>
      <c r="C695" s="8"/>
      <c r="D695" s="8"/>
      <c r="E695" s="8"/>
      <c r="F695" s="8"/>
      <c r="G695" s="8"/>
      <c r="H695" s="8"/>
      <c r="I695" s="8"/>
      <c r="J695" s="8"/>
      <c r="K695" s="8"/>
    </row>
    <row r="696" ht="15.75" customHeight="1">
      <c r="A696" s="8"/>
      <c r="B696" s="8"/>
      <c r="C696" s="8"/>
      <c r="D696" s="8"/>
      <c r="E696" s="8"/>
      <c r="F696" s="8"/>
      <c r="G696" s="8"/>
      <c r="H696" s="8"/>
      <c r="I696" s="8"/>
      <c r="J696" s="8"/>
      <c r="K696" s="8"/>
    </row>
    <row r="697" ht="15.75" customHeight="1">
      <c r="A697" s="8"/>
      <c r="B697" s="8"/>
      <c r="C697" s="8"/>
      <c r="D697" s="8"/>
      <c r="E697" s="8"/>
      <c r="F697" s="8"/>
      <c r="G697" s="8"/>
      <c r="H697" s="8"/>
      <c r="I697" s="8"/>
      <c r="J697" s="8"/>
      <c r="K697" s="8"/>
    </row>
    <row r="698" ht="15.75" customHeight="1">
      <c r="A698" s="8"/>
      <c r="B698" s="8"/>
      <c r="C698" s="8"/>
      <c r="D698" s="8"/>
      <c r="E698" s="8"/>
      <c r="F698" s="8"/>
      <c r="G698" s="8"/>
      <c r="H698" s="8"/>
      <c r="I698" s="8"/>
      <c r="J698" s="8"/>
      <c r="K698" s="8"/>
    </row>
    <row r="699" ht="15.75" customHeight="1">
      <c r="A699" s="8"/>
      <c r="B699" s="8"/>
      <c r="C699" s="8"/>
      <c r="D699" s="8"/>
      <c r="E699" s="8"/>
      <c r="F699" s="8"/>
      <c r="G699" s="8"/>
      <c r="H699" s="8"/>
      <c r="I699" s="8"/>
      <c r="J699" s="8"/>
      <c r="K699" s="8"/>
    </row>
    <row r="700" ht="15.75" customHeight="1">
      <c r="A700" s="8"/>
      <c r="B700" s="8"/>
      <c r="C700" s="8"/>
      <c r="D700" s="8"/>
      <c r="E700" s="8"/>
      <c r="F700" s="8"/>
      <c r="G700" s="8"/>
      <c r="H700" s="8"/>
      <c r="I700" s="8"/>
      <c r="J700" s="8"/>
      <c r="K700" s="8"/>
    </row>
    <row r="701" ht="15.75" customHeight="1">
      <c r="A701" s="8"/>
      <c r="B701" s="8"/>
      <c r="C701" s="8"/>
      <c r="D701" s="8"/>
      <c r="E701" s="8"/>
      <c r="F701" s="8"/>
      <c r="G701" s="8"/>
      <c r="H701" s="8"/>
      <c r="I701" s="8"/>
      <c r="J701" s="8"/>
      <c r="K701" s="8"/>
    </row>
    <row r="702" ht="15.75" customHeight="1">
      <c r="A702" s="8"/>
      <c r="B702" s="8"/>
      <c r="C702" s="8"/>
      <c r="D702" s="8"/>
      <c r="E702" s="8"/>
      <c r="F702" s="8"/>
      <c r="G702" s="8"/>
      <c r="H702" s="8"/>
      <c r="I702" s="8"/>
      <c r="J702" s="8"/>
      <c r="K702" s="8"/>
    </row>
    <row r="703" ht="15.75" customHeight="1">
      <c r="A703" s="8"/>
      <c r="B703" s="8"/>
      <c r="C703" s="8"/>
      <c r="D703" s="8"/>
      <c r="E703" s="8"/>
      <c r="F703" s="8"/>
      <c r="G703" s="8"/>
      <c r="H703" s="8"/>
      <c r="I703" s="8"/>
      <c r="J703" s="8"/>
      <c r="K703" s="8"/>
    </row>
    <row r="704" ht="15.75" customHeight="1">
      <c r="A704" s="8"/>
      <c r="B704" s="8"/>
      <c r="C704" s="8"/>
      <c r="D704" s="8"/>
      <c r="E704" s="8"/>
      <c r="F704" s="8"/>
      <c r="G704" s="8"/>
      <c r="H704" s="8"/>
      <c r="I704" s="8"/>
      <c r="J704" s="8"/>
      <c r="K704" s="8"/>
    </row>
    <row r="705" ht="15.75" customHeight="1">
      <c r="A705" s="8"/>
      <c r="B705" s="8"/>
      <c r="C705" s="8"/>
      <c r="D705" s="8"/>
      <c r="E705" s="8"/>
      <c r="F705" s="8"/>
      <c r="G705" s="8"/>
      <c r="H705" s="8"/>
      <c r="I705" s="8"/>
      <c r="J705" s="8"/>
      <c r="K705" s="8"/>
    </row>
    <row r="706" ht="15.75" customHeight="1">
      <c r="A706" s="8"/>
      <c r="B706" s="8"/>
      <c r="C706" s="8"/>
      <c r="D706" s="8"/>
      <c r="E706" s="8"/>
      <c r="F706" s="8"/>
      <c r="G706" s="8"/>
      <c r="H706" s="8"/>
      <c r="I706" s="8"/>
      <c r="J706" s="8"/>
      <c r="K706" s="8"/>
    </row>
    <row r="707" ht="15.75" customHeight="1">
      <c r="A707" s="8"/>
      <c r="B707" s="8"/>
      <c r="C707" s="8"/>
      <c r="D707" s="8"/>
      <c r="E707" s="8"/>
      <c r="F707" s="8"/>
      <c r="G707" s="8"/>
      <c r="H707" s="8"/>
      <c r="I707" s="8"/>
      <c r="J707" s="8"/>
      <c r="K707" s="8"/>
    </row>
    <row r="708" ht="15.75" customHeight="1">
      <c r="A708" s="8"/>
      <c r="B708" s="8"/>
      <c r="C708" s="8"/>
      <c r="D708" s="8"/>
      <c r="E708" s="8"/>
      <c r="F708" s="8"/>
      <c r="G708" s="8"/>
      <c r="H708" s="8"/>
      <c r="I708" s="8"/>
      <c r="J708" s="8"/>
      <c r="K708" s="8"/>
    </row>
    <row r="709" ht="15.75" customHeight="1">
      <c r="A709" s="8"/>
      <c r="B709" s="8"/>
      <c r="C709" s="8"/>
      <c r="D709" s="8"/>
      <c r="E709" s="8"/>
      <c r="F709" s="8"/>
      <c r="G709" s="8"/>
      <c r="H709" s="8"/>
      <c r="I709" s="8"/>
      <c r="J709" s="8"/>
      <c r="K709" s="8"/>
    </row>
    <row r="710" ht="15.75" customHeight="1">
      <c r="A710" s="8"/>
      <c r="B710" s="8"/>
      <c r="C710" s="8"/>
      <c r="D710" s="8"/>
      <c r="E710" s="8"/>
      <c r="F710" s="8"/>
      <c r="G710" s="8"/>
      <c r="H710" s="8"/>
      <c r="I710" s="8"/>
      <c r="J710" s="8"/>
      <c r="K710" s="8"/>
    </row>
    <row r="711" ht="15.75" customHeight="1">
      <c r="A711" s="8"/>
      <c r="B711" s="8"/>
      <c r="C711" s="8"/>
      <c r="D711" s="8"/>
      <c r="E711" s="8"/>
      <c r="F711" s="8"/>
      <c r="G711" s="8"/>
      <c r="H711" s="8"/>
      <c r="I711" s="8"/>
      <c r="J711" s="8"/>
      <c r="K711" s="8"/>
    </row>
    <row r="712" ht="15.75" customHeight="1">
      <c r="A712" s="8"/>
      <c r="B712" s="8"/>
      <c r="C712" s="8"/>
      <c r="D712" s="8"/>
      <c r="E712" s="8"/>
      <c r="F712" s="8"/>
      <c r="G712" s="8"/>
      <c r="H712" s="8"/>
      <c r="I712" s="8"/>
      <c r="J712" s="8"/>
      <c r="K712" s="8"/>
    </row>
    <row r="713" ht="15.75" customHeight="1">
      <c r="A713" s="8"/>
      <c r="B713" s="8"/>
      <c r="C713" s="8"/>
      <c r="D713" s="8"/>
      <c r="E713" s="8"/>
      <c r="F713" s="8"/>
      <c r="G713" s="8"/>
      <c r="H713" s="8"/>
      <c r="I713" s="8"/>
      <c r="J713" s="8"/>
      <c r="K713" s="8"/>
    </row>
    <row r="714" ht="15.75" customHeight="1">
      <c r="A714" s="8"/>
      <c r="B714" s="8"/>
      <c r="C714" s="8"/>
      <c r="D714" s="8"/>
      <c r="E714" s="8"/>
      <c r="F714" s="8"/>
      <c r="G714" s="8"/>
      <c r="H714" s="8"/>
      <c r="I714" s="8"/>
      <c r="J714" s="8"/>
      <c r="K714" s="8"/>
    </row>
    <row r="715" ht="15.75" customHeight="1">
      <c r="A715" s="8"/>
      <c r="B715" s="8"/>
      <c r="C715" s="8"/>
      <c r="D715" s="8"/>
      <c r="E715" s="8"/>
      <c r="F715" s="8"/>
      <c r="G715" s="8"/>
      <c r="H715" s="8"/>
      <c r="I715" s="8"/>
      <c r="J715" s="8"/>
      <c r="K715" s="8"/>
    </row>
    <row r="716" ht="15.75" customHeight="1">
      <c r="A716" s="8"/>
      <c r="B716" s="8"/>
      <c r="C716" s="8"/>
      <c r="D716" s="8"/>
      <c r="E716" s="8"/>
      <c r="F716" s="8"/>
      <c r="G716" s="8"/>
      <c r="H716" s="8"/>
      <c r="I716" s="8"/>
      <c r="J716" s="8"/>
      <c r="K716" s="8"/>
    </row>
    <row r="717" ht="15.75" customHeight="1">
      <c r="A717" s="8"/>
      <c r="B717" s="8"/>
      <c r="C717" s="8"/>
      <c r="D717" s="8"/>
      <c r="E717" s="8"/>
      <c r="F717" s="8"/>
      <c r="G717" s="8"/>
      <c r="H717" s="8"/>
      <c r="I717" s="8"/>
      <c r="J717" s="8"/>
      <c r="K717" s="8"/>
    </row>
    <row r="718" ht="15.75" customHeight="1">
      <c r="A718" s="8"/>
      <c r="B718" s="8"/>
      <c r="C718" s="8"/>
      <c r="D718" s="8"/>
      <c r="E718" s="8"/>
      <c r="F718" s="8"/>
      <c r="G718" s="8"/>
      <c r="H718" s="8"/>
      <c r="I718" s="8"/>
      <c r="J718" s="8"/>
      <c r="K718" s="8"/>
    </row>
    <row r="719" ht="15.75" customHeight="1">
      <c r="A719" s="8"/>
      <c r="B719" s="8"/>
      <c r="C719" s="8"/>
      <c r="D719" s="8"/>
      <c r="E719" s="8"/>
      <c r="F719" s="8"/>
      <c r="G719" s="8"/>
      <c r="H719" s="8"/>
      <c r="I719" s="8"/>
      <c r="J719" s="8"/>
      <c r="K719" s="8"/>
    </row>
    <row r="720" ht="15.75" customHeight="1">
      <c r="A720" s="8"/>
      <c r="B720" s="8"/>
      <c r="C720" s="8"/>
      <c r="D720" s="8"/>
      <c r="E720" s="8"/>
      <c r="F720" s="8"/>
      <c r="G720" s="8"/>
      <c r="H720" s="8"/>
      <c r="I720" s="8"/>
      <c r="J720" s="8"/>
      <c r="K720" s="8"/>
    </row>
    <row r="721" ht="15.75" customHeight="1">
      <c r="A721" s="8"/>
      <c r="B721" s="8"/>
      <c r="C721" s="8"/>
      <c r="D721" s="8"/>
      <c r="E721" s="8"/>
      <c r="F721" s="8"/>
      <c r="G721" s="8"/>
      <c r="H721" s="8"/>
      <c r="I721" s="8"/>
      <c r="J721" s="8"/>
      <c r="K721" s="8"/>
    </row>
    <row r="722" ht="15.75" customHeight="1">
      <c r="A722" s="8"/>
      <c r="B722" s="8"/>
      <c r="C722" s="8"/>
      <c r="D722" s="8"/>
      <c r="E722" s="8"/>
      <c r="F722" s="8"/>
      <c r="G722" s="8"/>
      <c r="H722" s="8"/>
      <c r="I722" s="8"/>
      <c r="J722" s="8"/>
      <c r="K722" s="8"/>
    </row>
    <row r="723" ht="15.75" customHeight="1">
      <c r="A723" s="8"/>
      <c r="B723" s="8"/>
      <c r="C723" s="8"/>
      <c r="D723" s="8"/>
      <c r="E723" s="8"/>
      <c r="F723" s="8"/>
      <c r="G723" s="8"/>
      <c r="H723" s="8"/>
      <c r="I723" s="8"/>
      <c r="J723" s="8"/>
      <c r="K723" s="8"/>
    </row>
    <row r="724" ht="15.75" customHeight="1">
      <c r="A724" s="8"/>
      <c r="B724" s="8"/>
      <c r="C724" s="8"/>
      <c r="D724" s="8"/>
      <c r="E724" s="8"/>
      <c r="F724" s="8"/>
      <c r="G724" s="8"/>
      <c r="H724" s="8"/>
      <c r="I724" s="8"/>
      <c r="J724" s="8"/>
      <c r="K724" s="8"/>
    </row>
    <row r="725" ht="15.75" customHeight="1">
      <c r="A725" s="8"/>
      <c r="B725" s="8"/>
      <c r="C725" s="8"/>
      <c r="D725" s="8"/>
      <c r="E725" s="8"/>
      <c r="F725" s="8"/>
      <c r="G725" s="8"/>
      <c r="H725" s="8"/>
      <c r="I725" s="8"/>
      <c r="J725" s="8"/>
      <c r="K725" s="8"/>
    </row>
    <row r="726" ht="15.75" customHeight="1">
      <c r="A726" s="8"/>
      <c r="B726" s="8"/>
      <c r="C726" s="8"/>
      <c r="D726" s="8"/>
      <c r="E726" s="8"/>
      <c r="F726" s="8"/>
      <c r="G726" s="8"/>
      <c r="H726" s="8"/>
      <c r="I726" s="8"/>
      <c r="J726" s="8"/>
      <c r="K726" s="8"/>
    </row>
    <row r="727" ht="15.75" customHeight="1">
      <c r="A727" s="8"/>
      <c r="B727" s="8"/>
      <c r="C727" s="8"/>
      <c r="D727" s="8"/>
      <c r="E727" s="8"/>
      <c r="F727" s="8"/>
      <c r="G727" s="8"/>
      <c r="H727" s="8"/>
      <c r="I727" s="8"/>
      <c r="J727" s="8"/>
      <c r="K727" s="8"/>
    </row>
    <row r="728" ht="15.75" customHeight="1">
      <c r="A728" s="8"/>
      <c r="B728" s="8"/>
      <c r="C728" s="8"/>
      <c r="D728" s="8"/>
      <c r="E728" s="8"/>
      <c r="F728" s="8"/>
      <c r="G728" s="8"/>
      <c r="H728" s="8"/>
      <c r="I728" s="8"/>
      <c r="J728" s="8"/>
      <c r="K728" s="8"/>
    </row>
    <row r="729" ht="15.75" customHeight="1">
      <c r="A729" s="8"/>
      <c r="B729" s="8"/>
      <c r="C729" s="8"/>
      <c r="D729" s="8"/>
      <c r="E729" s="8"/>
      <c r="F729" s="8"/>
      <c r="G729" s="8"/>
      <c r="H729" s="8"/>
      <c r="I729" s="8"/>
      <c r="J729" s="8"/>
      <c r="K729" s="8"/>
    </row>
    <row r="730" ht="15.75" customHeight="1">
      <c r="A730" s="8"/>
      <c r="B730" s="8"/>
      <c r="C730" s="8"/>
      <c r="D730" s="8"/>
      <c r="E730" s="8"/>
      <c r="F730" s="8"/>
      <c r="G730" s="8"/>
      <c r="H730" s="8"/>
      <c r="I730" s="8"/>
      <c r="J730" s="8"/>
      <c r="K730" s="8"/>
    </row>
    <row r="731" ht="15.75" customHeight="1">
      <c r="A731" s="8"/>
      <c r="B731" s="8"/>
      <c r="C731" s="8"/>
      <c r="D731" s="8"/>
      <c r="E731" s="8"/>
      <c r="F731" s="8"/>
      <c r="G731" s="8"/>
      <c r="H731" s="8"/>
      <c r="I731" s="8"/>
      <c r="J731" s="8"/>
      <c r="K731" s="8"/>
    </row>
    <row r="732" ht="15.75" customHeight="1">
      <c r="A732" s="8"/>
      <c r="B732" s="8"/>
      <c r="C732" s="8"/>
      <c r="D732" s="8"/>
      <c r="E732" s="8"/>
      <c r="F732" s="8"/>
      <c r="G732" s="8"/>
      <c r="H732" s="8"/>
      <c r="I732" s="8"/>
      <c r="J732" s="8"/>
      <c r="K732" s="8"/>
    </row>
    <row r="733" ht="15.75" customHeight="1">
      <c r="A733" s="8"/>
      <c r="B733" s="8"/>
      <c r="C733" s="8"/>
      <c r="D733" s="8"/>
      <c r="E733" s="8"/>
      <c r="F733" s="8"/>
      <c r="G733" s="8"/>
      <c r="H733" s="8"/>
      <c r="I733" s="8"/>
      <c r="J733" s="8"/>
      <c r="K733" s="8"/>
    </row>
    <row r="734" ht="15.75" customHeight="1">
      <c r="A734" s="8"/>
      <c r="B734" s="8"/>
      <c r="C734" s="8"/>
      <c r="D734" s="8"/>
      <c r="E734" s="8"/>
      <c r="F734" s="8"/>
      <c r="G734" s="8"/>
      <c r="H734" s="8"/>
      <c r="I734" s="8"/>
      <c r="J734" s="8"/>
      <c r="K734" s="8"/>
    </row>
    <row r="735" ht="15.75" customHeight="1">
      <c r="A735" s="8"/>
      <c r="B735" s="8"/>
      <c r="C735" s="8"/>
      <c r="D735" s="8"/>
      <c r="E735" s="8"/>
      <c r="F735" s="8"/>
      <c r="G735" s="8"/>
      <c r="H735" s="8"/>
      <c r="I735" s="8"/>
      <c r="J735" s="8"/>
      <c r="K735" s="8"/>
    </row>
    <row r="736" ht="15.75" customHeight="1">
      <c r="A736" s="8"/>
      <c r="B736" s="8"/>
      <c r="C736" s="8"/>
      <c r="D736" s="8"/>
      <c r="E736" s="8"/>
      <c r="F736" s="8"/>
      <c r="G736" s="8"/>
      <c r="H736" s="8"/>
      <c r="I736" s="8"/>
      <c r="J736" s="8"/>
      <c r="K736" s="8"/>
    </row>
    <row r="737" ht="15.75" customHeight="1">
      <c r="A737" s="8"/>
      <c r="B737" s="8"/>
      <c r="C737" s="8"/>
      <c r="D737" s="8"/>
      <c r="E737" s="8"/>
      <c r="F737" s="8"/>
      <c r="G737" s="8"/>
      <c r="H737" s="8"/>
      <c r="I737" s="8"/>
      <c r="J737" s="8"/>
      <c r="K737" s="8"/>
    </row>
    <row r="738" ht="15.75" customHeight="1">
      <c r="A738" s="8"/>
      <c r="B738" s="8"/>
      <c r="C738" s="8"/>
      <c r="D738" s="8"/>
      <c r="E738" s="8"/>
      <c r="F738" s="8"/>
      <c r="G738" s="8"/>
      <c r="H738" s="8"/>
      <c r="I738" s="8"/>
      <c r="J738" s="8"/>
      <c r="K738" s="8"/>
    </row>
    <row r="739" ht="15.75" customHeight="1">
      <c r="A739" s="8"/>
      <c r="B739" s="8"/>
      <c r="C739" s="8"/>
      <c r="D739" s="8"/>
      <c r="E739" s="8"/>
      <c r="F739" s="8"/>
      <c r="G739" s="8"/>
      <c r="H739" s="8"/>
      <c r="I739" s="8"/>
      <c r="J739" s="8"/>
      <c r="K739" s="8"/>
    </row>
    <row r="740" ht="15.75" customHeight="1">
      <c r="A740" s="8"/>
      <c r="B740" s="8"/>
      <c r="C740" s="8"/>
      <c r="D740" s="8"/>
      <c r="E740" s="8"/>
      <c r="F740" s="8"/>
      <c r="G740" s="8"/>
      <c r="H740" s="8"/>
      <c r="I740" s="8"/>
      <c r="J740" s="8"/>
      <c r="K740" s="8"/>
    </row>
    <row r="741" ht="15.75" customHeight="1">
      <c r="A741" s="8"/>
      <c r="B741" s="8"/>
      <c r="C741" s="8"/>
      <c r="D741" s="8"/>
      <c r="E741" s="8"/>
      <c r="F741" s="8"/>
      <c r="G741" s="8"/>
      <c r="H741" s="8"/>
      <c r="I741" s="8"/>
      <c r="J741" s="8"/>
      <c r="K741" s="8"/>
    </row>
    <row r="742" ht="15.75" customHeight="1">
      <c r="A742" s="8"/>
      <c r="B742" s="8"/>
      <c r="C742" s="8"/>
      <c r="D742" s="8"/>
      <c r="E742" s="8"/>
      <c r="F742" s="8"/>
      <c r="G742" s="8"/>
      <c r="H742" s="8"/>
      <c r="I742" s="8"/>
      <c r="J742" s="8"/>
      <c r="K742" s="8"/>
    </row>
    <row r="743" ht="15.75" customHeight="1">
      <c r="A743" s="8"/>
      <c r="B743" s="8"/>
      <c r="C743" s="8"/>
      <c r="D743" s="8"/>
      <c r="E743" s="8"/>
      <c r="F743" s="8"/>
      <c r="G743" s="8"/>
      <c r="H743" s="8"/>
      <c r="I743" s="8"/>
      <c r="J743" s="8"/>
      <c r="K743" s="8"/>
    </row>
    <row r="744" ht="15.75" customHeight="1">
      <c r="A744" s="8"/>
      <c r="B744" s="8"/>
      <c r="C744" s="8"/>
      <c r="D744" s="8"/>
      <c r="E744" s="8"/>
      <c r="F744" s="8"/>
      <c r="G744" s="8"/>
      <c r="H744" s="8"/>
      <c r="I744" s="8"/>
      <c r="J744" s="8"/>
      <c r="K744" s="8"/>
    </row>
    <row r="745" ht="15.75" customHeight="1">
      <c r="A745" s="8"/>
      <c r="B745" s="8"/>
      <c r="C745" s="8"/>
      <c r="D745" s="8"/>
      <c r="E745" s="8"/>
      <c r="F745" s="8"/>
      <c r="G745" s="8"/>
      <c r="H745" s="8"/>
      <c r="I745" s="8"/>
      <c r="J745" s="8"/>
      <c r="K745" s="8"/>
    </row>
    <row r="746" ht="15.75" customHeight="1">
      <c r="A746" s="8"/>
      <c r="B746" s="8"/>
      <c r="C746" s="8"/>
      <c r="D746" s="8"/>
      <c r="E746" s="8"/>
      <c r="F746" s="8"/>
      <c r="G746" s="8"/>
      <c r="H746" s="8"/>
      <c r="I746" s="8"/>
      <c r="J746" s="8"/>
      <c r="K746" s="8"/>
    </row>
    <row r="747" ht="15.75" customHeight="1">
      <c r="A747" s="8"/>
      <c r="B747" s="8"/>
      <c r="C747" s="8"/>
      <c r="D747" s="8"/>
      <c r="E747" s="8"/>
      <c r="F747" s="8"/>
      <c r="G747" s="8"/>
      <c r="H747" s="8"/>
      <c r="I747" s="8"/>
      <c r="J747" s="8"/>
      <c r="K747" s="8"/>
    </row>
    <row r="748" ht="15.75" customHeight="1">
      <c r="A748" s="8"/>
      <c r="B748" s="8"/>
      <c r="C748" s="8"/>
      <c r="D748" s="8"/>
      <c r="E748" s="8"/>
      <c r="F748" s="8"/>
      <c r="G748" s="8"/>
      <c r="H748" s="8"/>
      <c r="I748" s="8"/>
      <c r="J748" s="8"/>
      <c r="K748" s="8"/>
    </row>
    <row r="749" ht="15.75" customHeight="1">
      <c r="A749" s="8"/>
      <c r="B749" s="8"/>
      <c r="C749" s="8"/>
      <c r="D749" s="8"/>
      <c r="E749" s="8"/>
      <c r="F749" s="8"/>
      <c r="G749" s="8"/>
      <c r="H749" s="8"/>
      <c r="I749" s="8"/>
      <c r="J749" s="8"/>
      <c r="K749" s="8"/>
    </row>
    <row r="750" ht="15.75" customHeight="1">
      <c r="A750" s="8"/>
      <c r="B750" s="8"/>
      <c r="C750" s="8"/>
      <c r="D750" s="8"/>
      <c r="E750" s="8"/>
      <c r="F750" s="8"/>
      <c r="G750" s="8"/>
      <c r="H750" s="8"/>
      <c r="I750" s="8"/>
      <c r="J750" s="8"/>
      <c r="K750" s="8"/>
    </row>
    <row r="751" ht="15.75" customHeight="1">
      <c r="A751" s="8"/>
      <c r="B751" s="8"/>
      <c r="C751" s="8"/>
      <c r="D751" s="8"/>
      <c r="E751" s="8"/>
      <c r="F751" s="8"/>
      <c r="G751" s="8"/>
      <c r="H751" s="8"/>
      <c r="I751" s="8"/>
      <c r="J751" s="8"/>
      <c r="K751" s="8"/>
    </row>
    <row r="752" ht="15.75" customHeight="1">
      <c r="A752" s="8"/>
      <c r="B752" s="8"/>
      <c r="C752" s="8"/>
      <c r="D752" s="8"/>
      <c r="E752" s="8"/>
      <c r="F752" s="8"/>
      <c r="G752" s="8"/>
      <c r="H752" s="8"/>
      <c r="I752" s="8"/>
      <c r="J752" s="8"/>
      <c r="K752" s="8"/>
    </row>
    <row r="753" ht="15.75" customHeight="1">
      <c r="A753" s="8"/>
      <c r="B753" s="8"/>
      <c r="C753" s="8"/>
      <c r="D753" s="8"/>
      <c r="E753" s="8"/>
      <c r="F753" s="8"/>
      <c r="G753" s="8"/>
      <c r="H753" s="8"/>
      <c r="I753" s="8"/>
      <c r="J753" s="8"/>
      <c r="K753" s="8"/>
    </row>
    <row r="754" ht="15.75" customHeight="1">
      <c r="A754" s="8"/>
      <c r="B754" s="8"/>
      <c r="C754" s="8"/>
      <c r="D754" s="8"/>
      <c r="E754" s="8"/>
      <c r="F754" s="8"/>
      <c r="G754" s="8"/>
      <c r="H754" s="8"/>
      <c r="I754" s="8"/>
      <c r="J754" s="8"/>
      <c r="K754" s="8"/>
    </row>
    <row r="755" ht="15.75" customHeight="1">
      <c r="A755" s="8"/>
      <c r="B755" s="8"/>
      <c r="C755" s="8"/>
      <c r="D755" s="8"/>
      <c r="E755" s="8"/>
      <c r="F755" s="8"/>
      <c r="G755" s="8"/>
      <c r="H755" s="8"/>
      <c r="I755" s="8"/>
      <c r="J755" s="8"/>
      <c r="K755" s="8"/>
    </row>
    <row r="756" ht="15.75" customHeight="1">
      <c r="A756" s="8"/>
      <c r="B756" s="8"/>
      <c r="C756" s="8"/>
      <c r="D756" s="8"/>
      <c r="E756" s="8"/>
      <c r="F756" s="8"/>
      <c r="G756" s="8"/>
      <c r="H756" s="8"/>
      <c r="I756" s="8"/>
      <c r="J756" s="8"/>
      <c r="K756" s="8"/>
    </row>
    <row r="757" ht="15.75" customHeight="1">
      <c r="A757" s="8"/>
      <c r="B757" s="8"/>
      <c r="C757" s="8"/>
      <c r="D757" s="8"/>
      <c r="E757" s="8"/>
      <c r="F757" s="8"/>
      <c r="G757" s="8"/>
      <c r="H757" s="8"/>
      <c r="I757" s="8"/>
      <c r="J757" s="8"/>
      <c r="K757" s="8"/>
    </row>
    <row r="758" ht="15.75" customHeight="1">
      <c r="A758" s="8"/>
      <c r="B758" s="8"/>
      <c r="C758" s="8"/>
      <c r="D758" s="8"/>
      <c r="E758" s="8"/>
      <c r="F758" s="8"/>
      <c r="G758" s="8"/>
      <c r="H758" s="8"/>
      <c r="I758" s="8"/>
      <c r="J758" s="8"/>
      <c r="K758" s="8"/>
    </row>
    <row r="759" ht="15.75" customHeight="1">
      <c r="A759" s="8"/>
      <c r="B759" s="8"/>
      <c r="C759" s="8"/>
      <c r="D759" s="8"/>
      <c r="E759" s="8"/>
      <c r="F759" s="8"/>
      <c r="G759" s="8"/>
      <c r="H759" s="8"/>
      <c r="I759" s="8"/>
      <c r="J759" s="8"/>
      <c r="K759" s="8"/>
    </row>
    <row r="760" ht="15.75" customHeight="1">
      <c r="A760" s="8"/>
      <c r="B760" s="8"/>
      <c r="C760" s="8"/>
      <c r="D760" s="8"/>
      <c r="E760" s="8"/>
      <c r="F760" s="8"/>
      <c r="G760" s="8"/>
      <c r="H760" s="8"/>
      <c r="I760" s="8"/>
      <c r="J760" s="8"/>
      <c r="K760" s="8"/>
    </row>
    <row r="761" ht="15.75" customHeight="1">
      <c r="A761" s="8"/>
      <c r="B761" s="8"/>
      <c r="C761" s="8"/>
      <c r="D761" s="8"/>
      <c r="E761" s="8"/>
      <c r="F761" s="8"/>
      <c r="G761" s="8"/>
      <c r="H761" s="8"/>
      <c r="I761" s="8"/>
      <c r="J761" s="8"/>
      <c r="K761" s="8"/>
    </row>
    <row r="762" ht="15.75" customHeight="1">
      <c r="A762" s="8"/>
      <c r="B762" s="8"/>
      <c r="C762" s="8"/>
      <c r="D762" s="8"/>
      <c r="E762" s="8"/>
      <c r="F762" s="8"/>
      <c r="G762" s="8"/>
      <c r="H762" s="8"/>
      <c r="I762" s="8"/>
      <c r="J762" s="8"/>
      <c r="K762" s="8"/>
    </row>
    <row r="763" ht="15.75" customHeight="1">
      <c r="A763" s="8"/>
      <c r="B763" s="8"/>
      <c r="C763" s="8"/>
      <c r="D763" s="8"/>
      <c r="E763" s="8"/>
      <c r="F763" s="8"/>
      <c r="G763" s="8"/>
      <c r="H763" s="8"/>
      <c r="I763" s="8"/>
      <c r="J763" s="8"/>
      <c r="K763" s="8"/>
    </row>
    <row r="764" ht="15.75" customHeight="1">
      <c r="A764" s="8"/>
      <c r="B764" s="8"/>
      <c r="C764" s="8"/>
      <c r="D764" s="8"/>
      <c r="E764" s="8"/>
      <c r="F764" s="8"/>
      <c r="G764" s="8"/>
      <c r="H764" s="8"/>
      <c r="I764" s="8"/>
      <c r="J764" s="8"/>
      <c r="K764" s="8"/>
    </row>
    <row r="765" ht="15.75" customHeight="1">
      <c r="A765" s="8"/>
      <c r="B765" s="8"/>
      <c r="C765" s="8"/>
      <c r="D765" s="8"/>
      <c r="E765" s="8"/>
      <c r="F765" s="8"/>
      <c r="G765" s="8"/>
      <c r="H765" s="8"/>
      <c r="I765" s="8"/>
      <c r="J765" s="8"/>
      <c r="K765" s="8"/>
    </row>
    <row r="766" ht="15.75" customHeight="1">
      <c r="A766" s="8"/>
      <c r="B766" s="8"/>
      <c r="C766" s="8"/>
      <c r="D766" s="8"/>
      <c r="E766" s="8"/>
      <c r="F766" s="8"/>
      <c r="G766" s="8"/>
      <c r="H766" s="8"/>
      <c r="I766" s="8"/>
      <c r="J766" s="8"/>
      <c r="K766" s="8"/>
    </row>
    <row r="767" ht="15.75" customHeight="1">
      <c r="A767" s="8"/>
      <c r="B767" s="8"/>
      <c r="C767" s="8"/>
      <c r="D767" s="8"/>
      <c r="E767" s="8"/>
      <c r="F767" s="8"/>
      <c r="G767" s="8"/>
      <c r="H767" s="8"/>
      <c r="I767" s="8"/>
      <c r="J767" s="8"/>
      <c r="K767" s="8"/>
    </row>
    <row r="768" ht="15.75" customHeight="1">
      <c r="A768" s="8"/>
      <c r="B768" s="8"/>
      <c r="C768" s="8"/>
      <c r="D768" s="8"/>
      <c r="E768" s="8"/>
      <c r="F768" s="8"/>
      <c r="G768" s="8"/>
      <c r="H768" s="8"/>
      <c r="I768" s="8"/>
      <c r="J768" s="8"/>
      <c r="K768" s="8"/>
    </row>
    <row r="769" ht="15.75" customHeight="1">
      <c r="A769" s="8"/>
      <c r="B769" s="8"/>
      <c r="C769" s="8"/>
      <c r="D769" s="8"/>
      <c r="E769" s="8"/>
      <c r="F769" s="8"/>
      <c r="G769" s="8"/>
      <c r="H769" s="8"/>
      <c r="I769" s="8"/>
      <c r="J769" s="8"/>
      <c r="K769" s="8"/>
    </row>
    <row r="770" ht="15.75" customHeight="1">
      <c r="A770" s="8"/>
      <c r="B770" s="8"/>
      <c r="C770" s="8"/>
      <c r="D770" s="8"/>
      <c r="E770" s="8"/>
      <c r="F770" s="8"/>
      <c r="G770" s="8"/>
      <c r="H770" s="8"/>
      <c r="I770" s="8"/>
      <c r="J770" s="8"/>
      <c r="K770" s="8"/>
    </row>
    <row r="771" ht="15.75" customHeight="1">
      <c r="A771" s="8"/>
      <c r="B771" s="8"/>
      <c r="C771" s="8"/>
      <c r="D771" s="8"/>
      <c r="E771" s="8"/>
      <c r="F771" s="8"/>
      <c r="G771" s="8"/>
      <c r="H771" s="8"/>
      <c r="I771" s="8"/>
      <c r="J771" s="8"/>
      <c r="K771" s="8"/>
    </row>
    <row r="772" ht="15.75" customHeight="1">
      <c r="A772" s="8"/>
      <c r="B772" s="8"/>
      <c r="C772" s="8"/>
      <c r="D772" s="8"/>
      <c r="E772" s="8"/>
      <c r="F772" s="8"/>
      <c r="G772" s="8"/>
      <c r="H772" s="8"/>
      <c r="I772" s="8"/>
      <c r="J772" s="8"/>
      <c r="K772" s="8"/>
    </row>
    <row r="773" ht="15.75" customHeight="1">
      <c r="A773" s="8"/>
      <c r="B773" s="8"/>
      <c r="C773" s="8"/>
      <c r="D773" s="8"/>
      <c r="E773" s="8"/>
      <c r="F773" s="8"/>
      <c r="G773" s="8"/>
      <c r="H773" s="8"/>
      <c r="I773" s="8"/>
      <c r="J773" s="8"/>
      <c r="K773" s="8"/>
    </row>
    <row r="774" ht="15.75" customHeight="1">
      <c r="A774" s="8"/>
      <c r="B774" s="8"/>
      <c r="C774" s="8"/>
      <c r="D774" s="8"/>
      <c r="E774" s="8"/>
      <c r="F774" s="8"/>
      <c r="G774" s="8"/>
      <c r="H774" s="8"/>
      <c r="I774" s="8"/>
      <c r="J774" s="8"/>
      <c r="K774" s="8"/>
    </row>
    <row r="775" ht="15.75" customHeight="1">
      <c r="A775" s="8"/>
      <c r="B775" s="8"/>
      <c r="C775" s="8"/>
      <c r="D775" s="8"/>
      <c r="E775" s="8"/>
      <c r="F775" s="8"/>
      <c r="G775" s="8"/>
      <c r="H775" s="8"/>
      <c r="I775" s="8"/>
      <c r="J775" s="8"/>
      <c r="K775" s="8"/>
    </row>
    <row r="776" ht="15.75" customHeight="1">
      <c r="A776" s="8"/>
      <c r="B776" s="8"/>
      <c r="C776" s="8"/>
      <c r="D776" s="8"/>
      <c r="E776" s="8"/>
      <c r="F776" s="8"/>
      <c r="G776" s="8"/>
      <c r="H776" s="8"/>
      <c r="I776" s="8"/>
      <c r="J776" s="8"/>
      <c r="K776" s="8"/>
    </row>
    <row r="777" ht="15.75" customHeight="1">
      <c r="A777" s="8"/>
      <c r="B777" s="8"/>
      <c r="C777" s="8"/>
      <c r="D777" s="8"/>
      <c r="E777" s="8"/>
      <c r="F777" s="8"/>
      <c r="G777" s="8"/>
      <c r="H777" s="8"/>
      <c r="I777" s="8"/>
      <c r="J777" s="8"/>
      <c r="K777" s="8"/>
    </row>
    <row r="778" ht="15.75" customHeight="1">
      <c r="A778" s="8"/>
      <c r="B778" s="8"/>
      <c r="C778" s="8"/>
      <c r="D778" s="8"/>
      <c r="E778" s="8"/>
      <c r="F778" s="8"/>
      <c r="G778" s="8"/>
      <c r="H778" s="8"/>
      <c r="I778" s="8"/>
      <c r="J778" s="8"/>
      <c r="K778" s="8"/>
    </row>
    <row r="779" ht="15.75" customHeight="1">
      <c r="A779" s="8"/>
      <c r="B779" s="8"/>
      <c r="C779" s="8"/>
      <c r="D779" s="8"/>
      <c r="E779" s="8"/>
      <c r="F779" s="8"/>
      <c r="G779" s="8"/>
      <c r="H779" s="8"/>
      <c r="I779" s="8"/>
      <c r="J779" s="8"/>
      <c r="K779" s="8"/>
    </row>
    <row r="780" ht="15.75" customHeight="1">
      <c r="A780" s="8"/>
      <c r="B780" s="8"/>
      <c r="C780" s="8"/>
      <c r="D780" s="8"/>
      <c r="E780" s="8"/>
      <c r="F780" s="8"/>
      <c r="G780" s="8"/>
      <c r="H780" s="8"/>
      <c r="I780" s="8"/>
      <c r="J780" s="8"/>
      <c r="K780" s="8"/>
    </row>
    <row r="781" ht="15.75" customHeight="1">
      <c r="A781" s="8"/>
      <c r="B781" s="8"/>
      <c r="C781" s="8"/>
      <c r="D781" s="8"/>
      <c r="E781" s="8"/>
      <c r="F781" s="8"/>
      <c r="G781" s="8"/>
      <c r="H781" s="8"/>
      <c r="I781" s="8"/>
      <c r="J781" s="8"/>
      <c r="K781" s="8"/>
    </row>
    <row r="782" ht="15.75" customHeight="1">
      <c r="A782" s="8"/>
      <c r="B782" s="8"/>
      <c r="C782" s="8"/>
      <c r="D782" s="8"/>
      <c r="E782" s="8"/>
      <c r="F782" s="8"/>
      <c r="G782" s="8"/>
      <c r="H782" s="8"/>
      <c r="I782" s="8"/>
      <c r="J782" s="8"/>
      <c r="K782" s="8"/>
    </row>
    <row r="783" ht="15.75" customHeight="1">
      <c r="A783" s="8"/>
      <c r="B783" s="8"/>
      <c r="C783" s="8"/>
      <c r="D783" s="8"/>
      <c r="E783" s="8"/>
      <c r="F783" s="8"/>
      <c r="G783" s="8"/>
      <c r="H783" s="8"/>
      <c r="I783" s="8"/>
      <c r="J783" s="8"/>
      <c r="K783" s="8"/>
    </row>
    <row r="784" ht="15.75" customHeight="1">
      <c r="A784" s="8"/>
      <c r="B784" s="8"/>
      <c r="C784" s="8"/>
      <c r="D784" s="8"/>
      <c r="E784" s="8"/>
      <c r="F784" s="8"/>
      <c r="G784" s="8"/>
      <c r="H784" s="8"/>
      <c r="I784" s="8"/>
      <c r="J784" s="8"/>
      <c r="K784" s="8"/>
    </row>
    <row r="785" ht="15.75" customHeight="1">
      <c r="A785" s="8"/>
      <c r="B785" s="8"/>
      <c r="C785" s="8"/>
      <c r="D785" s="8"/>
      <c r="E785" s="8"/>
      <c r="F785" s="8"/>
      <c r="G785" s="8"/>
      <c r="H785" s="8"/>
      <c r="I785" s="8"/>
      <c r="J785" s="8"/>
      <c r="K785" s="8"/>
    </row>
    <row r="786" ht="15.75" customHeight="1">
      <c r="A786" s="8"/>
      <c r="B786" s="8"/>
      <c r="C786" s="8"/>
      <c r="D786" s="8"/>
      <c r="E786" s="8"/>
      <c r="F786" s="8"/>
      <c r="G786" s="8"/>
      <c r="H786" s="8"/>
      <c r="I786" s="8"/>
      <c r="J786" s="8"/>
      <c r="K786" s="8"/>
    </row>
    <row r="787" ht="15.75" customHeight="1">
      <c r="A787" s="8"/>
      <c r="B787" s="8"/>
      <c r="C787" s="8"/>
      <c r="D787" s="8"/>
      <c r="E787" s="8"/>
      <c r="F787" s="8"/>
      <c r="G787" s="8"/>
      <c r="H787" s="8"/>
      <c r="I787" s="8"/>
      <c r="J787" s="8"/>
      <c r="K787" s="8"/>
    </row>
    <row r="788" ht="15.75" customHeight="1">
      <c r="A788" s="8"/>
      <c r="B788" s="8"/>
      <c r="C788" s="8"/>
      <c r="D788" s="8"/>
      <c r="E788" s="8"/>
      <c r="F788" s="8"/>
      <c r="G788" s="8"/>
      <c r="H788" s="8"/>
      <c r="I788" s="8"/>
      <c r="J788" s="8"/>
      <c r="K788" s="8"/>
    </row>
    <row r="789" ht="15.75" customHeight="1">
      <c r="A789" s="8"/>
      <c r="B789" s="8"/>
      <c r="C789" s="8"/>
      <c r="D789" s="8"/>
      <c r="E789" s="8"/>
      <c r="F789" s="8"/>
      <c r="G789" s="8"/>
      <c r="H789" s="8"/>
      <c r="I789" s="8"/>
      <c r="J789" s="8"/>
      <c r="K789" s="8"/>
    </row>
    <row r="790" ht="15.75" customHeight="1">
      <c r="A790" s="8"/>
      <c r="B790" s="8"/>
      <c r="C790" s="8"/>
      <c r="D790" s="8"/>
      <c r="E790" s="8"/>
      <c r="F790" s="8"/>
      <c r="G790" s="8"/>
      <c r="H790" s="8"/>
      <c r="I790" s="8"/>
      <c r="J790" s="8"/>
      <c r="K790" s="8"/>
    </row>
    <row r="791" ht="15.75" customHeight="1">
      <c r="A791" s="8"/>
      <c r="B791" s="8"/>
      <c r="C791" s="8"/>
      <c r="D791" s="8"/>
      <c r="E791" s="8"/>
      <c r="F791" s="8"/>
      <c r="G791" s="8"/>
      <c r="H791" s="8"/>
      <c r="I791" s="8"/>
      <c r="J791" s="8"/>
      <c r="K791" s="8"/>
    </row>
    <row r="792" ht="15.75" customHeight="1">
      <c r="A792" s="8"/>
      <c r="B792" s="8"/>
      <c r="C792" s="8"/>
      <c r="D792" s="8"/>
      <c r="E792" s="8"/>
      <c r="F792" s="8"/>
      <c r="G792" s="8"/>
      <c r="H792" s="8"/>
      <c r="I792" s="8"/>
      <c r="J792" s="8"/>
      <c r="K792" s="8"/>
    </row>
    <row r="793" ht="15.75" customHeight="1">
      <c r="A793" s="8"/>
      <c r="B793" s="8"/>
      <c r="C793" s="8"/>
      <c r="D793" s="8"/>
      <c r="E793" s="8"/>
      <c r="F793" s="8"/>
      <c r="G793" s="8"/>
      <c r="H793" s="8"/>
      <c r="I793" s="8"/>
      <c r="J793" s="8"/>
      <c r="K793" s="8"/>
    </row>
    <row r="794" ht="15.75" customHeight="1">
      <c r="A794" s="8"/>
      <c r="B794" s="8"/>
      <c r="C794" s="8"/>
      <c r="D794" s="8"/>
      <c r="E794" s="8"/>
      <c r="F794" s="8"/>
      <c r="G794" s="8"/>
      <c r="H794" s="8"/>
      <c r="I794" s="8"/>
      <c r="J794" s="8"/>
      <c r="K794" s="8"/>
    </row>
    <row r="795" ht="15.75" customHeight="1">
      <c r="A795" s="8"/>
      <c r="B795" s="8"/>
      <c r="C795" s="8"/>
      <c r="D795" s="8"/>
      <c r="E795" s="8"/>
      <c r="F795" s="8"/>
      <c r="G795" s="8"/>
      <c r="H795" s="8"/>
      <c r="I795" s="8"/>
      <c r="J795" s="8"/>
      <c r="K795" s="8"/>
    </row>
    <row r="796" ht="15.75" customHeight="1">
      <c r="A796" s="8"/>
      <c r="B796" s="8"/>
      <c r="C796" s="8"/>
      <c r="D796" s="8"/>
      <c r="E796" s="8"/>
      <c r="F796" s="8"/>
      <c r="G796" s="8"/>
      <c r="H796" s="8"/>
      <c r="I796" s="8"/>
      <c r="J796" s="8"/>
      <c r="K796" s="8"/>
    </row>
    <row r="797" ht="15.75" customHeight="1">
      <c r="A797" s="8"/>
      <c r="B797" s="8"/>
      <c r="C797" s="8"/>
      <c r="D797" s="8"/>
      <c r="E797" s="8"/>
      <c r="F797" s="8"/>
      <c r="G797" s="8"/>
      <c r="H797" s="8"/>
      <c r="I797" s="8"/>
      <c r="J797" s="8"/>
      <c r="K797" s="8"/>
    </row>
    <row r="798" ht="15.75" customHeight="1">
      <c r="A798" s="8"/>
      <c r="B798" s="8"/>
      <c r="C798" s="8"/>
      <c r="D798" s="8"/>
      <c r="E798" s="8"/>
      <c r="F798" s="8"/>
      <c r="G798" s="8"/>
      <c r="H798" s="8"/>
      <c r="I798" s="8"/>
      <c r="J798" s="8"/>
      <c r="K798" s="8"/>
    </row>
    <row r="799" ht="15.75" customHeight="1">
      <c r="A799" s="8"/>
      <c r="B799" s="8"/>
      <c r="C799" s="8"/>
      <c r="D799" s="8"/>
      <c r="E799" s="8"/>
      <c r="F799" s="8"/>
      <c r="G799" s="8"/>
      <c r="H799" s="8"/>
      <c r="I799" s="8"/>
      <c r="J799" s="8"/>
      <c r="K799" s="8"/>
    </row>
    <row r="800" ht="15.75" customHeight="1">
      <c r="A800" s="8"/>
      <c r="B800" s="8"/>
      <c r="C800" s="8"/>
      <c r="D800" s="8"/>
      <c r="E800" s="8"/>
      <c r="F800" s="8"/>
      <c r="G800" s="8"/>
      <c r="H800" s="8"/>
      <c r="I800" s="8"/>
      <c r="J800" s="8"/>
      <c r="K800" s="8"/>
    </row>
    <row r="801" ht="15.75" customHeight="1">
      <c r="A801" s="8"/>
      <c r="B801" s="8"/>
      <c r="C801" s="8"/>
      <c r="D801" s="8"/>
      <c r="E801" s="8"/>
      <c r="F801" s="8"/>
      <c r="G801" s="8"/>
      <c r="H801" s="8"/>
      <c r="I801" s="8"/>
      <c r="J801" s="8"/>
      <c r="K801" s="8"/>
    </row>
    <row r="802" ht="15.75" customHeight="1">
      <c r="A802" s="8"/>
      <c r="B802" s="8"/>
      <c r="C802" s="8"/>
      <c r="D802" s="8"/>
      <c r="E802" s="8"/>
      <c r="F802" s="8"/>
      <c r="G802" s="8"/>
      <c r="H802" s="8"/>
      <c r="I802" s="8"/>
      <c r="J802" s="8"/>
      <c r="K802" s="8"/>
    </row>
    <row r="803" ht="15.75" customHeight="1">
      <c r="A803" s="8"/>
      <c r="B803" s="8"/>
      <c r="C803" s="8"/>
      <c r="D803" s="8"/>
      <c r="E803" s="8"/>
      <c r="F803" s="8"/>
      <c r="G803" s="8"/>
      <c r="H803" s="8"/>
      <c r="I803" s="8"/>
      <c r="J803" s="8"/>
      <c r="K803" s="8"/>
    </row>
    <row r="804" ht="15.75" customHeight="1">
      <c r="A804" s="8"/>
      <c r="B804" s="8"/>
      <c r="C804" s="8"/>
      <c r="D804" s="8"/>
      <c r="E804" s="8"/>
      <c r="F804" s="8"/>
      <c r="G804" s="8"/>
      <c r="H804" s="8"/>
      <c r="I804" s="8"/>
      <c r="J804" s="8"/>
      <c r="K804" s="8"/>
    </row>
    <row r="805" ht="15.75" customHeight="1">
      <c r="A805" s="8"/>
      <c r="B805" s="8"/>
      <c r="C805" s="8"/>
      <c r="D805" s="8"/>
      <c r="E805" s="8"/>
      <c r="F805" s="8"/>
      <c r="G805" s="8"/>
      <c r="H805" s="8"/>
      <c r="I805" s="8"/>
      <c r="J805" s="8"/>
      <c r="K805" s="8"/>
    </row>
    <row r="806" ht="15.75" customHeight="1">
      <c r="A806" s="8"/>
      <c r="B806" s="8"/>
      <c r="C806" s="8"/>
      <c r="D806" s="8"/>
      <c r="E806" s="8"/>
      <c r="F806" s="8"/>
      <c r="G806" s="8"/>
      <c r="H806" s="8"/>
      <c r="I806" s="8"/>
      <c r="J806" s="8"/>
      <c r="K806" s="8"/>
    </row>
    <row r="807" ht="15.75" customHeight="1">
      <c r="A807" s="8"/>
      <c r="B807" s="8"/>
      <c r="C807" s="8"/>
      <c r="D807" s="8"/>
      <c r="E807" s="8"/>
      <c r="F807" s="8"/>
      <c r="G807" s="8"/>
      <c r="H807" s="8"/>
      <c r="I807" s="8"/>
      <c r="J807" s="8"/>
      <c r="K807" s="8"/>
    </row>
    <row r="808" ht="15.75" customHeight="1">
      <c r="A808" s="8"/>
      <c r="B808" s="8"/>
      <c r="C808" s="8"/>
      <c r="D808" s="8"/>
      <c r="E808" s="8"/>
      <c r="F808" s="8"/>
      <c r="G808" s="8"/>
      <c r="H808" s="8"/>
      <c r="I808" s="8"/>
      <c r="J808" s="8"/>
      <c r="K808" s="8"/>
    </row>
    <row r="809" ht="15.75" customHeight="1">
      <c r="A809" s="8"/>
      <c r="B809" s="8"/>
      <c r="C809" s="8"/>
      <c r="D809" s="8"/>
      <c r="E809" s="8"/>
      <c r="F809" s="8"/>
      <c r="G809" s="8"/>
      <c r="H809" s="8"/>
      <c r="I809" s="8"/>
      <c r="J809" s="8"/>
      <c r="K809" s="8"/>
    </row>
    <row r="810" ht="15.75" customHeight="1">
      <c r="A810" s="8"/>
      <c r="B810" s="8"/>
      <c r="C810" s="8"/>
      <c r="D810" s="8"/>
      <c r="E810" s="8"/>
      <c r="F810" s="8"/>
      <c r="G810" s="8"/>
      <c r="H810" s="8"/>
      <c r="I810" s="8"/>
      <c r="J810" s="8"/>
      <c r="K810" s="8"/>
    </row>
    <row r="811" ht="15.75" customHeight="1">
      <c r="A811" s="8"/>
      <c r="B811" s="8"/>
      <c r="C811" s="8"/>
      <c r="D811" s="8"/>
      <c r="E811" s="8"/>
      <c r="F811" s="8"/>
      <c r="G811" s="8"/>
      <c r="H811" s="8"/>
      <c r="I811" s="8"/>
      <c r="J811" s="8"/>
      <c r="K811" s="8"/>
    </row>
    <row r="812" ht="15.75" customHeight="1">
      <c r="A812" s="8"/>
      <c r="B812" s="8"/>
      <c r="C812" s="8"/>
      <c r="D812" s="8"/>
      <c r="E812" s="8"/>
      <c r="F812" s="8"/>
      <c r="G812" s="8"/>
      <c r="H812" s="8"/>
      <c r="I812" s="8"/>
      <c r="J812" s="8"/>
      <c r="K812" s="8"/>
    </row>
    <row r="813" ht="15.75" customHeight="1">
      <c r="A813" s="8"/>
      <c r="B813" s="8"/>
      <c r="C813" s="8"/>
      <c r="D813" s="8"/>
      <c r="E813" s="8"/>
      <c r="F813" s="8"/>
      <c r="G813" s="8"/>
      <c r="H813" s="8"/>
      <c r="I813" s="8"/>
      <c r="J813" s="8"/>
      <c r="K813" s="8"/>
    </row>
    <row r="814" ht="15.75" customHeight="1">
      <c r="A814" s="8"/>
      <c r="B814" s="8"/>
      <c r="C814" s="8"/>
      <c r="D814" s="8"/>
      <c r="E814" s="8"/>
      <c r="F814" s="8"/>
      <c r="G814" s="8"/>
      <c r="H814" s="8"/>
      <c r="I814" s="8"/>
      <c r="J814" s="8"/>
      <c r="K814" s="8"/>
    </row>
    <row r="815" ht="15.75" customHeight="1">
      <c r="A815" s="8"/>
      <c r="B815" s="8"/>
      <c r="C815" s="8"/>
      <c r="D815" s="8"/>
      <c r="E815" s="8"/>
      <c r="F815" s="8"/>
      <c r="G815" s="8"/>
      <c r="H815" s="8"/>
      <c r="I815" s="8"/>
      <c r="J815" s="8"/>
      <c r="K815" s="8"/>
    </row>
    <row r="816" ht="15.75" customHeight="1">
      <c r="A816" s="8"/>
      <c r="B816" s="8"/>
      <c r="C816" s="8"/>
      <c r="D816" s="8"/>
      <c r="E816" s="8"/>
      <c r="F816" s="8"/>
      <c r="G816" s="8"/>
      <c r="H816" s="8"/>
      <c r="I816" s="8"/>
      <c r="J816" s="8"/>
      <c r="K816" s="8"/>
    </row>
    <row r="817" ht="15.75" customHeight="1">
      <c r="A817" s="8"/>
      <c r="B817" s="8"/>
      <c r="C817" s="8"/>
      <c r="D817" s="8"/>
      <c r="E817" s="8"/>
      <c r="F817" s="8"/>
      <c r="G817" s="8"/>
      <c r="H817" s="8"/>
      <c r="I817" s="8"/>
      <c r="J817" s="8"/>
      <c r="K817" s="8"/>
    </row>
    <row r="818" ht="15.75" customHeight="1">
      <c r="A818" s="8"/>
      <c r="B818" s="8"/>
      <c r="C818" s="8"/>
      <c r="D818" s="8"/>
      <c r="E818" s="8"/>
      <c r="F818" s="8"/>
      <c r="G818" s="8"/>
      <c r="H818" s="8"/>
      <c r="I818" s="8"/>
      <c r="J818" s="8"/>
      <c r="K818" s="8"/>
    </row>
    <row r="819" ht="15.75" customHeight="1">
      <c r="A819" s="8"/>
      <c r="B819" s="8"/>
      <c r="C819" s="8"/>
      <c r="D819" s="8"/>
      <c r="E819" s="8"/>
      <c r="F819" s="8"/>
      <c r="G819" s="8"/>
      <c r="H819" s="8"/>
      <c r="I819" s="8"/>
      <c r="J819" s="8"/>
      <c r="K819" s="8"/>
    </row>
    <row r="820" ht="15.75" customHeight="1">
      <c r="A820" s="8"/>
      <c r="B820" s="8"/>
      <c r="C820" s="8"/>
      <c r="D820" s="8"/>
      <c r="E820" s="8"/>
      <c r="F820" s="8"/>
      <c r="G820" s="8"/>
      <c r="H820" s="8"/>
      <c r="I820" s="8"/>
      <c r="J820" s="8"/>
      <c r="K820" s="8"/>
    </row>
    <row r="821" ht="15.75" customHeight="1">
      <c r="A821" s="8"/>
      <c r="B821" s="8"/>
      <c r="C821" s="8"/>
      <c r="D821" s="8"/>
      <c r="E821" s="8"/>
      <c r="F821" s="8"/>
      <c r="G821" s="8"/>
      <c r="H821" s="8"/>
      <c r="I821" s="8"/>
      <c r="J821" s="8"/>
      <c r="K821" s="8"/>
    </row>
    <row r="822" ht="15.75" customHeight="1">
      <c r="A822" s="8"/>
      <c r="B822" s="8"/>
      <c r="C822" s="8"/>
      <c r="D822" s="8"/>
      <c r="E822" s="8"/>
      <c r="F822" s="8"/>
      <c r="G822" s="8"/>
      <c r="H822" s="8"/>
      <c r="I822" s="8"/>
      <c r="J822" s="8"/>
      <c r="K822" s="8"/>
    </row>
    <row r="823" ht="15.75" customHeight="1">
      <c r="A823" s="8"/>
      <c r="B823" s="8"/>
      <c r="C823" s="8"/>
      <c r="D823" s="8"/>
      <c r="E823" s="8"/>
      <c r="F823" s="8"/>
      <c r="G823" s="8"/>
      <c r="H823" s="8"/>
      <c r="I823" s="8"/>
      <c r="J823" s="8"/>
      <c r="K823" s="8"/>
    </row>
    <row r="824" ht="15.75" customHeight="1">
      <c r="A824" s="8"/>
      <c r="B824" s="8"/>
      <c r="C824" s="8"/>
      <c r="D824" s="8"/>
      <c r="E824" s="8"/>
      <c r="F824" s="8"/>
      <c r="G824" s="8"/>
      <c r="H824" s="8"/>
      <c r="I824" s="8"/>
      <c r="J824" s="8"/>
      <c r="K824" s="8"/>
    </row>
    <row r="825" ht="15.75" customHeight="1">
      <c r="A825" s="8"/>
      <c r="B825" s="8"/>
      <c r="C825" s="8"/>
      <c r="D825" s="8"/>
      <c r="E825" s="8"/>
      <c r="F825" s="8"/>
      <c r="G825" s="8"/>
      <c r="H825" s="8"/>
      <c r="I825" s="8"/>
      <c r="J825" s="8"/>
      <c r="K825" s="8"/>
    </row>
    <row r="826" ht="15.75" customHeight="1">
      <c r="A826" s="8"/>
      <c r="B826" s="8"/>
      <c r="C826" s="8"/>
      <c r="D826" s="8"/>
      <c r="E826" s="8"/>
      <c r="F826" s="8"/>
      <c r="G826" s="8"/>
      <c r="H826" s="8"/>
      <c r="I826" s="8"/>
      <c r="J826" s="8"/>
      <c r="K826" s="8"/>
    </row>
    <row r="827" ht="15.75" customHeight="1">
      <c r="A827" s="8"/>
      <c r="B827" s="8"/>
      <c r="C827" s="8"/>
      <c r="D827" s="8"/>
      <c r="E827" s="8"/>
      <c r="F827" s="8"/>
      <c r="G827" s="8"/>
      <c r="H827" s="8"/>
      <c r="I827" s="8"/>
      <c r="J827" s="8"/>
      <c r="K827" s="8"/>
    </row>
    <row r="828" ht="15.75" customHeight="1">
      <c r="A828" s="8"/>
      <c r="B828" s="8"/>
      <c r="C828" s="8"/>
      <c r="D828" s="8"/>
      <c r="E828" s="8"/>
      <c r="F828" s="8"/>
      <c r="G828" s="8"/>
      <c r="H828" s="8"/>
      <c r="I828" s="8"/>
      <c r="J828" s="8"/>
      <c r="K828" s="8"/>
    </row>
    <row r="829" ht="15.75" customHeight="1">
      <c r="A829" s="8"/>
      <c r="B829" s="8"/>
      <c r="C829" s="8"/>
      <c r="D829" s="8"/>
      <c r="E829" s="8"/>
      <c r="F829" s="8"/>
      <c r="G829" s="8"/>
      <c r="H829" s="8"/>
      <c r="I829" s="8"/>
      <c r="J829" s="8"/>
      <c r="K829" s="8"/>
    </row>
    <row r="830" ht="15.75" customHeight="1">
      <c r="A830" s="8"/>
      <c r="B830" s="8"/>
      <c r="C830" s="8"/>
      <c r="D830" s="8"/>
      <c r="E830" s="8"/>
      <c r="F830" s="8"/>
      <c r="G830" s="8"/>
      <c r="H830" s="8"/>
      <c r="I830" s="8"/>
      <c r="J830" s="8"/>
      <c r="K830" s="8"/>
    </row>
    <row r="831" ht="15.75" customHeight="1">
      <c r="A831" s="8"/>
      <c r="B831" s="8"/>
      <c r="C831" s="8"/>
      <c r="D831" s="8"/>
      <c r="E831" s="8"/>
      <c r="F831" s="8"/>
      <c r="G831" s="8"/>
      <c r="H831" s="8"/>
      <c r="I831" s="8"/>
      <c r="J831" s="8"/>
      <c r="K831" s="8"/>
    </row>
    <row r="832" ht="15.75" customHeight="1">
      <c r="A832" s="8"/>
      <c r="B832" s="8"/>
      <c r="C832" s="8"/>
      <c r="D832" s="8"/>
      <c r="E832" s="8"/>
      <c r="F832" s="8"/>
      <c r="G832" s="8"/>
      <c r="H832" s="8"/>
      <c r="I832" s="8"/>
      <c r="J832" s="8"/>
      <c r="K832" s="8"/>
    </row>
    <row r="833" ht="15.75" customHeight="1">
      <c r="A833" s="8"/>
      <c r="B833" s="8"/>
      <c r="C833" s="8"/>
      <c r="D833" s="8"/>
      <c r="E833" s="8"/>
      <c r="F833" s="8"/>
      <c r="G833" s="8"/>
      <c r="H833" s="8"/>
      <c r="I833" s="8"/>
      <c r="J833" s="8"/>
      <c r="K833" s="8"/>
    </row>
    <row r="834" ht="15.75" customHeight="1">
      <c r="A834" s="8"/>
      <c r="B834" s="8"/>
      <c r="C834" s="8"/>
      <c r="D834" s="8"/>
      <c r="E834" s="8"/>
      <c r="F834" s="8"/>
      <c r="G834" s="8"/>
      <c r="H834" s="8"/>
      <c r="I834" s="8"/>
      <c r="J834" s="8"/>
      <c r="K834" s="8"/>
    </row>
    <row r="835" ht="15.75" customHeight="1">
      <c r="A835" s="8"/>
      <c r="B835" s="8"/>
      <c r="C835" s="8"/>
      <c r="D835" s="8"/>
      <c r="E835" s="8"/>
      <c r="F835" s="8"/>
      <c r="G835" s="8"/>
      <c r="H835" s="8"/>
      <c r="I835" s="8"/>
      <c r="J835" s="8"/>
      <c r="K835" s="8"/>
    </row>
    <row r="836" ht="15.75" customHeight="1">
      <c r="A836" s="8"/>
      <c r="B836" s="8"/>
      <c r="C836" s="8"/>
      <c r="D836" s="8"/>
      <c r="E836" s="8"/>
      <c r="F836" s="8"/>
      <c r="G836" s="8"/>
      <c r="H836" s="8"/>
      <c r="I836" s="8"/>
      <c r="J836" s="8"/>
      <c r="K836" s="8"/>
    </row>
    <row r="837" ht="15.75" customHeight="1">
      <c r="A837" s="8"/>
      <c r="B837" s="8"/>
      <c r="C837" s="8"/>
      <c r="D837" s="8"/>
      <c r="E837" s="8"/>
      <c r="F837" s="8"/>
      <c r="G837" s="8"/>
      <c r="H837" s="8"/>
      <c r="I837" s="8"/>
      <c r="J837" s="8"/>
      <c r="K837" s="8"/>
    </row>
    <row r="838" ht="15.75" customHeight="1">
      <c r="A838" s="8"/>
      <c r="B838" s="8"/>
      <c r="C838" s="8"/>
      <c r="D838" s="8"/>
      <c r="E838" s="8"/>
      <c r="F838" s="8"/>
      <c r="G838" s="8"/>
      <c r="H838" s="8"/>
      <c r="I838" s="8"/>
      <c r="J838" s="8"/>
      <c r="K838" s="8"/>
    </row>
    <row r="839" ht="15.75" customHeight="1">
      <c r="A839" s="8"/>
      <c r="B839" s="8"/>
      <c r="C839" s="8"/>
      <c r="D839" s="8"/>
      <c r="E839" s="8"/>
      <c r="F839" s="8"/>
      <c r="G839" s="8"/>
      <c r="H839" s="8"/>
      <c r="I839" s="8"/>
      <c r="J839" s="8"/>
      <c r="K839" s="8"/>
    </row>
    <row r="840" ht="15.75" customHeight="1">
      <c r="A840" s="8"/>
      <c r="B840" s="8"/>
      <c r="C840" s="8"/>
      <c r="D840" s="8"/>
      <c r="E840" s="8"/>
      <c r="F840" s="8"/>
      <c r="G840" s="8"/>
      <c r="H840" s="8"/>
      <c r="I840" s="8"/>
      <c r="J840" s="8"/>
      <c r="K840" s="8"/>
    </row>
    <row r="841" ht="15.75" customHeight="1">
      <c r="A841" s="8"/>
      <c r="B841" s="8"/>
      <c r="C841" s="8"/>
      <c r="D841" s="8"/>
      <c r="E841" s="8"/>
      <c r="F841" s="8"/>
      <c r="G841" s="8"/>
      <c r="H841" s="8"/>
      <c r="I841" s="8"/>
      <c r="J841" s="8"/>
      <c r="K841" s="8"/>
    </row>
    <row r="842" ht="15.75" customHeight="1">
      <c r="A842" s="8"/>
      <c r="B842" s="8"/>
      <c r="C842" s="8"/>
      <c r="D842" s="8"/>
      <c r="E842" s="8"/>
      <c r="F842" s="8"/>
      <c r="G842" s="8"/>
      <c r="H842" s="8"/>
      <c r="I842" s="8"/>
      <c r="J842" s="8"/>
      <c r="K842" s="8"/>
    </row>
    <row r="843" ht="15.75" customHeight="1">
      <c r="A843" s="8"/>
      <c r="B843" s="8"/>
      <c r="C843" s="8"/>
      <c r="D843" s="8"/>
      <c r="E843" s="8"/>
      <c r="F843" s="8"/>
      <c r="G843" s="8"/>
      <c r="H843" s="8"/>
      <c r="I843" s="8"/>
      <c r="J843" s="8"/>
      <c r="K843" s="8"/>
    </row>
    <row r="844" ht="15.75" customHeight="1">
      <c r="A844" s="8"/>
      <c r="B844" s="8"/>
      <c r="C844" s="8"/>
      <c r="D844" s="8"/>
      <c r="E844" s="8"/>
      <c r="F844" s="8"/>
      <c r="G844" s="8"/>
      <c r="H844" s="8"/>
      <c r="I844" s="8"/>
      <c r="J844" s="8"/>
      <c r="K844" s="8"/>
    </row>
    <row r="845" ht="15.75" customHeight="1">
      <c r="A845" s="8"/>
      <c r="B845" s="8"/>
      <c r="C845" s="8"/>
      <c r="D845" s="8"/>
      <c r="E845" s="8"/>
      <c r="F845" s="8"/>
      <c r="G845" s="8"/>
      <c r="H845" s="8"/>
      <c r="I845" s="8"/>
      <c r="J845" s="8"/>
      <c r="K845" s="8"/>
    </row>
    <row r="846" ht="15.75" customHeight="1">
      <c r="A846" s="8"/>
      <c r="B846" s="8"/>
      <c r="C846" s="8"/>
      <c r="D846" s="8"/>
      <c r="E846" s="8"/>
      <c r="F846" s="8"/>
      <c r="G846" s="8"/>
      <c r="H846" s="8"/>
      <c r="I846" s="8"/>
      <c r="J846" s="8"/>
      <c r="K846" s="8"/>
    </row>
    <row r="847" ht="15.75" customHeight="1">
      <c r="A847" s="8"/>
      <c r="B847" s="8"/>
      <c r="C847" s="8"/>
      <c r="D847" s="8"/>
      <c r="E847" s="8"/>
      <c r="F847" s="8"/>
      <c r="G847" s="8"/>
      <c r="H847" s="8"/>
      <c r="I847" s="8"/>
      <c r="J847" s="8"/>
      <c r="K847" s="8"/>
    </row>
    <row r="848" ht="15.75" customHeight="1">
      <c r="A848" s="8"/>
      <c r="B848" s="8"/>
      <c r="C848" s="8"/>
      <c r="D848" s="8"/>
      <c r="E848" s="8"/>
      <c r="F848" s="8"/>
      <c r="G848" s="8"/>
      <c r="H848" s="8"/>
      <c r="I848" s="8"/>
      <c r="J848" s="8"/>
      <c r="K848" s="8"/>
    </row>
    <row r="849" ht="15.75" customHeight="1">
      <c r="A849" s="8"/>
      <c r="B849" s="8"/>
      <c r="C849" s="8"/>
      <c r="D849" s="8"/>
      <c r="E849" s="8"/>
      <c r="F849" s="8"/>
      <c r="G849" s="8"/>
      <c r="H849" s="8"/>
      <c r="I849" s="8"/>
      <c r="J849" s="8"/>
      <c r="K849" s="8"/>
    </row>
    <row r="850" ht="15.75" customHeight="1">
      <c r="A850" s="8"/>
      <c r="B850" s="8"/>
      <c r="C850" s="8"/>
      <c r="D850" s="8"/>
      <c r="E850" s="8"/>
      <c r="F850" s="8"/>
      <c r="G850" s="8"/>
      <c r="H850" s="8"/>
      <c r="I850" s="8"/>
      <c r="J850" s="8"/>
      <c r="K850" s="8"/>
    </row>
    <row r="851" ht="15.75" customHeight="1">
      <c r="A851" s="8"/>
      <c r="B851" s="8"/>
      <c r="C851" s="8"/>
      <c r="D851" s="8"/>
      <c r="E851" s="8"/>
      <c r="F851" s="8"/>
      <c r="G851" s="8"/>
      <c r="H851" s="8"/>
      <c r="I851" s="8"/>
      <c r="J851" s="8"/>
      <c r="K851" s="8"/>
    </row>
    <row r="852" ht="15.75" customHeight="1">
      <c r="A852" s="8"/>
      <c r="B852" s="8"/>
      <c r="C852" s="8"/>
      <c r="D852" s="8"/>
      <c r="E852" s="8"/>
      <c r="F852" s="8"/>
      <c r="G852" s="8"/>
      <c r="H852" s="8"/>
      <c r="I852" s="8"/>
      <c r="J852" s="8"/>
      <c r="K852" s="8"/>
    </row>
    <row r="853" ht="15.75" customHeight="1">
      <c r="A853" s="8"/>
      <c r="B853" s="8"/>
      <c r="C853" s="8"/>
      <c r="D853" s="8"/>
      <c r="E853" s="8"/>
      <c r="F853" s="8"/>
      <c r="G853" s="8"/>
      <c r="H853" s="8"/>
      <c r="I853" s="8"/>
      <c r="J853" s="8"/>
      <c r="K853" s="8"/>
    </row>
    <row r="854" ht="15.75" customHeight="1">
      <c r="A854" s="8"/>
      <c r="B854" s="8"/>
      <c r="C854" s="8"/>
      <c r="D854" s="8"/>
      <c r="E854" s="8"/>
      <c r="F854" s="8"/>
      <c r="G854" s="8"/>
      <c r="H854" s="8"/>
      <c r="I854" s="8"/>
      <c r="J854" s="8"/>
      <c r="K854" s="8"/>
    </row>
    <row r="855" ht="15.75" customHeight="1">
      <c r="A855" s="8"/>
      <c r="B855" s="8"/>
      <c r="C855" s="8"/>
      <c r="D855" s="8"/>
      <c r="E855" s="8"/>
      <c r="F855" s="8"/>
      <c r="G855" s="8"/>
      <c r="H855" s="8"/>
      <c r="I855" s="8"/>
      <c r="J855" s="8"/>
      <c r="K855" s="8"/>
    </row>
    <row r="856" ht="15.75" customHeight="1">
      <c r="A856" s="8"/>
      <c r="B856" s="8"/>
      <c r="C856" s="8"/>
      <c r="D856" s="8"/>
      <c r="E856" s="8"/>
      <c r="F856" s="8"/>
      <c r="G856" s="8"/>
      <c r="H856" s="8"/>
      <c r="I856" s="8"/>
      <c r="J856" s="8"/>
      <c r="K856" s="8"/>
    </row>
    <row r="857" ht="15.75" customHeight="1">
      <c r="A857" s="8"/>
      <c r="B857" s="8"/>
      <c r="C857" s="8"/>
      <c r="D857" s="8"/>
      <c r="E857" s="8"/>
      <c r="F857" s="8"/>
      <c r="G857" s="8"/>
      <c r="H857" s="8"/>
      <c r="I857" s="8"/>
      <c r="J857" s="8"/>
      <c r="K857" s="8"/>
    </row>
    <row r="858" ht="15.75" customHeight="1">
      <c r="A858" s="8"/>
      <c r="B858" s="8"/>
      <c r="C858" s="8"/>
      <c r="D858" s="8"/>
      <c r="E858" s="8"/>
      <c r="F858" s="8"/>
      <c r="G858" s="8"/>
      <c r="H858" s="8"/>
      <c r="I858" s="8"/>
      <c r="J858" s="8"/>
      <c r="K858" s="8"/>
    </row>
    <row r="859" ht="15.75" customHeight="1">
      <c r="A859" s="8"/>
      <c r="B859" s="8"/>
      <c r="C859" s="8"/>
      <c r="D859" s="8"/>
      <c r="E859" s="8"/>
      <c r="F859" s="8"/>
      <c r="G859" s="8"/>
      <c r="H859" s="8"/>
      <c r="I859" s="8"/>
      <c r="J859" s="8"/>
      <c r="K859" s="8"/>
    </row>
    <row r="860" ht="15.75" customHeight="1">
      <c r="A860" s="8"/>
      <c r="B860" s="8"/>
      <c r="C860" s="8"/>
      <c r="D860" s="8"/>
      <c r="E860" s="8"/>
      <c r="F860" s="8"/>
      <c r="G860" s="8"/>
      <c r="H860" s="8"/>
      <c r="I860" s="8"/>
      <c r="J860" s="8"/>
      <c r="K860" s="8"/>
    </row>
    <row r="861" ht="15.75" customHeight="1">
      <c r="A861" s="8"/>
      <c r="B861" s="8"/>
      <c r="C861" s="8"/>
      <c r="D861" s="8"/>
      <c r="E861" s="8"/>
      <c r="F861" s="8"/>
      <c r="G861" s="8"/>
      <c r="H861" s="8"/>
      <c r="I861" s="8"/>
      <c r="J861" s="8"/>
      <c r="K861" s="8"/>
    </row>
    <row r="862" ht="15.75" customHeight="1">
      <c r="A862" s="8"/>
      <c r="B862" s="8"/>
      <c r="C862" s="8"/>
      <c r="D862" s="8"/>
      <c r="E862" s="8"/>
      <c r="F862" s="8"/>
      <c r="G862" s="8"/>
      <c r="H862" s="8"/>
      <c r="I862" s="8"/>
      <c r="J862" s="8"/>
      <c r="K862" s="8"/>
    </row>
    <row r="863" ht="15.75" customHeight="1">
      <c r="A863" s="8"/>
      <c r="B863" s="8"/>
      <c r="C863" s="8"/>
      <c r="D863" s="8"/>
      <c r="E863" s="8"/>
      <c r="F863" s="8"/>
      <c r="G863" s="8"/>
      <c r="H863" s="8"/>
      <c r="I863" s="8"/>
      <c r="J863" s="8"/>
      <c r="K863" s="8"/>
    </row>
    <row r="864" ht="15.75" customHeight="1">
      <c r="A864" s="8"/>
      <c r="B864" s="8"/>
      <c r="C864" s="8"/>
      <c r="D864" s="8"/>
      <c r="E864" s="8"/>
      <c r="F864" s="8"/>
      <c r="G864" s="8"/>
      <c r="H864" s="8"/>
      <c r="I864" s="8"/>
      <c r="J864" s="8"/>
      <c r="K864" s="8"/>
    </row>
    <row r="865" ht="15.75" customHeight="1">
      <c r="A865" s="8"/>
      <c r="B865" s="8"/>
      <c r="C865" s="8"/>
      <c r="D865" s="8"/>
      <c r="E865" s="8"/>
      <c r="F865" s="8"/>
      <c r="G865" s="8"/>
      <c r="H865" s="8"/>
      <c r="I865" s="8"/>
      <c r="J865" s="8"/>
      <c r="K865" s="8"/>
    </row>
    <row r="866" ht="15.75" customHeight="1">
      <c r="A866" s="8"/>
      <c r="B866" s="8"/>
      <c r="C866" s="8"/>
      <c r="D866" s="8"/>
      <c r="E866" s="8"/>
      <c r="F866" s="8"/>
      <c r="G866" s="8"/>
      <c r="H866" s="8"/>
      <c r="I866" s="8"/>
      <c r="J866" s="8"/>
      <c r="K866" s="8"/>
    </row>
    <row r="867" ht="15.75" customHeight="1">
      <c r="A867" s="8"/>
      <c r="B867" s="8"/>
      <c r="C867" s="8"/>
      <c r="D867" s="8"/>
      <c r="E867" s="8"/>
      <c r="F867" s="8"/>
      <c r="G867" s="8"/>
      <c r="H867" s="8"/>
      <c r="I867" s="8"/>
      <c r="J867" s="8"/>
      <c r="K867" s="8"/>
    </row>
    <row r="868" ht="15.75" customHeight="1">
      <c r="A868" s="8"/>
      <c r="B868" s="8"/>
      <c r="C868" s="8"/>
      <c r="D868" s="8"/>
      <c r="E868" s="8"/>
      <c r="F868" s="8"/>
      <c r="G868" s="8"/>
      <c r="H868" s="8"/>
      <c r="I868" s="8"/>
      <c r="J868" s="8"/>
      <c r="K868" s="8"/>
    </row>
    <row r="869" ht="15.75" customHeight="1">
      <c r="A869" s="8"/>
      <c r="B869" s="8"/>
      <c r="C869" s="8"/>
      <c r="D869" s="8"/>
      <c r="E869" s="8"/>
      <c r="F869" s="8"/>
      <c r="G869" s="8"/>
      <c r="H869" s="8"/>
      <c r="I869" s="8"/>
      <c r="J869" s="8"/>
      <c r="K869" s="8"/>
    </row>
    <row r="870" ht="15.75" customHeight="1">
      <c r="A870" s="8"/>
      <c r="B870" s="8"/>
      <c r="C870" s="8"/>
      <c r="D870" s="8"/>
      <c r="E870" s="8"/>
      <c r="F870" s="8"/>
      <c r="G870" s="8"/>
      <c r="H870" s="8"/>
      <c r="I870" s="8"/>
      <c r="J870" s="8"/>
      <c r="K870" s="8"/>
    </row>
    <row r="871" ht="15.75" customHeight="1">
      <c r="A871" s="8"/>
      <c r="B871" s="8"/>
      <c r="C871" s="8"/>
      <c r="D871" s="8"/>
      <c r="E871" s="8"/>
      <c r="F871" s="8"/>
      <c r="G871" s="8"/>
      <c r="H871" s="8"/>
      <c r="I871" s="8"/>
      <c r="J871" s="8"/>
      <c r="K871" s="8"/>
    </row>
    <row r="872" ht="15.75" customHeight="1">
      <c r="A872" s="8"/>
      <c r="B872" s="8"/>
      <c r="C872" s="8"/>
      <c r="D872" s="8"/>
      <c r="E872" s="8"/>
      <c r="F872" s="8"/>
      <c r="G872" s="8"/>
      <c r="H872" s="8"/>
      <c r="I872" s="8"/>
      <c r="J872" s="8"/>
      <c r="K872" s="8"/>
    </row>
    <row r="873" ht="15.75" customHeight="1">
      <c r="A873" s="8"/>
      <c r="B873" s="8"/>
      <c r="C873" s="8"/>
      <c r="D873" s="8"/>
      <c r="E873" s="8"/>
      <c r="F873" s="8"/>
      <c r="G873" s="8"/>
      <c r="H873" s="8"/>
      <c r="I873" s="8"/>
      <c r="J873" s="8"/>
      <c r="K873" s="8"/>
    </row>
    <row r="874" ht="15.75" customHeight="1">
      <c r="A874" s="8"/>
      <c r="B874" s="8"/>
      <c r="C874" s="8"/>
      <c r="D874" s="8"/>
      <c r="E874" s="8"/>
      <c r="F874" s="8"/>
      <c r="G874" s="8"/>
      <c r="H874" s="8"/>
      <c r="I874" s="8"/>
      <c r="J874" s="8"/>
      <c r="K874" s="8"/>
    </row>
    <row r="875" ht="15.75" customHeight="1">
      <c r="A875" s="8"/>
      <c r="B875" s="8"/>
      <c r="C875" s="8"/>
      <c r="D875" s="8"/>
      <c r="E875" s="8"/>
      <c r="F875" s="8"/>
      <c r="G875" s="8"/>
      <c r="H875" s="8"/>
      <c r="I875" s="8"/>
      <c r="J875" s="8"/>
      <c r="K875" s="8"/>
    </row>
    <row r="876" ht="15.75" customHeight="1">
      <c r="A876" s="8"/>
      <c r="B876" s="8"/>
      <c r="C876" s="8"/>
      <c r="D876" s="8"/>
      <c r="E876" s="8"/>
      <c r="F876" s="8"/>
      <c r="G876" s="8"/>
      <c r="H876" s="8"/>
      <c r="I876" s="8"/>
      <c r="J876" s="8"/>
      <c r="K876" s="8"/>
    </row>
    <row r="877" ht="15.75" customHeight="1">
      <c r="A877" s="8"/>
      <c r="B877" s="8"/>
      <c r="C877" s="8"/>
      <c r="D877" s="8"/>
      <c r="E877" s="8"/>
      <c r="F877" s="8"/>
      <c r="G877" s="8"/>
      <c r="H877" s="8"/>
      <c r="I877" s="8"/>
      <c r="J877" s="8"/>
      <c r="K877" s="8"/>
    </row>
    <row r="878" ht="15.75" customHeight="1">
      <c r="A878" s="8"/>
      <c r="B878" s="8"/>
      <c r="C878" s="8"/>
      <c r="D878" s="8"/>
      <c r="E878" s="8"/>
      <c r="F878" s="8"/>
      <c r="G878" s="8"/>
      <c r="H878" s="8"/>
      <c r="I878" s="8"/>
      <c r="J878" s="8"/>
      <c r="K878" s="8"/>
    </row>
    <row r="879" ht="15.75" customHeight="1">
      <c r="A879" s="8"/>
      <c r="B879" s="8"/>
      <c r="C879" s="8"/>
      <c r="D879" s="8"/>
      <c r="E879" s="8"/>
      <c r="F879" s="8"/>
      <c r="G879" s="8"/>
      <c r="H879" s="8"/>
      <c r="I879" s="8"/>
      <c r="J879" s="8"/>
      <c r="K879" s="8"/>
    </row>
    <row r="880" ht="15.75" customHeight="1">
      <c r="A880" s="8"/>
      <c r="B880" s="8"/>
      <c r="C880" s="8"/>
      <c r="D880" s="8"/>
      <c r="E880" s="8"/>
      <c r="F880" s="8"/>
      <c r="G880" s="8"/>
      <c r="H880" s="8"/>
      <c r="I880" s="8"/>
      <c r="J880" s="8"/>
      <c r="K880" s="8"/>
    </row>
    <row r="881" ht="15.75" customHeight="1">
      <c r="A881" s="8"/>
      <c r="B881" s="8"/>
      <c r="C881" s="8"/>
      <c r="D881" s="8"/>
      <c r="E881" s="8"/>
      <c r="F881" s="8"/>
      <c r="G881" s="8"/>
      <c r="H881" s="8"/>
      <c r="I881" s="8"/>
      <c r="J881" s="8"/>
      <c r="K881" s="8"/>
    </row>
    <row r="882" ht="15.75" customHeight="1">
      <c r="A882" s="8"/>
      <c r="B882" s="8"/>
      <c r="C882" s="8"/>
      <c r="D882" s="8"/>
      <c r="E882" s="8"/>
      <c r="F882" s="8"/>
      <c r="G882" s="8"/>
      <c r="H882" s="8"/>
      <c r="I882" s="8"/>
      <c r="J882" s="8"/>
      <c r="K882" s="8"/>
    </row>
    <row r="883" ht="15.75" customHeight="1">
      <c r="A883" s="8"/>
      <c r="B883" s="8"/>
      <c r="C883" s="8"/>
      <c r="D883" s="8"/>
      <c r="E883" s="8"/>
      <c r="F883" s="8"/>
      <c r="G883" s="8"/>
      <c r="H883" s="8"/>
      <c r="I883" s="8"/>
      <c r="J883" s="8"/>
      <c r="K883" s="8"/>
    </row>
    <row r="884" ht="15.75" customHeight="1">
      <c r="A884" s="8"/>
      <c r="B884" s="8"/>
      <c r="C884" s="8"/>
      <c r="D884" s="8"/>
      <c r="E884" s="8"/>
      <c r="F884" s="8"/>
      <c r="G884" s="8"/>
      <c r="H884" s="8"/>
      <c r="I884" s="8"/>
      <c r="J884" s="8"/>
      <c r="K884" s="8"/>
    </row>
    <row r="885" ht="15.75" customHeight="1">
      <c r="A885" s="8"/>
      <c r="B885" s="8"/>
      <c r="C885" s="8"/>
      <c r="D885" s="8"/>
      <c r="E885" s="8"/>
      <c r="F885" s="8"/>
      <c r="G885" s="8"/>
      <c r="H885" s="8"/>
      <c r="I885" s="8"/>
      <c r="J885" s="8"/>
      <c r="K885" s="8"/>
    </row>
    <row r="886" ht="15.75" customHeight="1">
      <c r="A886" s="8"/>
      <c r="B886" s="8"/>
      <c r="C886" s="8"/>
      <c r="D886" s="8"/>
      <c r="E886" s="8"/>
      <c r="F886" s="8"/>
      <c r="G886" s="8"/>
      <c r="H886" s="8"/>
      <c r="I886" s="8"/>
      <c r="J886" s="8"/>
      <c r="K886" s="8"/>
    </row>
    <row r="887" ht="15.75" customHeight="1">
      <c r="A887" s="8"/>
      <c r="B887" s="8"/>
      <c r="C887" s="8"/>
      <c r="D887" s="8"/>
      <c r="E887" s="8"/>
      <c r="F887" s="8"/>
      <c r="G887" s="8"/>
      <c r="H887" s="8"/>
      <c r="I887" s="8"/>
      <c r="J887" s="8"/>
      <c r="K887" s="8"/>
    </row>
    <row r="888" ht="15.75" customHeight="1">
      <c r="A888" s="8"/>
      <c r="B888" s="8"/>
      <c r="C888" s="8"/>
      <c r="D888" s="8"/>
      <c r="E888" s="8"/>
      <c r="F888" s="8"/>
      <c r="G888" s="8"/>
      <c r="H888" s="8"/>
      <c r="I888" s="8"/>
      <c r="J888" s="8"/>
      <c r="K888" s="8"/>
    </row>
    <row r="889" ht="15.75" customHeight="1">
      <c r="A889" s="8"/>
      <c r="B889" s="8"/>
      <c r="C889" s="8"/>
      <c r="D889" s="8"/>
      <c r="E889" s="8"/>
      <c r="F889" s="8"/>
      <c r="G889" s="8"/>
      <c r="H889" s="8"/>
      <c r="I889" s="8"/>
      <c r="J889" s="8"/>
      <c r="K889" s="8"/>
    </row>
    <row r="890" ht="15.75" customHeight="1">
      <c r="A890" s="8"/>
      <c r="B890" s="8"/>
      <c r="C890" s="8"/>
      <c r="D890" s="8"/>
      <c r="E890" s="8"/>
      <c r="F890" s="8"/>
      <c r="G890" s="8"/>
      <c r="H890" s="8"/>
      <c r="I890" s="8"/>
      <c r="J890" s="8"/>
      <c r="K890" s="8"/>
    </row>
    <row r="891" ht="15.75" customHeight="1">
      <c r="A891" s="8"/>
      <c r="B891" s="8"/>
      <c r="C891" s="8"/>
      <c r="D891" s="8"/>
      <c r="E891" s="8"/>
      <c r="F891" s="8"/>
      <c r="G891" s="8"/>
      <c r="H891" s="8"/>
      <c r="I891" s="8"/>
      <c r="J891" s="8"/>
      <c r="K891" s="8"/>
    </row>
    <row r="892" ht="15.75" customHeight="1">
      <c r="A892" s="8"/>
      <c r="B892" s="8"/>
      <c r="C892" s="8"/>
      <c r="D892" s="8"/>
      <c r="E892" s="8"/>
      <c r="F892" s="8"/>
      <c r="G892" s="8"/>
      <c r="H892" s="8"/>
      <c r="I892" s="8"/>
      <c r="J892" s="8"/>
      <c r="K892" s="8"/>
    </row>
    <row r="893" ht="15.75" customHeight="1">
      <c r="A893" s="8"/>
      <c r="B893" s="8"/>
      <c r="C893" s="8"/>
      <c r="D893" s="8"/>
      <c r="E893" s="8"/>
      <c r="F893" s="8"/>
      <c r="G893" s="8"/>
      <c r="H893" s="8"/>
      <c r="I893" s="8"/>
      <c r="J893" s="8"/>
      <c r="K893" s="8"/>
    </row>
    <row r="894" ht="15.75" customHeight="1">
      <c r="A894" s="8"/>
      <c r="B894" s="8"/>
      <c r="C894" s="8"/>
      <c r="D894" s="8"/>
      <c r="E894" s="8"/>
      <c r="F894" s="8"/>
      <c r="G894" s="8"/>
      <c r="H894" s="8"/>
      <c r="I894" s="8"/>
      <c r="J894" s="8"/>
      <c r="K894" s="8"/>
    </row>
    <row r="895" ht="15.75" customHeight="1">
      <c r="A895" s="8"/>
      <c r="B895" s="8"/>
      <c r="C895" s="8"/>
      <c r="D895" s="8"/>
      <c r="E895" s="8"/>
      <c r="F895" s="8"/>
      <c r="G895" s="8"/>
      <c r="H895" s="8"/>
      <c r="I895" s="8"/>
      <c r="J895" s="8"/>
      <c r="K895" s="8"/>
    </row>
    <row r="896" ht="15.75" customHeight="1">
      <c r="A896" s="8"/>
      <c r="B896" s="8"/>
      <c r="C896" s="8"/>
      <c r="D896" s="8"/>
      <c r="E896" s="8"/>
      <c r="F896" s="8"/>
      <c r="G896" s="8"/>
      <c r="H896" s="8"/>
      <c r="I896" s="8"/>
      <c r="J896" s="8"/>
      <c r="K896" s="8"/>
    </row>
    <row r="897" ht="15.75" customHeight="1">
      <c r="A897" s="8"/>
      <c r="B897" s="8"/>
      <c r="C897" s="8"/>
      <c r="D897" s="8"/>
      <c r="E897" s="8"/>
      <c r="F897" s="8"/>
      <c r="G897" s="8"/>
      <c r="H897" s="8"/>
      <c r="I897" s="8"/>
      <c r="J897" s="8"/>
      <c r="K897" s="8"/>
    </row>
    <row r="898" ht="15.75" customHeight="1">
      <c r="A898" s="8"/>
      <c r="B898" s="8"/>
      <c r="C898" s="8"/>
      <c r="D898" s="8"/>
      <c r="E898" s="8"/>
      <c r="F898" s="8"/>
      <c r="G898" s="8"/>
      <c r="H898" s="8"/>
      <c r="I898" s="8"/>
      <c r="J898" s="8"/>
      <c r="K898" s="8"/>
    </row>
    <row r="899" ht="15.75" customHeight="1">
      <c r="A899" s="8"/>
      <c r="B899" s="8"/>
      <c r="C899" s="8"/>
      <c r="D899" s="8"/>
      <c r="E899" s="8"/>
      <c r="F899" s="8"/>
      <c r="G899" s="8"/>
      <c r="H899" s="8"/>
      <c r="I899" s="8"/>
      <c r="J899" s="8"/>
      <c r="K899" s="8"/>
    </row>
    <row r="900" ht="15.75" customHeight="1">
      <c r="A900" s="8"/>
      <c r="B900" s="8"/>
      <c r="C900" s="8"/>
      <c r="D900" s="8"/>
      <c r="E900" s="8"/>
      <c r="F900" s="8"/>
      <c r="G900" s="8"/>
      <c r="H900" s="8"/>
      <c r="I900" s="8"/>
      <c r="J900" s="8"/>
      <c r="K900" s="8"/>
    </row>
    <row r="901" ht="15.75" customHeight="1">
      <c r="A901" s="8"/>
      <c r="B901" s="8"/>
      <c r="C901" s="8"/>
      <c r="D901" s="8"/>
      <c r="E901" s="8"/>
      <c r="F901" s="8"/>
      <c r="G901" s="8"/>
      <c r="H901" s="8"/>
      <c r="I901" s="8"/>
      <c r="J901" s="8"/>
      <c r="K901" s="8"/>
    </row>
    <row r="902" ht="15.75" customHeight="1">
      <c r="A902" s="8"/>
      <c r="B902" s="8"/>
      <c r="C902" s="8"/>
      <c r="D902" s="8"/>
      <c r="E902" s="8"/>
      <c r="F902" s="8"/>
      <c r="G902" s="8"/>
      <c r="H902" s="8"/>
      <c r="I902" s="8"/>
      <c r="J902" s="8"/>
      <c r="K902" s="8"/>
    </row>
    <row r="903" ht="15.75" customHeight="1">
      <c r="A903" s="8"/>
      <c r="B903" s="8"/>
      <c r="C903" s="8"/>
      <c r="D903" s="8"/>
      <c r="E903" s="8"/>
      <c r="F903" s="8"/>
      <c r="G903" s="8"/>
      <c r="H903" s="8"/>
      <c r="I903" s="8"/>
      <c r="J903" s="8"/>
      <c r="K903" s="8"/>
    </row>
    <row r="904" ht="15.75" customHeight="1">
      <c r="A904" s="8"/>
      <c r="B904" s="8"/>
      <c r="C904" s="8"/>
      <c r="D904" s="8"/>
      <c r="E904" s="8"/>
      <c r="F904" s="8"/>
      <c r="G904" s="8"/>
      <c r="H904" s="8"/>
      <c r="I904" s="8"/>
      <c r="J904" s="8"/>
      <c r="K904" s="8"/>
    </row>
    <row r="905" ht="15.75" customHeight="1">
      <c r="A905" s="8"/>
      <c r="B905" s="8"/>
      <c r="C905" s="8"/>
      <c r="D905" s="8"/>
      <c r="E905" s="8"/>
      <c r="F905" s="8"/>
      <c r="G905" s="8"/>
      <c r="H905" s="8"/>
      <c r="I905" s="8"/>
      <c r="J905" s="8"/>
      <c r="K905" s="8"/>
    </row>
    <row r="906" ht="15.75" customHeight="1">
      <c r="A906" s="8"/>
      <c r="B906" s="8"/>
      <c r="C906" s="8"/>
      <c r="D906" s="8"/>
      <c r="E906" s="8"/>
      <c r="F906" s="8"/>
      <c r="G906" s="8"/>
      <c r="H906" s="8"/>
      <c r="I906" s="8"/>
      <c r="J906" s="8"/>
      <c r="K906" s="8"/>
    </row>
    <row r="907" ht="15.75" customHeight="1">
      <c r="A907" s="8"/>
      <c r="B907" s="8"/>
      <c r="C907" s="8"/>
      <c r="D907" s="8"/>
      <c r="E907" s="8"/>
      <c r="F907" s="8"/>
      <c r="G907" s="8"/>
      <c r="H907" s="8"/>
      <c r="I907" s="8"/>
      <c r="J907" s="8"/>
      <c r="K907" s="8"/>
    </row>
    <row r="908" ht="15.75" customHeight="1">
      <c r="A908" s="8"/>
      <c r="B908" s="8"/>
      <c r="C908" s="8"/>
      <c r="D908" s="8"/>
      <c r="E908" s="8"/>
      <c r="F908" s="8"/>
      <c r="G908" s="8"/>
      <c r="H908" s="8"/>
      <c r="I908" s="8"/>
      <c r="J908" s="8"/>
      <c r="K908" s="8"/>
    </row>
    <row r="909" ht="15.75" customHeight="1">
      <c r="A909" s="8"/>
      <c r="B909" s="8"/>
      <c r="C909" s="8"/>
      <c r="D909" s="8"/>
      <c r="E909" s="8"/>
      <c r="F909" s="8"/>
      <c r="G909" s="8"/>
      <c r="H909" s="8"/>
      <c r="I909" s="8"/>
      <c r="J909" s="8"/>
      <c r="K909" s="8"/>
    </row>
    <row r="910" ht="15.75" customHeight="1">
      <c r="A910" s="8"/>
      <c r="B910" s="8"/>
      <c r="C910" s="8"/>
      <c r="D910" s="8"/>
      <c r="E910" s="8"/>
      <c r="F910" s="8"/>
      <c r="G910" s="8"/>
      <c r="H910" s="8"/>
      <c r="I910" s="8"/>
      <c r="J910" s="8"/>
      <c r="K910" s="8"/>
    </row>
    <row r="911" ht="15.75" customHeight="1">
      <c r="A911" s="8"/>
      <c r="B911" s="8"/>
      <c r="C911" s="8"/>
      <c r="D911" s="8"/>
      <c r="E911" s="8"/>
      <c r="F911" s="8"/>
      <c r="G911" s="8"/>
      <c r="H911" s="8"/>
      <c r="I911" s="8"/>
      <c r="J911" s="8"/>
      <c r="K911" s="8"/>
    </row>
    <row r="912" ht="15.75" customHeight="1">
      <c r="A912" s="8"/>
      <c r="B912" s="8"/>
      <c r="C912" s="8"/>
      <c r="D912" s="8"/>
      <c r="E912" s="8"/>
      <c r="F912" s="8"/>
      <c r="G912" s="8"/>
      <c r="H912" s="8"/>
      <c r="I912" s="8"/>
      <c r="J912" s="8"/>
      <c r="K912" s="8"/>
    </row>
    <row r="913" ht="15.75" customHeight="1">
      <c r="A913" s="8"/>
      <c r="B913" s="8"/>
      <c r="C913" s="8"/>
      <c r="D913" s="8"/>
      <c r="E913" s="8"/>
      <c r="F913" s="8"/>
      <c r="G913" s="8"/>
      <c r="H913" s="8"/>
      <c r="I913" s="8"/>
      <c r="J913" s="8"/>
      <c r="K913" s="8"/>
    </row>
    <row r="914" ht="15.75" customHeight="1">
      <c r="A914" s="8"/>
      <c r="B914" s="8"/>
      <c r="C914" s="8"/>
      <c r="D914" s="8"/>
      <c r="E914" s="8"/>
      <c r="F914" s="8"/>
      <c r="G914" s="8"/>
      <c r="H914" s="8"/>
      <c r="I914" s="8"/>
      <c r="J914" s="8"/>
      <c r="K914" s="8"/>
    </row>
    <row r="915" ht="15.75" customHeight="1">
      <c r="A915" s="8"/>
      <c r="B915" s="8"/>
      <c r="C915" s="8"/>
      <c r="D915" s="8"/>
      <c r="E915" s="8"/>
      <c r="F915" s="8"/>
      <c r="G915" s="8"/>
      <c r="H915" s="8"/>
      <c r="I915" s="8"/>
      <c r="J915" s="8"/>
      <c r="K915" s="8"/>
    </row>
    <row r="916" ht="15.75" customHeight="1">
      <c r="A916" s="8"/>
      <c r="B916" s="8"/>
      <c r="C916" s="8"/>
      <c r="D916" s="8"/>
      <c r="E916" s="8"/>
      <c r="F916" s="8"/>
      <c r="G916" s="8"/>
      <c r="H916" s="8"/>
      <c r="I916" s="8"/>
      <c r="J916" s="8"/>
      <c r="K916" s="8"/>
    </row>
    <row r="917" ht="15.75" customHeight="1">
      <c r="A917" s="8"/>
      <c r="B917" s="8"/>
      <c r="C917" s="8"/>
      <c r="D917" s="8"/>
      <c r="E917" s="8"/>
      <c r="F917" s="8"/>
      <c r="G917" s="8"/>
      <c r="H917" s="8"/>
      <c r="I917" s="8"/>
      <c r="J917" s="8"/>
      <c r="K917" s="8"/>
    </row>
    <row r="918" ht="15.75" customHeight="1">
      <c r="A918" s="8"/>
      <c r="B918" s="8"/>
      <c r="C918" s="8"/>
      <c r="D918" s="8"/>
      <c r="E918" s="8"/>
      <c r="F918" s="8"/>
      <c r="G918" s="8"/>
      <c r="H918" s="8"/>
      <c r="I918" s="8"/>
      <c r="J918" s="8"/>
      <c r="K918" s="8"/>
    </row>
    <row r="919" ht="15.75" customHeight="1">
      <c r="A919" s="8"/>
      <c r="B919" s="8"/>
      <c r="C919" s="8"/>
      <c r="D919" s="8"/>
      <c r="E919" s="8"/>
      <c r="F919" s="8"/>
      <c r="G919" s="8"/>
      <c r="H919" s="8"/>
      <c r="I919" s="8"/>
      <c r="J919" s="8"/>
      <c r="K919" s="8"/>
    </row>
    <row r="920" ht="15.75" customHeight="1">
      <c r="A920" s="8"/>
      <c r="B920" s="8"/>
      <c r="C920" s="8"/>
      <c r="D920" s="8"/>
      <c r="E920" s="8"/>
      <c r="F920" s="8"/>
      <c r="G920" s="8"/>
      <c r="H920" s="8"/>
      <c r="I920" s="8"/>
      <c r="J920" s="8"/>
      <c r="K920" s="8"/>
    </row>
    <row r="921" ht="15.75" customHeight="1">
      <c r="A921" s="8"/>
      <c r="B921" s="8"/>
      <c r="C921" s="8"/>
      <c r="D921" s="8"/>
      <c r="E921" s="8"/>
      <c r="F921" s="8"/>
      <c r="G921" s="8"/>
      <c r="H921" s="8"/>
      <c r="I921" s="8"/>
      <c r="J921" s="8"/>
      <c r="K921" s="8"/>
    </row>
    <row r="922" ht="15.75" customHeight="1">
      <c r="A922" s="8"/>
      <c r="B922" s="8"/>
      <c r="C922" s="8"/>
      <c r="D922" s="8"/>
      <c r="E922" s="8"/>
      <c r="F922" s="8"/>
      <c r="G922" s="8"/>
      <c r="H922" s="8"/>
      <c r="I922" s="8"/>
      <c r="J922" s="8"/>
      <c r="K922" s="8"/>
    </row>
    <row r="923" ht="15.75" customHeight="1">
      <c r="A923" s="8"/>
      <c r="B923" s="8"/>
      <c r="C923" s="8"/>
      <c r="D923" s="8"/>
      <c r="E923" s="8"/>
      <c r="F923" s="8"/>
      <c r="G923" s="8"/>
      <c r="H923" s="8"/>
      <c r="I923" s="8"/>
      <c r="J923" s="8"/>
      <c r="K923" s="8"/>
    </row>
    <row r="924" ht="15.75" customHeight="1">
      <c r="A924" s="8"/>
      <c r="B924" s="8"/>
      <c r="C924" s="8"/>
      <c r="D924" s="8"/>
      <c r="E924" s="8"/>
      <c r="F924" s="8"/>
      <c r="G924" s="8"/>
      <c r="H924" s="8"/>
      <c r="I924" s="8"/>
      <c r="J924" s="8"/>
      <c r="K924" s="8"/>
    </row>
    <row r="925" ht="15.75" customHeight="1">
      <c r="A925" s="8"/>
      <c r="B925" s="8"/>
      <c r="C925" s="8"/>
      <c r="D925" s="8"/>
      <c r="E925" s="8"/>
      <c r="F925" s="8"/>
      <c r="G925" s="8"/>
      <c r="H925" s="8"/>
      <c r="I925" s="8"/>
      <c r="J925" s="8"/>
      <c r="K925" s="8"/>
    </row>
    <row r="926" ht="15.75" customHeight="1">
      <c r="A926" s="8"/>
      <c r="B926" s="8"/>
      <c r="C926" s="8"/>
      <c r="D926" s="8"/>
      <c r="E926" s="8"/>
      <c r="F926" s="8"/>
      <c r="G926" s="8"/>
      <c r="H926" s="8"/>
      <c r="I926" s="8"/>
      <c r="J926" s="8"/>
      <c r="K926" s="8"/>
    </row>
    <row r="927" ht="15.75" customHeight="1">
      <c r="A927" s="8"/>
      <c r="B927" s="8"/>
      <c r="C927" s="8"/>
      <c r="D927" s="8"/>
      <c r="E927" s="8"/>
      <c r="F927" s="8"/>
      <c r="G927" s="8"/>
      <c r="H927" s="8"/>
      <c r="I927" s="8"/>
      <c r="J927" s="8"/>
      <c r="K927" s="8"/>
    </row>
    <row r="928" ht="15.75" customHeight="1">
      <c r="A928" s="8"/>
      <c r="B928" s="8"/>
      <c r="C928" s="8"/>
      <c r="D928" s="8"/>
      <c r="E928" s="8"/>
      <c r="F928" s="8"/>
      <c r="G928" s="8"/>
      <c r="H928" s="8"/>
      <c r="I928" s="8"/>
      <c r="J928" s="8"/>
      <c r="K928" s="8"/>
    </row>
    <row r="929" ht="15.75" customHeight="1">
      <c r="A929" s="8"/>
      <c r="B929" s="8"/>
      <c r="C929" s="8"/>
      <c r="D929" s="8"/>
      <c r="E929" s="8"/>
      <c r="F929" s="8"/>
      <c r="G929" s="8"/>
      <c r="H929" s="8"/>
      <c r="I929" s="8"/>
      <c r="J929" s="8"/>
      <c r="K929" s="8"/>
    </row>
    <row r="930" ht="15.75" customHeight="1">
      <c r="A930" s="8"/>
      <c r="B930" s="8"/>
      <c r="C930" s="8"/>
      <c r="D930" s="8"/>
      <c r="E930" s="8"/>
      <c r="F930" s="8"/>
      <c r="G930" s="8"/>
      <c r="H930" s="8"/>
      <c r="I930" s="8"/>
      <c r="J930" s="8"/>
      <c r="K930" s="8"/>
    </row>
    <row r="931" ht="15.75" customHeight="1">
      <c r="A931" s="8"/>
      <c r="B931" s="8"/>
      <c r="C931" s="8"/>
      <c r="D931" s="8"/>
      <c r="E931" s="8"/>
      <c r="F931" s="8"/>
      <c r="G931" s="8"/>
      <c r="H931" s="8"/>
      <c r="I931" s="8"/>
      <c r="J931" s="8"/>
      <c r="K931" s="8"/>
    </row>
    <row r="932" ht="15.75" customHeight="1">
      <c r="A932" s="8"/>
      <c r="B932" s="8"/>
      <c r="C932" s="8"/>
      <c r="D932" s="8"/>
      <c r="E932" s="8"/>
      <c r="F932" s="8"/>
      <c r="G932" s="8"/>
      <c r="H932" s="8"/>
      <c r="I932" s="8"/>
      <c r="J932" s="8"/>
      <c r="K932" s="8"/>
    </row>
    <row r="933" ht="15.75" customHeight="1">
      <c r="A933" s="8"/>
      <c r="B933" s="8"/>
      <c r="C933" s="8"/>
      <c r="D933" s="8"/>
      <c r="E933" s="8"/>
      <c r="F933" s="8"/>
      <c r="G933" s="8"/>
      <c r="H933" s="8"/>
      <c r="I933" s="8"/>
      <c r="J933" s="8"/>
      <c r="K933" s="8"/>
    </row>
    <row r="934" ht="15.75" customHeight="1">
      <c r="A934" s="8"/>
      <c r="B934" s="8"/>
      <c r="C934" s="8"/>
      <c r="D934" s="8"/>
      <c r="E934" s="8"/>
      <c r="F934" s="8"/>
      <c r="G934" s="8"/>
      <c r="H934" s="8"/>
      <c r="I934" s="8"/>
      <c r="J934" s="8"/>
      <c r="K934" s="8"/>
    </row>
    <row r="935" ht="15.75" customHeight="1">
      <c r="A935" s="8"/>
      <c r="B935" s="8"/>
      <c r="C935" s="8"/>
      <c r="D935" s="8"/>
      <c r="E935" s="8"/>
      <c r="F935" s="8"/>
      <c r="G935" s="8"/>
      <c r="H935" s="8"/>
      <c r="I935" s="8"/>
      <c r="J935" s="8"/>
      <c r="K935" s="8"/>
    </row>
    <row r="936" ht="15.75" customHeight="1">
      <c r="A936" s="8"/>
      <c r="B936" s="8"/>
      <c r="C936" s="8"/>
      <c r="D936" s="8"/>
      <c r="E936" s="8"/>
      <c r="F936" s="8"/>
      <c r="G936" s="8"/>
      <c r="H936" s="8"/>
      <c r="I936" s="8"/>
      <c r="J936" s="8"/>
      <c r="K936" s="8"/>
    </row>
    <row r="937" ht="15.75" customHeight="1">
      <c r="A937" s="8"/>
      <c r="B937" s="8"/>
      <c r="C937" s="8"/>
      <c r="D937" s="8"/>
      <c r="E937" s="8"/>
      <c r="F937" s="8"/>
      <c r="G937" s="8"/>
      <c r="H937" s="8"/>
      <c r="I937" s="8"/>
      <c r="J937" s="8"/>
      <c r="K937" s="8"/>
    </row>
    <row r="938" ht="15.75" customHeight="1">
      <c r="A938" s="8"/>
      <c r="B938" s="8"/>
      <c r="C938" s="8"/>
      <c r="D938" s="8"/>
      <c r="E938" s="8"/>
      <c r="F938" s="8"/>
      <c r="G938" s="8"/>
      <c r="H938" s="8"/>
      <c r="I938" s="8"/>
      <c r="J938" s="8"/>
      <c r="K938" s="8"/>
    </row>
    <row r="939" ht="15.75" customHeight="1">
      <c r="A939" s="8"/>
      <c r="B939" s="8"/>
      <c r="C939" s="8"/>
      <c r="D939" s="8"/>
      <c r="E939" s="8"/>
      <c r="F939" s="8"/>
      <c r="G939" s="8"/>
      <c r="H939" s="8"/>
      <c r="I939" s="8"/>
      <c r="J939" s="8"/>
      <c r="K939" s="8"/>
    </row>
    <row r="940" ht="15.75" customHeight="1">
      <c r="A940" s="8"/>
      <c r="B940" s="8"/>
      <c r="C940" s="8"/>
      <c r="D940" s="8"/>
      <c r="E940" s="8"/>
      <c r="F940" s="8"/>
      <c r="G940" s="8"/>
      <c r="H940" s="8"/>
      <c r="I940" s="8"/>
      <c r="J940" s="8"/>
      <c r="K940" s="8"/>
    </row>
    <row r="941" ht="15.75" customHeight="1">
      <c r="A941" s="8"/>
      <c r="B941" s="8"/>
      <c r="C941" s="8"/>
      <c r="D941" s="8"/>
      <c r="E941" s="8"/>
      <c r="F941" s="8"/>
      <c r="G941" s="8"/>
      <c r="H941" s="8"/>
      <c r="I941" s="8"/>
      <c r="J941" s="8"/>
      <c r="K941" s="8"/>
    </row>
    <row r="942" ht="15.75" customHeight="1">
      <c r="A942" s="8"/>
      <c r="B942" s="8"/>
      <c r="C942" s="8"/>
      <c r="D942" s="8"/>
      <c r="E942" s="8"/>
      <c r="F942" s="8"/>
      <c r="G942" s="8"/>
      <c r="H942" s="8"/>
      <c r="I942" s="8"/>
      <c r="J942" s="8"/>
      <c r="K942" s="8"/>
    </row>
    <row r="943" ht="15.75" customHeight="1">
      <c r="A943" s="8"/>
      <c r="B943" s="8"/>
      <c r="C943" s="8"/>
      <c r="D943" s="8"/>
      <c r="E943" s="8"/>
      <c r="F943" s="8"/>
      <c r="G943" s="8"/>
      <c r="H943" s="8"/>
      <c r="I943" s="8"/>
      <c r="J943" s="8"/>
      <c r="K943" s="8"/>
    </row>
    <row r="944" ht="15.75" customHeight="1">
      <c r="A944" s="8"/>
      <c r="B944" s="8"/>
      <c r="C944" s="8"/>
      <c r="D944" s="8"/>
      <c r="E944" s="8"/>
      <c r="F944" s="8"/>
      <c r="G944" s="8"/>
      <c r="H944" s="8"/>
      <c r="I944" s="8"/>
      <c r="J944" s="8"/>
      <c r="K944" s="8"/>
    </row>
    <row r="945" ht="15.75" customHeight="1">
      <c r="A945" s="8"/>
      <c r="B945" s="8"/>
      <c r="C945" s="8"/>
      <c r="D945" s="8"/>
      <c r="E945" s="8"/>
      <c r="F945" s="8"/>
      <c r="G945" s="8"/>
      <c r="H945" s="8"/>
      <c r="I945" s="8"/>
      <c r="J945" s="8"/>
      <c r="K945" s="8"/>
    </row>
    <row r="946" ht="15.75" customHeight="1">
      <c r="A946" s="8"/>
      <c r="B946" s="8"/>
      <c r="C946" s="8"/>
      <c r="D946" s="8"/>
      <c r="E946" s="8"/>
      <c r="F946" s="8"/>
      <c r="G946" s="8"/>
      <c r="H946" s="8"/>
      <c r="I946" s="8"/>
      <c r="J946" s="8"/>
      <c r="K946" s="8"/>
    </row>
    <row r="947" ht="15.75" customHeight="1">
      <c r="A947" s="8"/>
      <c r="B947" s="8"/>
      <c r="C947" s="8"/>
      <c r="D947" s="8"/>
      <c r="E947" s="8"/>
      <c r="F947" s="8"/>
      <c r="G947" s="8"/>
      <c r="H947" s="8"/>
      <c r="I947" s="8"/>
      <c r="J947" s="8"/>
      <c r="K947" s="8"/>
    </row>
    <row r="948" ht="15.75" customHeight="1">
      <c r="A948" s="8"/>
      <c r="B948" s="8"/>
      <c r="C948" s="8"/>
      <c r="D948" s="8"/>
      <c r="E948" s="8"/>
      <c r="F948" s="8"/>
      <c r="G948" s="8"/>
      <c r="H948" s="8"/>
      <c r="I948" s="8"/>
      <c r="J948" s="8"/>
      <c r="K948" s="8"/>
    </row>
    <row r="949" ht="15.75" customHeight="1">
      <c r="A949" s="8"/>
      <c r="B949" s="8"/>
      <c r="C949" s="8"/>
      <c r="D949" s="8"/>
      <c r="E949" s="8"/>
      <c r="F949" s="8"/>
      <c r="G949" s="8"/>
      <c r="H949" s="8"/>
      <c r="I949" s="8"/>
      <c r="J949" s="8"/>
      <c r="K949" s="8"/>
    </row>
    <row r="950" ht="15.75" customHeight="1">
      <c r="A950" s="8"/>
      <c r="B950" s="8"/>
      <c r="C950" s="8"/>
      <c r="D950" s="8"/>
      <c r="E950" s="8"/>
      <c r="F950" s="8"/>
      <c r="G950" s="8"/>
      <c r="H950" s="8"/>
      <c r="I950" s="8"/>
      <c r="J950" s="8"/>
      <c r="K950" s="8"/>
    </row>
    <row r="951" ht="15.75" customHeight="1">
      <c r="A951" s="8"/>
      <c r="B951" s="8"/>
      <c r="C951" s="8"/>
      <c r="D951" s="8"/>
      <c r="E951" s="8"/>
      <c r="F951" s="8"/>
      <c r="G951" s="8"/>
      <c r="H951" s="8"/>
      <c r="I951" s="8"/>
      <c r="J951" s="8"/>
      <c r="K951" s="8"/>
    </row>
    <row r="952" ht="15.75" customHeight="1">
      <c r="A952" s="8"/>
      <c r="B952" s="8"/>
      <c r="C952" s="8"/>
      <c r="D952" s="8"/>
      <c r="E952" s="8"/>
      <c r="F952" s="8"/>
      <c r="G952" s="8"/>
      <c r="H952" s="8"/>
      <c r="I952" s="8"/>
      <c r="J952" s="8"/>
      <c r="K952" s="8"/>
    </row>
    <row r="953" ht="15.75" customHeight="1">
      <c r="A953" s="8"/>
      <c r="B953" s="8"/>
      <c r="C953" s="8"/>
      <c r="D953" s="8"/>
      <c r="E953" s="8"/>
      <c r="F953" s="8"/>
      <c r="G953" s="8"/>
      <c r="H953" s="8"/>
      <c r="I953" s="8"/>
      <c r="J953" s="8"/>
      <c r="K953" s="8"/>
    </row>
    <row r="954" ht="15.75" customHeight="1">
      <c r="A954" s="8"/>
      <c r="B954" s="8"/>
      <c r="C954" s="8"/>
      <c r="D954" s="8"/>
      <c r="E954" s="8"/>
      <c r="F954" s="8"/>
      <c r="G954" s="8"/>
      <c r="H954" s="8"/>
      <c r="I954" s="8"/>
      <c r="J954" s="8"/>
      <c r="K954" s="8"/>
    </row>
    <row r="955" ht="15.75" customHeight="1">
      <c r="A955" s="8"/>
      <c r="B955" s="8"/>
      <c r="C955" s="8"/>
      <c r="D955" s="8"/>
      <c r="E955" s="8"/>
      <c r="F955" s="8"/>
      <c r="G955" s="8"/>
      <c r="H955" s="8"/>
      <c r="I955" s="8"/>
      <c r="J955" s="8"/>
      <c r="K955" s="8"/>
    </row>
    <row r="956" ht="15.75" customHeight="1">
      <c r="A956" s="8"/>
      <c r="B956" s="8"/>
      <c r="C956" s="8"/>
      <c r="D956" s="8"/>
      <c r="E956" s="8"/>
      <c r="F956" s="8"/>
      <c r="G956" s="8"/>
      <c r="H956" s="8"/>
      <c r="I956" s="8"/>
      <c r="J956" s="8"/>
      <c r="K956" s="8"/>
    </row>
    <row r="957" ht="15.75" customHeight="1">
      <c r="A957" s="8"/>
      <c r="B957" s="8"/>
      <c r="C957" s="8"/>
      <c r="D957" s="8"/>
      <c r="E957" s="8"/>
      <c r="F957" s="8"/>
      <c r="G957" s="8"/>
      <c r="H957" s="8"/>
      <c r="I957" s="8"/>
      <c r="J957" s="8"/>
      <c r="K957" s="8"/>
    </row>
    <row r="958" ht="15.75" customHeight="1">
      <c r="A958" s="8"/>
      <c r="B958" s="8"/>
      <c r="C958" s="8"/>
      <c r="D958" s="8"/>
      <c r="E958" s="8"/>
      <c r="F958" s="8"/>
      <c r="G958" s="8"/>
      <c r="H958" s="8"/>
      <c r="I958" s="8"/>
      <c r="J958" s="8"/>
      <c r="K958" s="8"/>
    </row>
    <row r="959" ht="15.75" customHeight="1">
      <c r="A959" s="8"/>
      <c r="B959" s="8"/>
      <c r="C959" s="8"/>
      <c r="D959" s="8"/>
      <c r="E959" s="8"/>
      <c r="F959" s="8"/>
      <c r="G959" s="8"/>
      <c r="H959" s="8"/>
      <c r="I959" s="8"/>
      <c r="J959" s="8"/>
      <c r="K959" s="8"/>
    </row>
    <row r="960" ht="15.75" customHeight="1">
      <c r="A960" s="8"/>
      <c r="B960" s="8"/>
      <c r="C960" s="8"/>
      <c r="D960" s="8"/>
      <c r="E960" s="8"/>
      <c r="F960" s="8"/>
      <c r="G960" s="8"/>
      <c r="H960" s="8"/>
      <c r="I960" s="8"/>
      <c r="J960" s="8"/>
      <c r="K960" s="8"/>
    </row>
    <row r="961" ht="15.75" customHeight="1">
      <c r="A961" s="8"/>
      <c r="B961" s="8"/>
      <c r="C961" s="8"/>
      <c r="D961" s="8"/>
      <c r="E961" s="8"/>
      <c r="F961" s="8"/>
      <c r="G961" s="8"/>
      <c r="H961" s="8"/>
      <c r="I961" s="8"/>
      <c r="J961" s="8"/>
      <c r="K961" s="8"/>
    </row>
    <row r="962" ht="15.75" customHeight="1">
      <c r="A962" s="8"/>
      <c r="B962" s="8"/>
      <c r="C962" s="8"/>
      <c r="D962" s="8"/>
      <c r="E962" s="8"/>
      <c r="F962" s="8"/>
      <c r="G962" s="8"/>
      <c r="H962" s="8"/>
      <c r="I962" s="8"/>
      <c r="J962" s="8"/>
      <c r="K962" s="8"/>
    </row>
    <row r="963" ht="15.75" customHeight="1">
      <c r="A963" s="8"/>
      <c r="B963" s="8"/>
      <c r="C963" s="8"/>
      <c r="D963" s="8"/>
      <c r="E963" s="8"/>
      <c r="F963" s="8"/>
      <c r="G963" s="8"/>
      <c r="H963" s="8"/>
      <c r="I963" s="8"/>
      <c r="J963" s="8"/>
      <c r="K963" s="8"/>
    </row>
    <row r="964" ht="15.75" customHeight="1">
      <c r="A964" s="8"/>
      <c r="B964" s="8"/>
      <c r="C964" s="8"/>
      <c r="D964" s="8"/>
      <c r="E964" s="8"/>
      <c r="F964" s="8"/>
      <c r="G964" s="8"/>
      <c r="H964" s="8"/>
      <c r="I964" s="8"/>
      <c r="J964" s="8"/>
      <c r="K964" s="8"/>
    </row>
    <row r="965" ht="15.75" customHeight="1">
      <c r="A965" s="8"/>
      <c r="B965" s="8"/>
      <c r="C965" s="8"/>
      <c r="D965" s="8"/>
      <c r="E965" s="8"/>
      <c r="F965" s="8"/>
      <c r="G965" s="8"/>
      <c r="H965" s="8"/>
      <c r="I965" s="8"/>
      <c r="J965" s="8"/>
      <c r="K965" s="8"/>
    </row>
    <row r="966" ht="15.75" customHeight="1">
      <c r="A966" s="8"/>
      <c r="B966" s="8"/>
      <c r="C966" s="8"/>
      <c r="D966" s="8"/>
      <c r="E966" s="8"/>
      <c r="F966" s="8"/>
      <c r="G966" s="8"/>
      <c r="H966" s="8"/>
      <c r="I966" s="8"/>
      <c r="J966" s="8"/>
      <c r="K966" s="8"/>
    </row>
    <row r="967" ht="15.75" customHeight="1">
      <c r="A967" s="8"/>
      <c r="B967" s="8"/>
      <c r="C967" s="8"/>
      <c r="D967" s="8"/>
      <c r="E967" s="8"/>
      <c r="F967" s="8"/>
      <c r="G967" s="8"/>
      <c r="H967" s="8"/>
      <c r="I967" s="8"/>
      <c r="J967" s="8"/>
      <c r="K967" s="8"/>
    </row>
    <row r="968" ht="15.75" customHeight="1">
      <c r="A968" s="8"/>
      <c r="B968" s="8"/>
      <c r="C968" s="8"/>
      <c r="D968" s="8"/>
      <c r="E968" s="8"/>
      <c r="F968" s="8"/>
      <c r="G968" s="8"/>
      <c r="H968" s="8"/>
      <c r="I968" s="8"/>
      <c r="J968" s="8"/>
      <c r="K968" s="8"/>
    </row>
    <row r="969" ht="15.75" customHeight="1">
      <c r="A969" s="8"/>
      <c r="B969" s="8"/>
      <c r="C969" s="8"/>
      <c r="D969" s="8"/>
      <c r="E969" s="8"/>
      <c r="F969" s="8"/>
      <c r="G969" s="8"/>
      <c r="H969" s="8"/>
      <c r="I969" s="8"/>
      <c r="J969" s="8"/>
      <c r="K969" s="8"/>
    </row>
    <row r="970" ht="15.75" customHeight="1">
      <c r="A970" s="8"/>
      <c r="B970" s="8"/>
      <c r="C970" s="8"/>
      <c r="D970" s="8"/>
      <c r="E970" s="8"/>
      <c r="F970" s="8"/>
      <c r="G970" s="8"/>
      <c r="H970" s="8"/>
      <c r="I970" s="8"/>
      <c r="J970" s="8"/>
      <c r="K970" s="8"/>
    </row>
    <row r="971" ht="15.75" customHeight="1">
      <c r="A971" s="8"/>
      <c r="B971" s="8"/>
      <c r="C971" s="8"/>
      <c r="D971" s="8"/>
      <c r="E971" s="8"/>
      <c r="F971" s="8"/>
      <c r="G971" s="8"/>
      <c r="H971" s="8"/>
      <c r="I971" s="8"/>
      <c r="J971" s="8"/>
      <c r="K971" s="8"/>
    </row>
    <row r="972" ht="15.75" customHeight="1">
      <c r="A972" s="8"/>
      <c r="B972" s="8"/>
      <c r="C972" s="8"/>
      <c r="D972" s="8"/>
      <c r="E972" s="8"/>
      <c r="F972" s="8"/>
      <c r="G972" s="8"/>
      <c r="H972" s="8"/>
      <c r="I972" s="8"/>
      <c r="J972" s="8"/>
      <c r="K972" s="8"/>
    </row>
    <row r="973" ht="15.75" customHeight="1">
      <c r="A973" s="8"/>
      <c r="B973" s="8"/>
      <c r="C973" s="8"/>
      <c r="D973" s="8"/>
      <c r="E973" s="8"/>
      <c r="F973" s="8"/>
      <c r="G973" s="8"/>
      <c r="H973" s="8"/>
      <c r="I973" s="8"/>
      <c r="J973" s="8"/>
      <c r="K973" s="8"/>
    </row>
    <row r="974" ht="15.75" customHeight="1">
      <c r="A974" s="8"/>
      <c r="B974" s="8"/>
      <c r="C974" s="8"/>
      <c r="D974" s="8"/>
      <c r="E974" s="8"/>
      <c r="F974" s="8"/>
      <c r="G974" s="8"/>
      <c r="H974" s="8"/>
      <c r="I974" s="8"/>
      <c r="J974" s="8"/>
      <c r="K974" s="8"/>
    </row>
    <row r="975" ht="15.75" customHeight="1">
      <c r="A975" s="8"/>
      <c r="B975" s="8"/>
      <c r="C975" s="8"/>
      <c r="D975" s="8"/>
      <c r="E975" s="8"/>
      <c r="F975" s="8"/>
      <c r="G975" s="8"/>
      <c r="H975" s="8"/>
      <c r="I975" s="8"/>
      <c r="J975" s="8"/>
      <c r="K975" s="8"/>
    </row>
    <row r="976" ht="15.75" customHeight="1">
      <c r="A976" s="8"/>
      <c r="B976" s="8"/>
      <c r="C976" s="8"/>
      <c r="D976" s="8"/>
      <c r="E976" s="8"/>
      <c r="F976" s="8"/>
      <c r="G976" s="8"/>
      <c r="H976" s="8"/>
      <c r="I976" s="8"/>
      <c r="J976" s="8"/>
      <c r="K976" s="8"/>
    </row>
    <row r="977" ht="15.75" customHeight="1">
      <c r="A977" s="8"/>
      <c r="B977" s="8"/>
      <c r="C977" s="8"/>
      <c r="D977" s="8"/>
      <c r="E977" s="8"/>
      <c r="F977" s="8"/>
      <c r="G977" s="8"/>
      <c r="H977" s="8"/>
      <c r="I977" s="8"/>
      <c r="J977" s="8"/>
      <c r="K977" s="8"/>
    </row>
    <row r="978" ht="15.75" customHeight="1">
      <c r="A978" s="8"/>
      <c r="B978" s="8"/>
      <c r="C978" s="8"/>
      <c r="D978" s="8"/>
      <c r="E978" s="8"/>
      <c r="F978" s="8"/>
      <c r="G978" s="8"/>
      <c r="H978" s="8"/>
      <c r="I978" s="8"/>
      <c r="J978" s="8"/>
      <c r="K978" s="8"/>
    </row>
    <row r="979" ht="15.75" customHeight="1">
      <c r="A979" s="8"/>
      <c r="B979" s="8"/>
      <c r="C979" s="8"/>
      <c r="D979" s="8"/>
      <c r="E979" s="8"/>
      <c r="F979" s="8"/>
      <c r="G979" s="8"/>
      <c r="H979" s="8"/>
      <c r="I979" s="8"/>
      <c r="J979" s="8"/>
      <c r="K979" s="8"/>
    </row>
    <row r="980" ht="15.75" customHeight="1">
      <c r="A980" s="8"/>
      <c r="B980" s="8"/>
      <c r="C980" s="8"/>
      <c r="D980" s="8"/>
      <c r="E980" s="8"/>
      <c r="F980" s="8"/>
      <c r="G980" s="8"/>
      <c r="H980" s="8"/>
      <c r="I980" s="8"/>
      <c r="J980" s="8"/>
      <c r="K980" s="8"/>
    </row>
    <row r="981" ht="15.75" customHeight="1">
      <c r="A981" s="8"/>
      <c r="B981" s="8"/>
      <c r="C981" s="8"/>
      <c r="D981" s="8"/>
      <c r="E981" s="8"/>
      <c r="F981" s="8"/>
      <c r="G981" s="8"/>
      <c r="H981" s="8"/>
      <c r="I981" s="8"/>
      <c r="J981" s="8"/>
      <c r="K981" s="8"/>
    </row>
    <row r="982" ht="15.75" customHeight="1">
      <c r="A982" s="8"/>
      <c r="B982" s="8"/>
      <c r="C982" s="8"/>
      <c r="D982" s="8"/>
      <c r="E982" s="8"/>
      <c r="F982" s="8"/>
      <c r="G982" s="8"/>
      <c r="H982" s="8"/>
      <c r="I982" s="8"/>
      <c r="J982" s="8"/>
      <c r="K982" s="8"/>
    </row>
    <row r="983" ht="15.75" customHeight="1">
      <c r="A983" s="8"/>
      <c r="B983" s="8"/>
      <c r="C983" s="8"/>
      <c r="D983" s="8"/>
      <c r="E983" s="8"/>
      <c r="F983" s="8"/>
      <c r="G983" s="8"/>
      <c r="H983" s="8"/>
      <c r="I983" s="8"/>
      <c r="J983" s="8"/>
      <c r="K983" s="8"/>
    </row>
    <row r="984" ht="15.75" customHeight="1">
      <c r="A984" s="8"/>
      <c r="B984" s="8"/>
      <c r="C984" s="8"/>
      <c r="D984" s="8"/>
      <c r="E984" s="8"/>
      <c r="F984" s="8"/>
      <c r="G984" s="8"/>
      <c r="H984" s="8"/>
      <c r="I984" s="8"/>
      <c r="J984" s="8"/>
      <c r="K984" s="8"/>
    </row>
    <row r="985" ht="15.75" customHeight="1">
      <c r="A985" s="8"/>
      <c r="B985" s="8"/>
      <c r="C985" s="8"/>
      <c r="D985" s="8"/>
      <c r="E985" s="8"/>
      <c r="F985" s="8"/>
      <c r="G985" s="8"/>
      <c r="H985" s="8"/>
      <c r="I985" s="8"/>
      <c r="J985" s="8"/>
      <c r="K985" s="8"/>
    </row>
    <row r="986" ht="15.75" customHeight="1">
      <c r="A986" s="8"/>
      <c r="B986" s="8"/>
      <c r="C986" s="8"/>
      <c r="D986" s="8"/>
      <c r="E986" s="8"/>
      <c r="F986" s="8"/>
      <c r="G986" s="8"/>
      <c r="H986" s="8"/>
      <c r="I986" s="8"/>
      <c r="J986" s="8"/>
      <c r="K986" s="8"/>
    </row>
    <row r="987" ht="15.75" customHeight="1">
      <c r="A987" s="8"/>
      <c r="B987" s="8"/>
      <c r="C987" s="8"/>
      <c r="D987" s="8"/>
      <c r="E987" s="8"/>
      <c r="F987" s="8"/>
      <c r="G987" s="8"/>
      <c r="H987" s="8"/>
      <c r="I987" s="8"/>
      <c r="J987" s="8"/>
      <c r="K987" s="8"/>
    </row>
    <row r="988" ht="15.75" customHeight="1">
      <c r="A988" s="8"/>
      <c r="B988" s="8"/>
      <c r="C988" s="8"/>
      <c r="D988" s="8"/>
      <c r="E988" s="8"/>
      <c r="F988" s="8"/>
      <c r="G988" s="8"/>
      <c r="H988" s="8"/>
      <c r="I988" s="8"/>
      <c r="J988" s="8"/>
      <c r="K988" s="8"/>
    </row>
    <row r="989" ht="15.75" customHeight="1">
      <c r="A989" s="8"/>
      <c r="B989" s="8"/>
      <c r="C989" s="8"/>
      <c r="D989" s="8"/>
      <c r="E989" s="8"/>
      <c r="F989" s="8"/>
      <c r="G989" s="8"/>
      <c r="H989" s="8"/>
      <c r="I989" s="8"/>
      <c r="J989" s="8"/>
      <c r="K989" s="8"/>
    </row>
    <row r="990" ht="15.75" customHeight="1">
      <c r="A990" s="8"/>
      <c r="B990" s="8"/>
      <c r="C990" s="8"/>
      <c r="D990" s="8"/>
      <c r="E990" s="8"/>
      <c r="F990" s="8"/>
      <c r="G990" s="8"/>
      <c r="H990" s="8"/>
      <c r="I990" s="8"/>
      <c r="J990" s="8"/>
      <c r="K990" s="8"/>
    </row>
    <row r="991" ht="15.75" customHeight="1">
      <c r="A991" s="8"/>
      <c r="B991" s="8"/>
      <c r="C991" s="8"/>
      <c r="D991" s="8"/>
      <c r="E991" s="8"/>
      <c r="F991" s="8"/>
      <c r="G991" s="8"/>
      <c r="H991" s="8"/>
      <c r="I991" s="8"/>
      <c r="J991" s="8"/>
      <c r="K991" s="8"/>
    </row>
    <row r="992" ht="15.75" customHeight="1">
      <c r="A992" s="8"/>
      <c r="B992" s="8"/>
      <c r="C992" s="8"/>
      <c r="D992" s="8"/>
      <c r="E992" s="8"/>
      <c r="F992" s="8"/>
      <c r="G992" s="8"/>
      <c r="H992" s="8"/>
      <c r="I992" s="8"/>
      <c r="J992" s="8"/>
      <c r="K992" s="8"/>
    </row>
    <row r="993" ht="15.75" customHeight="1">
      <c r="A993" s="8"/>
      <c r="B993" s="8"/>
      <c r="C993" s="8"/>
      <c r="D993" s="8"/>
      <c r="E993" s="8"/>
      <c r="F993" s="8"/>
      <c r="G993" s="8"/>
      <c r="H993" s="8"/>
      <c r="I993" s="8"/>
      <c r="J993" s="8"/>
      <c r="K993" s="8"/>
    </row>
    <row r="994" ht="15.75" customHeight="1">
      <c r="A994" s="8"/>
      <c r="B994" s="8"/>
      <c r="C994" s="8"/>
      <c r="D994" s="8"/>
      <c r="E994" s="8"/>
      <c r="F994" s="8"/>
      <c r="G994" s="8"/>
      <c r="H994" s="8"/>
      <c r="I994" s="8"/>
      <c r="J994" s="8"/>
      <c r="K994" s="8"/>
    </row>
    <row r="995" ht="15.75" customHeight="1">
      <c r="A995" s="8"/>
      <c r="B995" s="8"/>
      <c r="C995" s="8"/>
      <c r="D995" s="8"/>
      <c r="E995" s="8"/>
      <c r="F995" s="8"/>
      <c r="G995" s="8"/>
      <c r="H995" s="8"/>
      <c r="I995" s="8"/>
      <c r="J995" s="8"/>
      <c r="K995" s="8"/>
    </row>
    <row r="996" ht="15.75" customHeight="1">
      <c r="A996" s="8"/>
      <c r="B996" s="8"/>
      <c r="C996" s="8"/>
      <c r="D996" s="8"/>
      <c r="E996" s="8"/>
      <c r="F996" s="8"/>
      <c r="G996" s="8"/>
      <c r="H996" s="8"/>
      <c r="I996" s="8"/>
      <c r="J996" s="8"/>
      <c r="K996" s="8"/>
    </row>
    <row r="997" ht="15.75" customHeight="1">
      <c r="A997" s="8"/>
      <c r="B997" s="8"/>
      <c r="C997" s="8"/>
      <c r="D997" s="8"/>
      <c r="E997" s="8"/>
      <c r="F997" s="8"/>
      <c r="G997" s="8"/>
      <c r="H997" s="8"/>
      <c r="I997" s="8"/>
      <c r="J997" s="8"/>
      <c r="K997" s="8"/>
    </row>
    <row r="998" ht="15.75" customHeight="1">
      <c r="A998" s="8"/>
      <c r="B998" s="8"/>
      <c r="C998" s="8"/>
      <c r="D998" s="8"/>
      <c r="E998" s="8"/>
      <c r="F998" s="8"/>
      <c r="G998" s="8"/>
      <c r="H998" s="8"/>
      <c r="I998" s="8"/>
      <c r="J998" s="8"/>
      <c r="K998" s="8"/>
    </row>
    <row r="999" ht="15.75" customHeight="1">
      <c r="A999" s="8"/>
      <c r="B999" s="8"/>
      <c r="C999" s="8"/>
      <c r="D999" s="8"/>
      <c r="E999" s="8"/>
      <c r="F999" s="8"/>
      <c r="G999" s="8"/>
      <c r="H999" s="8"/>
      <c r="I999" s="8"/>
      <c r="J999" s="8"/>
      <c r="K999" s="8"/>
    </row>
    <row r="1000" ht="15.75" customHeight="1">
      <c r="A1000" s="8"/>
      <c r="B1000" s="8"/>
      <c r="C1000" s="8"/>
      <c r="D1000" s="8"/>
      <c r="E1000" s="8"/>
      <c r="F1000" s="8"/>
      <c r="G1000" s="8"/>
      <c r="H1000" s="8"/>
      <c r="I1000" s="8"/>
      <c r="J1000" s="8"/>
      <c r="K1000" s="8"/>
    </row>
  </sheetData>
  <mergeCells count="18">
    <mergeCell ref="A2:K2"/>
    <mergeCell ref="A7:K7"/>
    <mergeCell ref="A13:K13"/>
    <mergeCell ref="A16:K16"/>
    <mergeCell ref="A19:K19"/>
    <mergeCell ref="A24:K24"/>
    <mergeCell ref="A28:K28"/>
    <mergeCell ref="A74:K74"/>
    <mergeCell ref="A80:K80"/>
    <mergeCell ref="A88:K88"/>
    <mergeCell ref="A92:K92"/>
    <mergeCell ref="A39:K39"/>
    <mergeCell ref="A43:K43"/>
    <mergeCell ref="A46:K46"/>
    <mergeCell ref="A50:K50"/>
    <mergeCell ref="A56:K56"/>
    <mergeCell ref="A63:K63"/>
    <mergeCell ref="A71:K71"/>
  </mergeCells>
  <conditionalFormatting sqref="A2:K94">
    <cfRule type="expression" dxfId="0" priority="1">
      <formula>$H2="Done"</formula>
    </cfRule>
  </conditionalFormatting>
  <conditionalFormatting sqref="A2:K94">
    <cfRule type="expression" dxfId="1" priority="2">
      <formula>$H2="In Progress"</formula>
    </cfRule>
  </conditionalFormatting>
  <conditionalFormatting sqref="A2:K94">
    <cfRule type="expression" dxfId="2" priority="3">
      <formula>$H2="In Review"</formula>
    </cfRule>
  </conditionalFormatting>
  <conditionalFormatting sqref="A2:K94">
    <cfRule type="expression" dxfId="3" priority="4">
      <formula>$H2="Blocked"</formula>
    </cfRule>
  </conditionalFormatting>
  <conditionalFormatting sqref="A2:K94">
    <cfRule type="expression" dxfId="4" priority="5">
      <formula>$H2="To Do"</formula>
    </cfRule>
  </conditionalFormatting>
  <dataValidations>
    <dataValidation type="list" allowBlank="1" sqref="H3:H6 H8:H12 H14:H15 H17:H18 H20:H23 H25:H27 H29:H38 H40:H42 H44:H45 H47:H49 H51:H55 H57:H62 H64:H70 H72:H73 H75:H79 H81:H87 H89:H91 H93:H94">
      <formula1>"Done,In Progress,In Review,To Do,Blocked"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8.0"/>
    <col customWidth="1" min="3" max="5" width="16.0"/>
    <col customWidth="1" min="6" max="6" width="10.0"/>
    <col customWidth="1" min="7" max="26" width="8.71"/>
  </cols>
  <sheetData>
    <row r="1" ht="21.75" customHeight="1">
      <c r="A1" s="47" t="s">
        <v>418</v>
      </c>
      <c r="B1" s="10"/>
      <c r="C1" s="10"/>
      <c r="D1" s="10"/>
      <c r="E1" s="10"/>
      <c r="F1" s="11"/>
    </row>
    <row r="2" ht="18.0" customHeight="1">
      <c r="A2" s="48" t="s">
        <v>419</v>
      </c>
      <c r="B2" s="10"/>
      <c r="C2" s="10"/>
      <c r="D2" s="10"/>
      <c r="E2" s="10"/>
      <c r="F2" s="11"/>
    </row>
    <row r="3" ht="43.5" customHeight="1">
      <c r="A3" s="49">
        <f>(COUNTIF(Tracker!H:H,"Done")*100+COUNTIF(Tracker!H:H,"In Progress")*50+COUNTIF(Tracker!H:H,"In Review")*75)/MAX(1,COUNTIF(Tracker!C:C,"EP-*"))</f>
        <v>28.33333333</v>
      </c>
      <c r="B3" s="10"/>
      <c r="C3" s="10"/>
      <c r="D3" s="10"/>
      <c r="E3" s="10"/>
      <c r="F3" s="11"/>
    </row>
    <row r="4" ht="7.5" customHeight="1"/>
    <row r="5" ht="21.75" customHeight="1">
      <c r="A5" s="50" t="s">
        <v>420</v>
      </c>
      <c r="B5" s="10"/>
      <c r="C5" s="10"/>
      <c r="D5" s="11"/>
    </row>
    <row r="6" ht="15.75" customHeight="1">
      <c r="A6" s="51" t="s">
        <v>7</v>
      </c>
      <c r="B6" s="52" t="s">
        <v>15</v>
      </c>
      <c r="C6" s="53" t="s">
        <v>26</v>
      </c>
      <c r="D6" s="54" t="s">
        <v>53</v>
      </c>
    </row>
    <row r="7" ht="25.5" customHeight="1">
      <c r="A7" s="55" t="str">
        <f>(COUNTIFS(#REF!,"C1",Tracker!H:H,"Done")*100+COUNTIFS(#REF!,"C1",Tracker!H:H,"In Progress")*50+COUNTIFS(#REF!,"C1",Tracker!H:H,"In Review")*75)/MAX(1,COUNTIF(#REF!,"C1"))</f>
        <v>#VALUE!</v>
      </c>
      <c r="B7" s="56" t="str">
        <f>(COUNTIFS(#REF!,"C2",Tracker!H:H,"Done")*100+COUNTIFS(#REF!,"C2",Tracker!H:H,"In Progress")*50+COUNTIFS(#REF!,"C2",Tracker!H:H,"In Review")*75)/MAX(1,COUNTIF(#REF!,"C2"))</f>
        <v>#VALUE!</v>
      </c>
      <c r="C7" s="57" t="str">
        <f>(COUNTIFS(#REF!,"C3",Tracker!H:H,"Done")*100+COUNTIFS(#REF!,"C3",Tracker!H:H,"In Progress")*50+COUNTIFS(#REF!,"C3",Tracker!H:H,"In Review")*75)/MAX(1,COUNTIF(#REF!,"C3"))</f>
        <v>#VALUE!</v>
      </c>
      <c r="D7" s="58" t="str">
        <f>(COUNTIFS(#REF!,"C4",Tracker!H:H,"Done")*100+COUNTIFS(#REF!,"C4",Tracker!H:H,"In Progress")*50+COUNTIFS(#REF!,"C4",Tracker!H:H,"In Review")*75)/MAX(1,COUNTIF(#REF!,"C4"))</f>
        <v>#VALUE!</v>
      </c>
    </row>
    <row r="8" ht="7.5" customHeight="1"/>
    <row r="9" ht="21.75" customHeight="1">
      <c r="A9" s="50" t="s">
        <v>421</v>
      </c>
      <c r="B9" s="10"/>
      <c r="C9" s="10"/>
      <c r="D9" s="10"/>
      <c r="E9" s="11"/>
    </row>
    <row r="10" ht="15.75" customHeight="1">
      <c r="A10" s="59" t="s">
        <v>85</v>
      </c>
      <c r="B10" s="59" t="s">
        <v>125</v>
      </c>
      <c r="C10" s="59" t="s">
        <v>163</v>
      </c>
      <c r="D10" s="59" t="s">
        <v>131</v>
      </c>
      <c r="E10" s="59" t="s">
        <v>315</v>
      </c>
    </row>
    <row r="11" ht="30.0" customHeight="1">
      <c r="A11" s="60">
        <f>COUNTIF(Tracker!H:H,"Done")</f>
        <v>17</v>
      </c>
      <c r="B11" s="61">
        <f>COUNTIF(Tracker!H:H,"In Progress")</f>
        <v>7</v>
      </c>
      <c r="C11" s="62">
        <f>COUNTIF(Tracker!H:H,"In Review")</f>
        <v>1</v>
      </c>
      <c r="D11" s="63">
        <f>COUNTIF(Tracker!H:H,"To Do")</f>
        <v>46</v>
      </c>
      <c r="E11" s="64">
        <f>COUNTIF(Tracker!H:H,"Blocked")</f>
        <v>4</v>
      </c>
    </row>
    <row r="12" ht="7.5" customHeight="1"/>
    <row r="13" ht="21.75" customHeight="1">
      <c r="A13" s="50" t="s">
        <v>422</v>
      </c>
      <c r="B13" s="10"/>
      <c r="C13" s="10"/>
      <c r="D13" s="10"/>
      <c r="E13" s="10"/>
      <c r="F13" s="11"/>
    </row>
    <row r="14" ht="15.75" customHeight="1">
      <c r="A14" s="59" t="s">
        <v>423</v>
      </c>
      <c r="B14" s="59" t="s">
        <v>424</v>
      </c>
      <c r="C14" s="59" t="s">
        <v>85</v>
      </c>
      <c r="D14" s="59" t="s">
        <v>125</v>
      </c>
      <c r="E14" s="59" t="s">
        <v>425</v>
      </c>
      <c r="F14" s="59" t="s">
        <v>78</v>
      </c>
    </row>
    <row r="15" ht="24.0" customHeight="1">
      <c r="A15" s="65" t="s">
        <v>412</v>
      </c>
      <c r="B15" s="66" t="s">
        <v>426</v>
      </c>
      <c r="C15" s="67">
        <f>COUNTIFS(Tracker!G:G,"A (Maxine)",Tracker!H:H,"Done")</f>
        <v>0</v>
      </c>
      <c r="D15" s="68">
        <f>COUNTIFS(Tracker!G:G,"A (Maxine)",Tracker!H:H,"In Progress")</f>
        <v>1</v>
      </c>
      <c r="E15" s="65" t="str">
        <f>COUNTIF(Tracker!G:G,"A (Maxine)") &amp; " stories"</f>
        <v>2 stories</v>
      </c>
      <c r="F15" s="69">
        <f>(COUNTIFS(Tracker!G:G,"A (Maxine)",Tracker!H:H,"Done")*100+COUNTIFS(Tracker!G:G,"A (Maxine)",Tracker!H:H,"In Progress")*50)/MAX(1,COUNTIF(Tracker!G:G,"A (Maxine)"))</f>
        <v>25</v>
      </c>
    </row>
    <row r="16" ht="24.0" customHeight="1">
      <c r="A16" s="70" t="s">
        <v>91</v>
      </c>
      <c r="B16" s="71" t="s">
        <v>427</v>
      </c>
      <c r="C16" s="67">
        <f>COUNTIFS(Tracker!G:G,"B (Francis)",Tracker!H:H,"Done")</f>
        <v>9</v>
      </c>
      <c r="D16" s="68">
        <f>COUNTIFS(Tracker!G:G,"B (Francis)",Tracker!H:H,"In Progress")</f>
        <v>4</v>
      </c>
      <c r="E16" s="70" t="str">
        <f>COUNTIF(Tracker!G:G,"B (Francis)") &amp; " stories"</f>
        <v>36 stories</v>
      </c>
      <c r="F16" s="72">
        <f>(COUNTIFS(Tracker!G:G,"B (Francis)",Tracker!H:H,"Done")*100+COUNTIFS(Tracker!G:G,"B (Francis)",Tracker!H:H,"In Progress")*50)/MAX(1,COUNTIF(Tracker!G:G,"B (Francis)"))</f>
        <v>30.55555556</v>
      </c>
    </row>
    <row r="17" ht="24.0" customHeight="1">
      <c r="A17" s="73" t="s">
        <v>84</v>
      </c>
      <c r="B17" s="74" t="s">
        <v>428</v>
      </c>
      <c r="C17" s="67">
        <f>COUNTIFS(Tracker!G:G,"C (Ethan)",Tracker!H:H,"Done")</f>
        <v>4</v>
      </c>
      <c r="D17" s="68">
        <f>COUNTIFS(Tracker!G:G,"C (Ethan)",Tracker!H:H,"In Progress")</f>
        <v>2</v>
      </c>
      <c r="E17" s="73" t="str">
        <f>COUNTIF(Tracker!G:G,"C (Ethan)") &amp; " stories"</f>
        <v>16 stories</v>
      </c>
      <c r="F17" s="75">
        <f>(COUNTIFS(Tracker!G:G,"C (Ethan)",Tracker!H:H,"Done")*100+COUNTIFS(Tracker!G:G,"C (Ethan)",Tracker!H:H,"In Progress")*50)/MAX(1,COUNTIF(Tracker!G:G,"C (Ethan)"))</f>
        <v>31.25</v>
      </c>
    </row>
    <row r="18" ht="24.0" customHeight="1">
      <c r="A18" s="76" t="s">
        <v>96</v>
      </c>
      <c r="B18" s="77" t="s">
        <v>429</v>
      </c>
      <c r="C18" s="67">
        <f>COUNTIFS(Tracker!G:G,"D (Anthony)",Tracker!H:H,"Done")</f>
        <v>4</v>
      </c>
      <c r="D18" s="68">
        <f>COUNTIFS(Tracker!G:G,"D (Anthony)",Tracker!H:H,"In Progress")</f>
        <v>0</v>
      </c>
      <c r="E18" s="76" t="str">
        <f>COUNTIF(Tracker!G:G,"D (Anthony)") &amp; " stories"</f>
        <v>21 stories</v>
      </c>
      <c r="F18" s="78">
        <f>(COUNTIFS(Tracker!G:G,"D (Anthony)",Tracker!H:H,"Done")*100+COUNTIFS(Tracker!G:G,"D (Anthony)",Tracker!H:H,"In Progress")*50)/MAX(1,COUNTIF(Tracker!G:G,"D (Anthony)"))</f>
        <v>19.04761905</v>
      </c>
    </row>
    <row r="19" ht="7.5" customHeight="1"/>
    <row r="20" ht="21.75" customHeight="1">
      <c r="A20" s="50" t="s">
        <v>430</v>
      </c>
      <c r="B20" s="10"/>
      <c r="C20" s="10"/>
      <c r="D20" s="10"/>
      <c r="E20" s="10"/>
      <c r="F20" s="11"/>
    </row>
    <row r="21" ht="15.75" customHeight="1">
      <c r="A21" s="59" t="s">
        <v>431</v>
      </c>
      <c r="B21" s="59" t="s">
        <v>425</v>
      </c>
      <c r="C21" s="59" t="s">
        <v>85</v>
      </c>
      <c r="D21" s="59" t="s">
        <v>125</v>
      </c>
      <c r="E21" s="59" t="s">
        <v>78</v>
      </c>
      <c r="F21" s="59"/>
    </row>
    <row r="22" ht="24.0" customHeight="1">
      <c r="A22" s="79" t="s">
        <v>83</v>
      </c>
      <c r="B22" s="80">
        <f>COUNTIF(Tracker!F:F,"Must")</f>
        <v>51</v>
      </c>
      <c r="C22" s="81">
        <f>COUNTIFS(Tracker!F:F,"Must",Tracker!H:H,"Done")</f>
        <v>15</v>
      </c>
      <c r="D22" s="82">
        <f>COUNTIFS(Tracker!F:F,"Must",Tracker!H:H,"In Progress")</f>
        <v>7</v>
      </c>
      <c r="E22" s="83">
        <f>(COUNTIFS(Tracker!F:F,"Must",Tracker!H:H,"Done")*100+COUNTIFS(Tracker!F:F,"Must",Tracker!H:H,"In Progress")*50)/MAX(1,COUNTIF(Tracker!F:F,"Must"))</f>
        <v>36.2745098</v>
      </c>
      <c r="F22" s="84"/>
    </row>
    <row r="23" ht="24.0" customHeight="1">
      <c r="A23" s="85" t="s">
        <v>114</v>
      </c>
      <c r="B23" s="86">
        <f>COUNTIF(Tracker!F:F,"Should")</f>
        <v>18</v>
      </c>
      <c r="C23" s="81">
        <f>COUNTIFS(Tracker!F:F,"Should",Tracker!H:H,"Done")</f>
        <v>1</v>
      </c>
      <c r="D23" s="82">
        <f>COUNTIFS(Tracker!F:F,"Should",Tracker!H:H,"In Progress")</f>
        <v>0</v>
      </c>
      <c r="E23" s="87">
        <f>(COUNTIFS(Tracker!F:F,"Should",Tracker!H:H,"Done")*100+COUNTIFS(Tracker!F:F,"Should",Tracker!H:H,"In Progress")*50)/MAX(1,COUNTIF(Tracker!F:F,"Should"))</f>
        <v>5.555555556</v>
      </c>
      <c r="F23" s="84"/>
    </row>
    <row r="24" ht="24.0" customHeight="1">
      <c r="A24" s="88" t="s">
        <v>119</v>
      </c>
      <c r="B24" s="80">
        <f>COUNTIF(Tracker!F:F,"Could")</f>
        <v>6</v>
      </c>
      <c r="C24" s="81">
        <f>COUNTIFS(Tracker!F:F,"Could",Tracker!H:H,"Done")</f>
        <v>1</v>
      </c>
      <c r="D24" s="82">
        <f>COUNTIFS(Tracker!F:F,"Could",Tracker!H:H,"In Progress")</f>
        <v>0</v>
      </c>
      <c r="E24" s="83">
        <f>(COUNTIFS(Tracker!F:F,"Could",Tracker!H:H,"Done")*100+COUNTIFS(Tracker!F:F,"Could",Tracker!H:H,"In Progress")*50)/MAX(1,COUNTIF(Tracker!F:F,"Could"))</f>
        <v>16.66666667</v>
      </c>
      <c r="F24" s="84"/>
    </row>
    <row r="25" ht="7.5" customHeight="1"/>
    <row r="26" ht="21.75" customHeight="1">
      <c r="A26" s="50" t="s">
        <v>432</v>
      </c>
      <c r="B26" s="10"/>
      <c r="C26" s="10"/>
      <c r="D26" s="10"/>
      <c r="E26" s="10"/>
      <c r="F26" s="11"/>
    </row>
    <row r="27" ht="15.75" customHeight="1">
      <c r="A27" s="59" t="s">
        <v>0</v>
      </c>
      <c r="B27" s="59" t="s">
        <v>1</v>
      </c>
      <c r="C27" s="59" t="s">
        <v>425</v>
      </c>
      <c r="D27" s="59" t="s">
        <v>85</v>
      </c>
      <c r="E27" s="59" t="s">
        <v>78</v>
      </c>
      <c r="F27" s="59"/>
    </row>
    <row r="28" ht="18.0" customHeight="1">
      <c r="A28" s="89" t="s">
        <v>5</v>
      </c>
      <c r="B28" s="90" t="s">
        <v>6</v>
      </c>
      <c r="C28" s="91">
        <f>COUNTIF(Tracker!A:A,"EP-01")</f>
        <v>4</v>
      </c>
      <c r="D28" s="92">
        <f>COUNTIFS(Tracker!A:A,"EP-01",Tracker!H:H,"Done")</f>
        <v>4</v>
      </c>
      <c r="E28" s="93">
        <f>(COUNTIFS(Tracker!A:A,"EP-01",Tracker!H:H,"Done")*100+COUNTIFS(Tracker!A:A,"EP-01",Tracker!H:H,"In Progress")*50+COUNTIFS(Tracker!A:A,"EP-01",Tracker!H:H,"In Review")*75)/MAX(1,COUNTIF(Tracker!A:A,"EP-01"))</f>
        <v>100</v>
      </c>
      <c r="F28" s="84"/>
    </row>
    <row r="29" ht="18.0" customHeight="1">
      <c r="A29" s="94" t="s">
        <v>9</v>
      </c>
      <c r="B29" s="95" t="s">
        <v>10</v>
      </c>
      <c r="C29" s="96">
        <f>COUNTIF(Tracker!A:A,"EP-02")</f>
        <v>5</v>
      </c>
      <c r="D29" s="92">
        <f>COUNTIFS(Tracker!A:A,"EP-02",Tracker!H:H,"Done")</f>
        <v>4</v>
      </c>
      <c r="E29" s="97">
        <f>(COUNTIFS(Tracker!A:A,"EP-02",Tracker!H:H,"Done")*100+COUNTIFS(Tracker!A:A,"EP-02",Tracker!H:H,"In Progress")*50+COUNTIFS(Tracker!A:A,"EP-02",Tracker!H:H,"In Review")*75)/MAX(1,COUNTIF(Tracker!A:A,"EP-02"))</f>
        <v>90</v>
      </c>
      <c r="F29" s="84"/>
    </row>
    <row r="30" ht="18.0" customHeight="1">
      <c r="A30" s="89" t="s">
        <v>13</v>
      </c>
      <c r="B30" s="90" t="s">
        <v>14</v>
      </c>
      <c r="C30" s="91">
        <f>COUNTIF(Tracker!A:A,"EP-03")</f>
        <v>2</v>
      </c>
      <c r="D30" s="92">
        <f>COUNTIFS(Tracker!A:A,"EP-03",Tracker!H:H,"Done")</f>
        <v>0</v>
      </c>
      <c r="E30" s="93">
        <f>(COUNTIFS(Tracker!A:A,"EP-03",Tracker!H:H,"Done")*100+COUNTIFS(Tracker!A:A,"EP-03",Tracker!H:H,"In Progress")*50+COUNTIFS(Tracker!A:A,"EP-03",Tracker!H:H,"In Review")*75)/MAX(1,COUNTIF(Tracker!A:A,"EP-03"))</f>
        <v>0</v>
      </c>
      <c r="F30" s="84"/>
    </row>
    <row r="31" ht="18.0" customHeight="1">
      <c r="A31" s="94" t="s">
        <v>17</v>
      </c>
      <c r="B31" s="95" t="s">
        <v>18</v>
      </c>
      <c r="C31" s="96">
        <f>COUNTIF(Tracker!A:A,"EP-04")</f>
        <v>2</v>
      </c>
      <c r="D31" s="92">
        <f>COUNTIFS(Tracker!A:A,"EP-04",Tracker!H:H,"Done")</f>
        <v>0</v>
      </c>
      <c r="E31" s="97">
        <f>(COUNTIFS(Tracker!A:A,"EP-04",Tracker!H:H,"Done")*100+COUNTIFS(Tracker!A:A,"EP-04",Tracker!H:H,"In Progress")*50+COUNTIFS(Tracker!A:A,"EP-04",Tracker!H:H,"In Review")*75)/MAX(1,COUNTIF(Tracker!A:A,"EP-04"))</f>
        <v>25</v>
      </c>
      <c r="F31" s="84"/>
    </row>
    <row r="32" ht="18.0" customHeight="1">
      <c r="A32" s="89" t="s">
        <v>21</v>
      </c>
      <c r="B32" s="90" t="s">
        <v>22</v>
      </c>
      <c r="C32" s="91">
        <f>COUNTIF(Tracker!A:A,"EP-05")</f>
        <v>4</v>
      </c>
      <c r="D32" s="92">
        <f>COUNTIFS(Tracker!A:A,"EP-05",Tracker!H:H,"Done")</f>
        <v>0</v>
      </c>
      <c r="E32" s="93">
        <f>(COUNTIFS(Tracker!A:A,"EP-05",Tracker!H:H,"Done")*100+COUNTIFS(Tracker!A:A,"EP-05",Tracker!H:H,"In Progress")*50+COUNTIFS(Tracker!A:A,"EP-05",Tracker!H:H,"In Review")*75)/MAX(1,COUNTIF(Tracker!A:A,"EP-05"))</f>
        <v>18.75</v>
      </c>
      <c r="F32" s="84"/>
    </row>
    <row r="33" ht="18.0" customHeight="1">
      <c r="A33" s="94" t="s">
        <v>24</v>
      </c>
      <c r="B33" s="95" t="s">
        <v>25</v>
      </c>
      <c r="C33" s="96">
        <f>COUNTIF(Tracker!A:A,"EP-06")</f>
        <v>3</v>
      </c>
      <c r="D33" s="92">
        <f>COUNTIFS(Tracker!A:A,"EP-06",Tracker!H:H,"Done")</f>
        <v>0</v>
      </c>
      <c r="E33" s="97">
        <f>(COUNTIFS(Tracker!A:A,"EP-06",Tracker!H:H,"Done")*100+COUNTIFS(Tracker!A:A,"EP-06",Tracker!H:H,"In Progress")*50+COUNTIFS(Tracker!A:A,"EP-06",Tracker!H:H,"In Review")*75)/MAX(1,COUNTIF(Tracker!A:A,"EP-06"))</f>
        <v>0</v>
      </c>
      <c r="F33" s="84"/>
    </row>
    <row r="34" ht="18.0" customHeight="1">
      <c r="A34" s="89" t="s">
        <v>28</v>
      </c>
      <c r="B34" s="90" t="s">
        <v>29</v>
      </c>
      <c r="C34" s="91">
        <f>COUNTIF(Tracker!A:A,"EP-07")</f>
        <v>10</v>
      </c>
      <c r="D34" s="92">
        <f>COUNTIFS(Tracker!A:A,"EP-07",Tracker!H:H,"Done")</f>
        <v>5</v>
      </c>
      <c r="E34" s="93">
        <f>(COUNTIFS(Tracker!A:A,"EP-07",Tracker!H:H,"Done")*100+COUNTIFS(Tracker!A:A,"EP-07",Tracker!H:H,"In Progress")*50+COUNTIFS(Tracker!A:A,"EP-07",Tracker!H:H,"In Review")*75)/MAX(1,COUNTIF(Tracker!A:A,"EP-07"))</f>
        <v>50</v>
      </c>
      <c r="F34" s="84"/>
    </row>
    <row r="35" ht="18.0" customHeight="1">
      <c r="A35" s="94" t="s">
        <v>32</v>
      </c>
      <c r="B35" s="95" t="s">
        <v>33</v>
      </c>
      <c r="C35" s="96">
        <f>COUNTIF(Tracker!A:A,"EP-08")</f>
        <v>3</v>
      </c>
      <c r="D35" s="92">
        <f>COUNTIFS(Tracker!A:A,"EP-08",Tracker!H:H,"Done")</f>
        <v>0</v>
      </c>
      <c r="E35" s="97">
        <f>(COUNTIFS(Tracker!A:A,"EP-08",Tracker!H:H,"Done")*100+COUNTIFS(Tracker!A:A,"EP-08",Tracker!H:H,"In Progress")*50+COUNTIFS(Tracker!A:A,"EP-08",Tracker!H:H,"In Review")*75)/MAX(1,COUNTIF(Tracker!A:A,"EP-08"))</f>
        <v>0</v>
      </c>
      <c r="F35" s="84"/>
    </row>
    <row r="36" ht="18.0" customHeight="1">
      <c r="A36" s="89" t="s">
        <v>35</v>
      </c>
      <c r="B36" s="90" t="s">
        <v>36</v>
      </c>
      <c r="C36" s="91">
        <f>COUNTIF(Tracker!A:A,"EP-09")</f>
        <v>2</v>
      </c>
      <c r="D36" s="92">
        <f>COUNTIFS(Tracker!A:A,"EP-09",Tracker!H:H,"Done")</f>
        <v>0</v>
      </c>
      <c r="E36" s="93">
        <f>(COUNTIFS(Tracker!A:A,"EP-09",Tracker!H:H,"Done")*100+COUNTIFS(Tracker!A:A,"EP-09",Tracker!H:H,"In Progress")*50+COUNTIFS(Tracker!A:A,"EP-09",Tracker!H:H,"In Review")*75)/MAX(1,COUNTIF(Tracker!A:A,"EP-09"))</f>
        <v>0</v>
      </c>
      <c r="F36" s="84"/>
    </row>
    <row r="37" ht="18.0" customHeight="1">
      <c r="A37" s="94" t="s">
        <v>38</v>
      </c>
      <c r="B37" s="95" t="s">
        <v>39</v>
      </c>
      <c r="C37" s="96">
        <f>COUNTIF(Tracker!A:A,"EP-10")</f>
        <v>3</v>
      </c>
      <c r="D37" s="92">
        <f>COUNTIFS(Tracker!A:A,"EP-10",Tracker!H:H,"Done")</f>
        <v>0</v>
      </c>
      <c r="E37" s="97">
        <f>(COUNTIFS(Tracker!A:A,"EP-10",Tracker!H:H,"Done")*100+COUNTIFS(Tracker!A:A,"EP-10",Tracker!H:H,"In Progress")*50+COUNTIFS(Tracker!A:A,"EP-10",Tracker!H:H,"In Review")*75)/MAX(1,COUNTIF(Tracker!A:A,"EP-10"))</f>
        <v>16.66666667</v>
      </c>
      <c r="F37" s="84"/>
    </row>
    <row r="38" ht="18.0" customHeight="1">
      <c r="A38" s="89" t="s">
        <v>41</v>
      </c>
      <c r="B38" s="90" t="s">
        <v>42</v>
      </c>
      <c r="C38" s="91">
        <f>COUNTIF(Tracker!A:A,"EP-11")</f>
        <v>5</v>
      </c>
      <c r="D38" s="92">
        <f>COUNTIFS(Tracker!A:A,"EP-11",Tracker!H:H,"Done")</f>
        <v>0</v>
      </c>
      <c r="E38" s="93">
        <f>(COUNTIFS(Tracker!A:A,"EP-11",Tracker!H:H,"Done")*100+COUNTIFS(Tracker!A:A,"EP-11",Tracker!H:H,"In Progress")*50+COUNTIFS(Tracker!A:A,"EP-11",Tracker!H:H,"In Review")*75)/MAX(1,COUNTIF(Tracker!A:A,"EP-11"))</f>
        <v>0</v>
      </c>
      <c r="F38" s="84"/>
    </row>
    <row r="39" ht="18.0" customHeight="1">
      <c r="A39" s="94" t="s">
        <v>44</v>
      </c>
      <c r="B39" s="95" t="s">
        <v>45</v>
      </c>
      <c r="C39" s="96">
        <f>COUNTIF(Tracker!A:A,"EP-12")</f>
        <v>6</v>
      </c>
      <c r="D39" s="92">
        <f>COUNTIFS(Tracker!A:A,"EP-12",Tracker!H:H,"Done")</f>
        <v>1</v>
      </c>
      <c r="E39" s="97">
        <f>(COUNTIFS(Tracker!A:A,"EP-12",Tracker!H:H,"Done")*100+COUNTIFS(Tracker!A:A,"EP-12",Tracker!H:H,"In Progress")*50+COUNTIFS(Tracker!A:A,"EP-12",Tracker!H:H,"In Review")*75)/MAX(1,COUNTIF(Tracker!A:A,"EP-12"))</f>
        <v>25</v>
      </c>
      <c r="F39" s="84"/>
    </row>
    <row r="40" ht="18.0" customHeight="1">
      <c r="A40" s="89" t="s">
        <v>48</v>
      </c>
      <c r="B40" s="90" t="s">
        <v>49</v>
      </c>
      <c r="C40" s="91">
        <f>COUNTIF(Tracker!A:A,"EP-13")</f>
        <v>7</v>
      </c>
      <c r="D40" s="92">
        <f>COUNTIFS(Tracker!A:A,"EP-13",Tracker!H:H,"Done")</f>
        <v>0</v>
      </c>
      <c r="E40" s="93">
        <f>(COUNTIFS(Tracker!A:A,"EP-13",Tracker!H:H,"Done")*100+COUNTIFS(Tracker!A:A,"EP-13",Tracker!H:H,"In Progress")*50+COUNTIFS(Tracker!A:A,"EP-13",Tracker!H:H,"In Review")*75)/MAX(1,COUNTIF(Tracker!A:A,"EP-13"))</f>
        <v>7.142857143</v>
      </c>
      <c r="F40" s="84"/>
    </row>
    <row r="41" ht="18.0" customHeight="1">
      <c r="A41" s="94" t="s">
        <v>51</v>
      </c>
      <c r="B41" s="95" t="s">
        <v>52</v>
      </c>
      <c r="C41" s="96">
        <f>COUNTIF(Tracker!A:A,"EP-14")</f>
        <v>2</v>
      </c>
      <c r="D41" s="92">
        <f>COUNTIFS(Tracker!A:A,"EP-14",Tracker!H:H,"Done")</f>
        <v>0</v>
      </c>
      <c r="E41" s="97">
        <f>(COUNTIFS(Tracker!A:A,"EP-14",Tracker!H:H,"Done")*100+COUNTIFS(Tracker!A:A,"EP-14",Tracker!H:H,"In Progress")*50+COUNTIFS(Tracker!A:A,"EP-14",Tracker!H:H,"In Review")*75)/MAX(1,COUNTIF(Tracker!A:A,"EP-14"))</f>
        <v>25</v>
      </c>
      <c r="F41" s="84"/>
    </row>
    <row r="42" ht="18.0" customHeight="1">
      <c r="A42" s="89" t="s">
        <v>55</v>
      </c>
      <c r="B42" s="90" t="s">
        <v>56</v>
      </c>
      <c r="C42" s="91">
        <f>COUNTIF(Tracker!A:A,"EP-15")</f>
        <v>5</v>
      </c>
      <c r="D42" s="92">
        <f>COUNTIFS(Tracker!A:A,"EP-15",Tracker!H:H,"Done")</f>
        <v>2</v>
      </c>
      <c r="E42" s="93">
        <f>(COUNTIFS(Tracker!A:A,"EP-15",Tracker!H:H,"Done")*100+COUNTIFS(Tracker!A:A,"EP-15",Tracker!H:H,"In Progress")*50+COUNTIFS(Tracker!A:A,"EP-15",Tracker!H:H,"In Review")*75)/MAX(1,COUNTIF(Tracker!A:A,"EP-15"))</f>
        <v>40</v>
      </c>
      <c r="F42" s="84"/>
    </row>
    <row r="43" ht="18.0" customHeight="1">
      <c r="A43" s="94" t="s">
        <v>59</v>
      </c>
      <c r="B43" s="95" t="s">
        <v>60</v>
      </c>
      <c r="C43" s="96">
        <f>COUNTIF(Tracker!A:A,"EP-16")</f>
        <v>7</v>
      </c>
      <c r="D43" s="92">
        <f>COUNTIFS(Tracker!A:A,"EP-16",Tracker!H:H,"Done")</f>
        <v>0</v>
      </c>
      <c r="E43" s="97">
        <f>(COUNTIFS(Tracker!A:A,"EP-16",Tracker!H:H,"Done")*100+COUNTIFS(Tracker!A:A,"EP-16",Tracker!H:H,"In Progress")*50+COUNTIFS(Tracker!A:A,"EP-16",Tracker!H:H,"In Review")*75)/MAX(1,COUNTIF(Tracker!A:A,"EP-16"))</f>
        <v>0</v>
      </c>
      <c r="F43" s="84"/>
    </row>
    <row r="44" ht="18.0" customHeight="1">
      <c r="A44" s="89" t="s">
        <v>62</v>
      </c>
      <c r="B44" s="90" t="s">
        <v>63</v>
      </c>
      <c r="C44" s="91">
        <f>COUNTIF(Tracker!A:A,"EP-17")</f>
        <v>3</v>
      </c>
      <c r="D44" s="92">
        <f>COUNTIFS(Tracker!A:A,"EP-17",Tracker!H:H,"Done")</f>
        <v>1</v>
      </c>
      <c r="E44" s="93">
        <f>(COUNTIFS(Tracker!A:A,"EP-17",Tracker!H:H,"Done")*100+COUNTIFS(Tracker!A:A,"EP-17",Tracker!H:H,"In Progress")*50+COUNTIFS(Tracker!A:A,"EP-17",Tracker!H:H,"In Review")*75)/MAX(1,COUNTIF(Tracker!A:A,"EP-17"))</f>
        <v>33.33333333</v>
      </c>
      <c r="F44" s="84"/>
    </row>
    <row r="45" ht="18.0" customHeight="1">
      <c r="A45" s="94" t="s">
        <v>66</v>
      </c>
      <c r="B45" s="95" t="s">
        <v>67</v>
      </c>
      <c r="C45" s="96">
        <f>COUNTIF(Tracker!A:A,"EP-18")</f>
        <v>2</v>
      </c>
      <c r="D45" s="92">
        <f>COUNTIFS(Tracker!A:A,"EP-18",Tracker!H:H,"Done")</f>
        <v>0</v>
      </c>
      <c r="E45" s="97">
        <f>(COUNTIFS(Tracker!A:A,"EP-18",Tracker!H:H,"Done")*100+COUNTIFS(Tracker!A:A,"EP-18",Tracker!H:H,"In Progress")*50+COUNTIFS(Tracker!A:A,"EP-18",Tracker!H:H,"In Review")*75)/MAX(1,COUNTIF(Tracker!A:A,"EP-18"))</f>
        <v>25</v>
      </c>
      <c r="F45" s="84"/>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1"/>
    <mergeCell ref="A2:F2"/>
    <mergeCell ref="A3:F3"/>
    <mergeCell ref="A5:D5"/>
    <mergeCell ref="A9:E9"/>
    <mergeCell ref="A13:F13"/>
    <mergeCell ref="A20:F20"/>
    <mergeCell ref="A26:F26"/>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52.0"/>
    <col customWidth="1" min="4" max="5" width="16.0"/>
    <col customWidth="1" min="6" max="26" width="8.71"/>
  </cols>
  <sheetData>
    <row r="1" ht="27.75" customHeight="1">
      <c r="A1" s="47" t="s">
        <v>433</v>
      </c>
      <c r="B1" s="10"/>
      <c r="C1" s="10"/>
      <c r="D1" s="10"/>
      <c r="E1" s="11"/>
    </row>
    <row r="2" ht="18.0" customHeight="1">
      <c r="A2" s="98" t="s">
        <v>434</v>
      </c>
      <c r="B2" s="10"/>
      <c r="C2" s="10"/>
      <c r="D2" s="10"/>
      <c r="E2" s="11"/>
    </row>
    <row r="3" ht="15.75" customHeight="1">
      <c r="A3" s="59" t="s">
        <v>435</v>
      </c>
      <c r="B3" s="59" t="s">
        <v>75</v>
      </c>
      <c r="C3" s="59" t="s">
        <v>436</v>
      </c>
      <c r="D3" s="59" t="s">
        <v>78</v>
      </c>
      <c r="E3" s="59" t="s">
        <v>437</v>
      </c>
    </row>
    <row r="4" ht="19.5" customHeight="1">
      <c r="A4" s="99" t="s">
        <v>85</v>
      </c>
      <c r="B4" s="4" t="s">
        <v>85</v>
      </c>
      <c r="C4" s="3" t="s">
        <v>438</v>
      </c>
      <c r="D4" s="4" t="s">
        <v>439</v>
      </c>
      <c r="E4" s="3" t="s">
        <v>440</v>
      </c>
    </row>
    <row r="5" ht="19.5" customHeight="1">
      <c r="A5" s="100" t="s">
        <v>125</v>
      </c>
      <c r="B5" s="7" t="s">
        <v>125</v>
      </c>
      <c r="C5" s="6" t="s">
        <v>441</v>
      </c>
      <c r="D5" s="7" t="s">
        <v>442</v>
      </c>
      <c r="E5" s="6" t="s">
        <v>443</v>
      </c>
    </row>
    <row r="6" ht="19.5" customHeight="1">
      <c r="A6" s="101" t="s">
        <v>163</v>
      </c>
      <c r="B6" s="4" t="s">
        <v>163</v>
      </c>
      <c r="C6" s="3" t="s">
        <v>444</v>
      </c>
      <c r="D6" s="4" t="s">
        <v>445</v>
      </c>
      <c r="E6" s="3" t="s">
        <v>446</v>
      </c>
    </row>
    <row r="7" ht="19.5" customHeight="1">
      <c r="A7" s="102" t="s">
        <v>131</v>
      </c>
      <c r="B7" s="7" t="s">
        <v>131</v>
      </c>
      <c r="C7" s="6" t="s">
        <v>447</v>
      </c>
      <c r="D7" s="7" t="s">
        <v>448</v>
      </c>
      <c r="E7" s="6" t="s">
        <v>443</v>
      </c>
    </row>
    <row r="8" ht="19.5" customHeight="1">
      <c r="A8" s="103" t="s">
        <v>315</v>
      </c>
      <c r="B8" s="4" t="s">
        <v>315</v>
      </c>
      <c r="C8" s="3" t="s">
        <v>449</v>
      </c>
      <c r="D8" s="4" t="s">
        <v>448</v>
      </c>
      <c r="E8" s="3" t="s">
        <v>440</v>
      </c>
    </row>
    <row r="9" ht="18.0" customHeight="1">
      <c r="A9" s="98" t="s">
        <v>450</v>
      </c>
      <c r="B9" s="10"/>
      <c r="C9" s="10"/>
      <c r="D9" s="10"/>
      <c r="E9" s="11"/>
    </row>
    <row r="10" ht="15.75" customHeight="1">
      <c r="A10" s="59" t="s">
        <v>435</v>
      </c>
      <c r="B10" s="59" t="s">
        <v>431</v>
      </c>
      <c r="C10" s="59" t="s">
        <v>436</v>
      </c>
      <c r="D10" s="59" t="s">
        <v>2</v>
      </c>
      <c r="E10" s="59"/>
    </row>
    <row r="11" ht="19.5" customHeight="1">
      <c r="A11" s="104" t="s">
        <v>83</v>
      </c>
      <c r="B11" s="105" t="s">
        <v>83</v>
      </c>
      <c r="C11" s="6" t="s">
        <v>451</v>
      </c>
      <c r="D11" s="7" t="s">
        <v>452</v>
      </c>
      <c r="E11" s="6"/>
    </row>
    <row r="12" ht="19.5" customHeight="1">
      <c r="A12" s="106" t="s">
        <v>114</v>
      </c>
      <c r="B12" s="107" t="s">
        <v>114</v>
      </c>
      <c r="C12" s="3" t="s">
        <v>453</v>
      </c>
      <c r="D12" s="4" t="s">
        <v>454</v>
      </c>
      <c r="E12" s="3"/>
    </row>
    <row r="13" ht="19.5" customHeight="1">
      <c r="A13" s="108" t="s">
        <v>119</v>
      </c>
      <c r="B13" s="109" t="s">
        <v>119</v>
      </c>
      <c r="C13" s="6" t="s">
        <v>455</v>
      </c>
      <c r="D13" s="7" t="s">
        <v>456</v>
      </c>
      <c r="E13" s="6"/>
    </row>
    <row r="14" ht="19.5" customHeight="1">
      <c r="A14" s="110" t="s">
        <v>457</v>
      </c>
      <c r="B14" s="111" t="s">
        <v>457</v>
      </c>
      <c r="C14" s="3" t="s">
        <v>458</v>
      </c>
      <c r="D14" s="4" t="s">
        <v>459</v>
      </c>
      <c r="E14" s="3"/>
    </row>
    <row r="15" ht="18.0" customHeight="1">
      <c r="A15" s="98" t="s">
        <v>460</v>
      </c>
      <c r="B15" s="10"/>
      <c r="C15" s="10"/>
      <c r="D15" s="10"/>
      <c r="E15" s="11"/>
    </row>
    <row r="16" ht="15.75" customHeight="1">
      <c r="A16" s="59" t="s">
        <v>435</v>
      </c>
      <c r="B16" s="59" t="s">
        <v>461</v>
      </c>
      <c r="C16" s="59" t="s">
        <v>462</v>
      </c>
      <c r="D16" s="59" t="s">
        <v>463</v>
      </c>
      <c r="E16" s="59" t="s">
        <v>75</v>
      </c>
    </row>
    <row r="17" ht="19.5" customHeight="1">
      <c r="A17" s="112" t="s">
        <v>7</v>
      </c>
      <c r="B17" s="7" t="s">
        <v>7</v>
      </c>
      <c r="C17" s="6" t="s">
        <v>464</v>
      </c>
      <c r="D17" s="7" t="s">
        <v>465</v>
      </c>
      <c r="E17" s="6" t="s">
        <v>466</v>
      </c>
    </row>
    <row r="18" ht="19.5" customHeight="1">
      <c r="A18" s="113" t="s">
        <v>15</v>
      </c>
      <c r="B18" s="4" t="s">
        <v>15</v>
      </c>
      <c r="C18" s="3" t="s">
        <v>467</v>
      </c>
      <c r="D18" s="4" t="s">
        <v>468</v>
      </c>
      <c r="E18" s="3" t="s">
        <v>469</v>
      </c>
    </row>
    <row r="19" ht="19.5" customHeight="1">
      <c r="A19" s="114" t="s">
        <v>26</v>
      </c>
      <c r="B19" s="7" t="s">
        <v>26</v>
      </c>
      <c r="C19" s="6" t="s">
        <v>470</v>
      </c>
      <c r="D19" s="7" t="s">
        <v>471</v>
      </c>
      <c r="E19" s="6" t="s">
        <v>472</v>
      </c>
    </row>
    <row r="20" ht="19.5" customHeight="1">
      <c r="A20" s="115" t="s">
        <v>53</v>
      </c>
      <c r="B20" s="4" t="s">
        <v>53</v>
      </c>
      <c r="C20" s="3" t="s">
        <v>473</v>
      </c>
      <c r="D20" s="4" t="s">
        <v>474</v>
      </c>
      <c r="E20" s="3" t="s">
        <v>472</v>
      </c>
    </row>
    <row r="21" ht="18.0" customHeight="1">
      <c r="A21" s="98" t="s">
        <v>475</v>
      </c>
      <c r="B21" s="10"/>
      <c r="C21" s="10"/>
      <c r="D21" s="10"/>
      <c r="E21" s="11"/>
    </row>
    <row r="22" ht="15.75" customHeight="1">
      <c r="A22" s="59" t="s">
        <v>423</v>
      </c>
      <c r="B22" s="59" t="s">
        <v>424</v>
      </c>
      <c r="C22" s="59" t="s">
        <v>476</v>
      </c>
      <c r="D22" s="59" t="s">
        <v>2</v>
      </c>
      <c r="E22" s="59"/>
    </row>
    <row r="23" ht="27.75" customHeight="1">
      <c r="A23" s="5" t="s">
        <v>412</v>
      </c>
      <c r="B23" s="7" t="s">
        <v>426</v>
      </c>
      <c r="C23" s="6" t="s">
        <v>477</v>
      </c>
      <c r="D23" s="7" t="s">
        <v>478</v>
      </c>
      <c r="E23" s="6"/>
    </row>
    <row r="24" ht="27.75" customHeight="1">
      <c r="A24" s="2" t="s">
        <v>91</v>
      </c>
      <c r="B24" s="4" t="s">
        <v>427</v>
      </c>
      <c r="C24" s="3" t="s">
        <v>479</v>
      </c>
      <c r="D24" s="4" t="s">
        <v>480</v>
      </c>
      <c r="E24" s="3"/>
    </row>
    <row r="25" ht="27.75" customHeight="1">
      <c r="A25" s="5" t="s">
        <v>84</v>
      </c>
      <c r="B25" s="7" t="s">
        <v>428</v>
      </c>
      <c r="C25" s="6" t="s">
        <v>481</v>
      </c>
      <c r="D25" s="7" t="s">
        <v>482</v>
      </c>
      <c r="E25" s="6"/>
    </row>
    <row r="26" ht="27.75" customHeight="1">
      <c r="A26" s="2" t="s">
        <v>96</v>
      </c>
      <c r="B26" s="4" t="s">
        <v>429</v>
      </c>
      <c r="C26" s="3" t="s">
        <v>483</v>
      </c>
      <c r="D26" s="4" t="s">
        <v>484</v>
      </c>
      <c r="E26" s="3"/>
    </row>
    <row r="27" ht="18.0" customHeight="1">
      <c r="A27" s="98" t="s">
        <v>485</v>
      </c>
      <c r="B27" s="10"/>
      <c r="C27" s="10"/>
      <c r="D27" s="10"/>
      <c r="E27" s="11"/>
    </row>
    <row r="28" ht="15.75" customHeight="1">
      <c r="A28" s="59" t="s">
        <v>435</v>
      </c>
      <c r="B28" s="59" t="s">
        <v>486</v>
      </c>
      <c r="C28" s="59" t="s">
        <v>487</v>
      </c>
      <c r="D28" s="59"/>
      <c r="E28" s="59"/>
    </row>
    <row r="29" ht="19.5" customHeight="1">
      <c r="A29" s="116" t="s">
        <v>488</v>
      </c>
      <c r="B29" s="117" t="s">
        <v>489</v>
      </c>
      <c r="C29" s="118" t="s">
        <v>490</v>
      </c>
      <c r="D29" s="118"/>
      <c r="E29" s="118"/>
    </row>
    <row r="30" ht="18.0" customHeight="1">
      <c r="A30" s="98" t="s">
        <v>491</v>
      </c>
      <c r="B30" s="10"/>
      <c r="C30" s="10"/>
      <c r="D30" s="10"/>
      <c r="E30" s="11"/>
    </row>
    <row r="31" ht="15.75" customHeight="1">
      <c r="A31" s="59" t="s">
        <v>435</v>
      </c>
      <c r="B31" s="59" t="s">
        <v>436</v>
      </c>
      <c r="C31" s="59"/>
      <c r="D31" s="59"/>
      <c r="E31" s="59"/>
    </row>
    <row r="32" ht="19.5" customHeight="1">
      <c r="A32" s="44" t="s">
        <v>492</v>
      </c>
      <c r="B32" s="3" t="s">
        <v>493</v>
      </c>
      <c r="C32" s="3"/>
      <c r="D32" s="3"/>
      <c r="E32" s="3"/>
    </row>
    <row r="33" ht="19.5" customHeight="1">
      <c r="A33" s="41" t="s">
        <v>492</v>
      </c>
      <c r="B33" s="6" t="s">
        <v>494</v>
      </c>
      <c r="C33" s="6"/>
      <c r="D33" s="6"/>
      <c r="E33" s="6"/>
    </row>
    <row r="34" ht="19.5" customHeight="1">
      <c r="A34" s="16" t="s">
        <v>492</v>
      </c>
      <c r="B34" s="3" t="s">
        <v>495</v>
      </c>
      <c r="C34" s="3"/>
      <c r="D34" s="3"/>
      <c r="E34" s="3"/>
    </row>
    <row r="35" ht="19.5" customHeight="1">
      <c r="A35" s="4" t="s">
        <v>492</v>
      </c>
      <c r="B35" s="6" t="s">
        <v>496</v>
      </c>
      <c r="C35" s="6"/>
      <c r="D35" s="6"/>
      <c r="E35" s="6"/>
    </row>
    <row r="36" ht="18.0" customHeight="1">
      <c r="A36" s="98" t="s">
        <v>497</v>
      </c>
      <c r="B36" s="10"/>
      <c r="C36" s="10"/>
      <c r="D36" s="10"/>
      <c r="E36" s="11"/>
    </row>
    <row r="37" ht="49.5" customHeight="1">
      <c r="A37" s="119" t="s">
        <v>498</v>
      </c>
      <c r="B37" s="10"/>
      <c r="C37" s="10"/>
      <c r="D37" s="10"/>
      <c r="E37" s="11"/>
    </row>
    <row r="38" ht="15.75" customHeight="1">
      <c r="A38" s="8"/>
      <c r="B38" s="8"/>
      <c r="C38" s="8"/>
      <c r="D38" s="8"/>
      <c r="E38" s="8"/>
    </row>
    <row r="39" ht="15.75" customHeight="1">
      <c r="A39" s="8"/>
      <c r="B39" s="8"/>
      <c r="C39" s="8"/>
      <c r="D39" s="8"/>
      <c r="E39" s="8"/>
    </row>
    <row r="40" ht="15.75" customHeight="1">
      <c r="A40" s="8"/>
      <c r="B40" s="8"/>
      <c r="C40" s="8"/>
      <c r="D40" s="8"/>
      <c r="E40" s="8"/>
    </row>
    <row r="41" ht="15.75" customHeight="1">
      <c r="A41" s="8"/>
      <c r="B41" s="8"/>
      <c r="C41" s="8"/>
      <c r="D41" s="8"/>
      <c r="E41" s="8"/>
    </row>
    <row r="42" ht="15.75" customHeight="1">
      <c r="A42" s="8"/>
      <c r="B42" s="8"/>
      <c r="C42" s="8"/>
      <c r="D42" s="8"/>
      <c r="E42" s="8"/>
    </row>
    <row r="43" ht="15.75" customHeight="1">
      <c r="A43" s="8"/>
      <c r="B43" s="8"/>
      <c r="C43" s="8"/>
      <c r="D43" s="8"/>
      <c r="E43" s="8"/>
    </row>
    <row r="44" ht="15.75" customHeight="1">
      <c r="A44" s="8"/>
      <c r="B44" s="8"/>
      <c r="C44" s="8"/>
      <c r="D44" s="8"/>
      <c r="E44" s="8"/>
    </row>
    <row r="45" ht="15.75" customHeight="1">
      <c r="A45" s="8"/>
      <c r="B45" s="8"/>
      <c r="C45" s="8"/>
      <c r="D45" s="8"/>
      <c r="E45" s="8"/>
    </row>
    <row r="46" ht="15.75" customHeight="1">
      <c r="A46" s="8"/>
      <c r="B46" s="8"/>
      <c r="C46" s="8"/>
      <c r="D46" s="8"/>
      <c r="E46" s="8"/>
    </row>
    <row r="47" ht="15.75" customHeight="1">
      <c r="A47" s="8"/>
      <c r="B47" s="8"/>
      <c r="C47" s="8"/>
      <c r="D47" s="8"/>
      <c r="E47" s="8"/>
    </row>
    <row r="48" ht="15.75" customHeight="1">
      <c r="A48" s="8"/>
      <c r="B48" s="8"/>
      <c r="C48" s="8"/>
      <c r="D48" s="8"/>
      <c r="E48" s="8"/>
    </row>
    <row r="49" ht="15.75" customHeight="1">
      <c r="A49" s="8"/>
      <c r="B49" s="8"/>
      <c r="C49" s="8"/>
      <c r="D49" s="8"/>
      <c r="E49" s="8"/>
    </row>
    <row r="50" ht="15.75" customHeight="1">
      <c r="A50" s="8"/>
      <c r="B50" s="8"/>
      <c r="C50" s="8"/>
      <c r="D50" s="8"/>
      <c r="E50" s="8"/>
    </row>
    <row r="51" ht="15.75" customHeight="1">
      <c r="A51" s="8"/>
      <c r="B51" s="8"/>
      <c r="C51" s="8"/>
      <c r="D51" s="8"/>
      <c r="E51" s="8"/>
    </row>
    <row r="52" ht="15.75" customHeight="1">
      <c r="A52" s="8"/>
      <c r="B52" s="8"/>
      <c r="C52" s="8"/>
      <c r="D52" s="8"/>
      <c r="E52" s="8"/>
    </row>
    <row r="53" ht="15.75" customHeight="1">
      <c r="A53" s="8"/>
      <c r="B53" s="8"/>
      <c r="C53" s="8"/>
      <c r="D53" s="8"/>
      <c r="E53" s="8"/>
    </row>
    <row r="54" ht="15.75" customHeight="1">
      <c r="A54" s="8"/>
      <c r="B54" s="8"/>
      <c r="C54" s="8"/>
      <c r="D54" s="8"/>
      <c r="E54" s="8"/>
    </row>
    <row r="55" ht="15.75" customHeight="1">
      <c r="A55" s="8"/>
      <c r="B55" s="8"/>
      <c r="C55" s="8"/>
      <c r="D55" s="8"/>
      <c r="E55" s="8"/>
    </row>
    <row r="56" ht="15.75" customHeight="1">
      <c r="A56" s="8"/>
      <c r="B56" s="8"/>
      <c r="C56" s="8"/>
      <c r="D56" s="8"/>
      <c r="E56" s="8"/>
    </row>
    <row r="57" ht="15.75" customHeight="1">
      <c r="A57" s="8"/>
      <c r="B57" s="8"/>
      <c r="C57" s="8"/>
      <c r="D57" s="8"/>
      <c r="E57" s="8"/>
    </row>
    <row r="58" ht="15.75" customHeight="1">
      <c r="A58" s="8"/>
      <c r="B58" s="8"/>
      <c r="C58" s="8"/>
      <c r="D58" s="8"/>
      <c r="E58" s="8"/>
    </row>
    <row r="59" ht="15.75" customHeight="1">
      <c r="A59" s="8"/>
      <c r="B59" s="8"/>
      <c r="C59" s="8"/>
      <c r="D59" s="8"/>
      <c r="E59" s="8"/>
    </row>
    <row r="60" ht="15.75" customHeight="1">
      <c r="A60" s="8"/>
      <c r="B60" s="8"/>
      <c r="C60" s="8"/>
      <c r="D60" s="8"/>
      <c r="E60" s="8"/>
    </row>
    <row r="61" ht="15.75" customHeight="1">
      <c r="A61" s="8"/>
      <c r="B61" s="8"/>
      <c r="C61" s="8"/>
      <c r="D61" s="8"/>
      <c r="E61" s="8"/>
    </row>
    <row r="62" ht="15.75" customHeight="1">
      <c r="A62" s="8"/>
      <c r="B62" s="8"/>
      <c r="C62" s="8"/>
      <c r="D62" s="8"/>
      <c r="E62" s="8"/>
    </row>
    <row r="63" ht="15.75" customHeight="1">
      <c r="A63" s="8"/>
      <c r="B63" s="8"/>
      <c r="C63" s="8"/>
      <c r="D63" s="8"/>
      <c r="E63" s="8"/>
    </row>
    <row r="64" ht="15.75" customHeight="1">
      <c r="A64" s="8"/>
      <c r="B64" s="8"/>
      <c r="C64" s="8"/>
      <c r="D64" s="8"/>
      <c r="E64" s="8"/>
    </row>
    <row r="65" ht="15.75" customHeight="1">
      <c r="A65" s="8"/>
      <c r="B65" s="8"/>
      <c r="C65" s="8"/>
      <c r="D65" s="8"/>
      <c r="E65" s="8"/>
    </row>
    <row r="66" ht="15.75" customHeight="1">
      <c r="A66" s="8"/>
      <c r="B66" s="8"/>
      <c r="C66" s="8"/>
      <c r="D66" s="8"/>
      <c r="E66" s="8"/>
    </row>
    <row r="67" ht="15.75" customHeight="1">
      <c r="A67" s="8"/>
      <c r="B67" s="8"/>
      <c r="C67" s="8"/>
      <c r="D67" s="8"/>
      <c r="E67" s="8"/>
    </row>
    <row r="68" ht="15.75" customHeight="1">
      <c r="A68" s="8"/>
      <c r="B68" s="8"/>
      <c r="C68" s="8"/>
      <c r="D68" s="8"/>
      <c r="E68" s="8"/>
    </row>
    <row r="69" ht="15.75" customHeight="1">
      <c r="A69" s="8"/>
      <c r="B69" s="8"/>
      <c r="C69" s="8"/>
      <c r="D69" s="8"/>
      <c r="E69" s="8"/>
    </row>
    <row r="70" ht="15.75" customHeight="1">
      <c r="A70" s="8"/>
      <c r="B70" s="8"/>
      <c r="C70" s="8"/>
      <c r="D70" s="8"/>
      <c r="E70" s="8"/>
    </row>
    <row r="71" ht="15.75" customHeight="1">
      <c r="A71" s="8"/>
      <c r="B71" s="8"/>
      <c r="C71" s="8"/>
      <c r="D71" s="8"/>
      <c r="E71" s="8"/>
    </row>
    <row r="72" ht="15.75" customHeight="1">
      <c r="A72" s="8"/>
      <c r="B72" s="8"/>
      <c r="C72" s="8"/>
      <c r="D72" s="8"/>
      <c r="E72" s="8"/>
    </row>
    <row r="73" ht="15.75" customHeight="1">
      <c r="A73" s="8"/>
      <c r="B73" s="8"/>
      <c r="C73" s="8"/>
      <c r="D73" s="8"/>
      <c r="E73" s="8"/>
    </row>
    <row r="74" ht="15.75" customHeight="1">
      <c r="A74" s="8"/>
      <c r="B74" s="8"/>
      <c r="C74" s="8"/>
      <c r="D74" s="8"/>
      <c r="E74" s="8"/>
    </row>
    <row r="75" ht="15.75" customHeight="1">
      <c r="A75" s="8"/>
      <c r="B75" s="8"/>
      <c r="C75" s="8"/>
      <c r="D75" s="8"/>
      <c r="E75" s="8"/>
    </row>
    <row r="76" ht="15.75" customHeight="1">
      <c r="A76" s="8"/>
      <c r="B76" s="8"/>
      <c r="C76" s="8"/>
      <c r="D76" s="8"/>
      <c r="E76" s="8"/>
    </row>
    <row r="77" ht="15.75" customHeight="1">
      <c r="A77" s="8"/>
      <c r="B77" s="8"/>
      <c r="C77" s="8"/>
      <c r="D77" s="8"/>
      <c r="E77" s="8"/>
    </row>
    <row r="78" ht="15.75" customHeight="1">
      <c r="A78" s="8"/>
      <c r="B78" s="8"/>
      <c r="C78" s="8"/>
      <c r="D78" s="8"/>
      <c r="E78" s="8"/>
    </row>
    <row r="79" ht="15.75" customHeight="1">
      <c r="A79" s="8"/>
      <c r="B79" s="8"/>
      <c r="C79" s="8"/>
      <c r="D79" s="8"/>
      <c r="E79" s="8"/>
    </row>
    <row r="80" ht="15.75" customHeight="1">
      <c r="A80" s="8"/>
      <c r="B80" s="8"/>
      <c r="C80" s="8"/>
      <c r="D80" s="8"/>
      <c r="E80" s="8"/>
    </row>
    <row r="81" ht="15.75" customHeight="1">
      <c r="A81" s="8"/>
      <c r="B81" s="8"/>
      <c r="C81" s="8"/>
      <c r="D81" s="8"/>
      <c r="E81" s="8"/>
    </row>
    <row r="82" ht="15.75" customHeight="1">
      <c r="A82" s="8"/>
      <c r="B82" s="8"/>
      <c r="C82" s="8"/>
      <c r="D82" s="8"/>
      <c r="E82" s="8"/>
    </row>
    <row r="83" ht="15.75" customHeight="1">
      <c r="A83" s="8"/>
      <c r="B83" s="8"/>
      <c r="C83" s="8"/>
      <c r="D83" s="8"/>
      <c r="E83" s="8"/>
    </row>
    <row r="84" ht="15.75" customHeight="1">
      <c r="A84" s="8"/>
      <c r="B84" s="8"/>
      <c r="C84" s="8"/>
      <c r="D84" s="8"/>
      <c r="E84" s="8"/>
    </row>
    <row r="85" ht="15.75" customHeight="1">
      <c r="A85" s="8"/>
      <c r="B85" s="8"/>
      <c r="C85" s="8"/>
      <c r="D85" s="8"/>
      <c r="E85" s="8"/>
    </row>
    <row r="86" ht="15.75" customHeight="1">
      <c r="A86" s="8"/>
      <c r="B86" s="8"/>
      <c r="C86" s="8"/>
      <c r="D86" s="8"/>
      <c r="E86" s="8"/>
    </row>
    <row r="87" ht="15.75" customHeight="1">
      <c r="A87" s="8"/>
      <c r="B87" s="8"/>
      <c r="C87" s="8"/>
      <c r="D87" s="8"/>
      <c r="E87" s="8"/>
    </row>
    <row r="88" ht="15.75" customHeight="1">
      <c r="A88" s="8"/>
      <c r="B88" s="8"/>
      <c r="C88" s="8"/>
      <c r="D88" s="8"/>
      <c r="E88" s="8"/>
    </row>
    <row r="89" ht="15.75" customHeight="1">
      <c r="A89" s="8"/>
      <c r="B89" s="8"/>
      <c r="C89" s="8"/>
      <c r="D89" s="8"/>
      <c r="E89" s="8"/>
    </row>
    <row r="90" ht="15.75" customHeight="1">
      <c r="A90" s="8"/>
      <c r="B90" s="8"/>
      <c r="C90" s="8"/>
      <c r="D90" s="8"/>
      <c r="E90" s="8"/>
    </row>
    <row r="91" ht="15.75" customHeight="1">
      <c r="A91" s="8"/>
      <c r="B91" s="8"/>
      <c r="C91" s="8"/>
      <c r="D91" s="8"/>
      <c r="E91" s="8"/>
    </row>
    <row r="92" ht="15.75" customHeight="1">
      <c r="A92" s="8"/>
      <c r="B92" s="8"/>
      <c r="C92" s="8"/>
      <c r="D92" s="8"/>
      <c r="E92" s="8"/>
    </row>
    <row r="93" ht="15.75" customHeight="1">
      <c r="A93" s="8"/>
      <c r="B93" s="8"/>
      <c r="C93" s="8"/>
      <c r="D93" s="8"/>
      <c r="E93" s="8"/>
    </row>
    <row r="94" ht="15.75" customHeight="1">
      <c r="A94" s="8"/>
      <c r="B94" s="8"/>
      <c r="C94" s="8"/>
      <c r="D94" s="8"/>
      <c r="E94" s="8"/>
    </row>
    <row r="95" ht="15.75" customHeight="1">
      <c r="A95" s="8"/>
      <c r="B95" s="8"/>
      <c r="C95" s="8"/>
      <c r="D95" s="8"/>
      <c r="E95" s="8"/>
    </row>
    <row r="96" ht="15.75" customHeight="1">
      <c r="A96" s="8"/>
      <c r="B96" s="8"/>
      <c r="C96" s="8"/>
      <c r="D96" s="8"/>
      <c r="E96" s="8"/>
    </row>
    <row r="97" ht="15.75" customHeight="1">
      <c r="A97" s="8"/>
      <c r="B97" s="8"/>
      <c r="C97" s="8"/>
      <c r="D97" s="8"/>
      <c r="E97" s="8"/>
    </row>
    <row r="98" ht="15.75" customHeight="1">
      <c r="A98" s="8"/>
      <c r="B98" s="8"/>
      <c r="C98" s="8"/>
      <c r="D98" s="8"/>
      <c r="E98" s="8"/>
    </row>
    <row r="99" ht="15.75" customHeight="1">
      <c r="A99" s="8"/>
      <c r="B99" s="8"/>
      <c r="C99" s="8"/>
      <c r="D99" s="8"/>
      <c r="E99" s="8"/>
    </row>
    <row r="100" ht="15.75" customHeight="1">
      <c r="A100" s="8"/>
      <c r="B100" s="8"/>
      <c r="C100" s="8"/>
      <c r="D100" s="8"/>
      <c r="E100" s="8"/>
    </row>
    <row r="101" ht="15.75" customHeight="1">
      <c r="A101" s="8"/>
      <c r="B101" s="8"/>
      <c r="C101" s="8"/>
      <c r="D101" s="8"/>
      <c r="E101" s="8"/>
    </row>
    <row r="102" ht="15.75" customHeight="1">
      <c r="A102" s="8"/>
      <c r="B102" s="8"/>
      <c r="C102" s="8"/>
      <c r="D102" s="8"/>
      <c r="E102" s="8"/>
    </row>
    <row r="103" ht="15.75" customHeight="1">
      <c r="A103" s="8"/>
      <c r="B103" s="8"/>
      <c r="C103" s="8"/>
      <c r="D103" s="8"/>
      <c r="E103" s="8"/>
    </row>
    <row r="104" ht="15.75" customHeight="1">
      <c r="A104" s="8"/>
      <c r="B104" s="8"/>
      <c r="C104" s="8"/>
      <c r="D104" s="8"/>
      <c r="E104" s="8"/>
    </row>
    <row r="105" ht="15.75" customHeight="1">
      <c r="A105" s="8"/>
      <c r="B105" s="8"/>
      <c r="C105" s="8"/>
      <c r="D105" s="8"/>
      <c r="E105" s="8"/>
    </row>
    <row r="106" ht="15.75" customHeight="1">
      <c r="A106" s="8"/>
      <c r="B106" s="8"/>
      <c r="C106" s="8"/>
      <c r="D106" s="8"/>
      <c r="E106" s="8"/>
    </row>
    <row r="107" ht="15.75" customHeight="1">
      <c r="A107" s="8"/>
      <c r="B107" s="8"/>
      <c r="C107" s="8"/>
      <c r="D107" s="8"/>
      <c r="E107" s="8"/>
    </row>
    <row r="108" ht="15.75" customHeight="1">
      <c r="A108" s="8"/>
      <c r="B108" s="8"/>
      <c r="C108" s="8"/>
      <c r="D108" s="8"/>
      <c r="E108" s="8"/>
    </row>
    <row r="109" ht="15.75" customHeight="1">
      <c r="A109" s="8"/>
      <c r="B109" s="8"/>
      <c r="C109" s="8"/>
      <c r="D109" s="8"/>
      <c r="E109" s="8"/>
    </row>
    <row r="110" ht="15.75" customHeight="1">
      <c r="A110" s="8"/>
      <c r="B110" s="8"/>
      <c r="C110" s="8"/>
      <c r="D110" s="8"/>
      <c r="E110" s="8"/>
    </row>
    <row r="111" ht="15.75" customHeight="1">
      <c r="A111" s="8"/>
      <c r="B111" s="8"/>
      <c r="C111" s="8"/>
      <c r="D111" s="8"/>
      <c r="E111" s="8"/>
    </row>
    <row r="112" ht="15.75" customHeight="1">
      <c r="A112" s="8"/>
      <c r="B112" s="8"/>
      <c r="C112" s="8"/>
      <c r="D112" s="8"/>
      <c r="E112" s="8"/>
    </row>
    <row r="113" ht="15.75" customHeight="1">
      <c r="A113" s="8"/>
      <c r="B113" s="8"/>
      <c r="C113" s="8"/>
      <c r="D113" s="8"/>
      <c r="E113" s="8"/>
    </row>
    <row r="114" ht="15.75" customHeight="1">
      <c r="A114" s="8"/>
      <c r="B114" s="8"/>
      <c r="C114" s="8"/>
      <c r="D114" s="8"/>
      <c r="E114" s="8"/>
    </row>
    <row r="115" ht="15.75" customHeight="1">
      <c r="A115" s="8"/>
      <c r="B115" s="8"/>
      <c r="C115" s="8"/>
      <c r="D115" s="8"/>
      <c r="E115" s="8"/>
    </row>
    <row r="116" ht="15.75" customHeight="1">
      <c r="A116" s="8"/>
      <c r="B116" s="8"/>
      <c r="C116" s="8"/>
      <c r="D116" s="8"/>
      <c r="E116" s="8"/>
    </row>
    <row r="117" ht="15.75" customHeight="1">
      <c r="A117" s="8"/>
      <c r="B117" s="8"/>
      <c r="C117" s="8"/>
      <c r="D117" s="8"/>
      <c r="E117" s="8"/>
    </row>
    <row r="118" ht="15.75" customHeight="1">
      <c r="A118" s="8"/>
      <c r="B118" s="8"/>
      <c r="C118" s="8"/>
      <c r="D118" s="8"/>
      <c r="E118" s="8"/>
    </row>
    <row r="119" ht="15.75" customHeight="1">
      <c r="A119" s="8"/>
      <c r="B119" s="8"/>
      <c r="C119" s="8"/>
      <c r="D119" s="8"/>
      <c r="E119" s="8"/>
    </row>
    <row r="120" ht="15.75" customHeight="1">
      <c r="A120" s="8"/>
      <c r="B120" s="8"/>
      <c r="C120" s="8"/>
      <c r="D120" s="8"/>
      <c r="E120" s="8"/>
    </row>
    <row r="121" ht="15.75" customHeight="1">
      <c r="A121" s="8"/>
      <c r="B121" s="8"/>
      <c r="C121" s="8"/>
      <c r="D121" s="8"/>
      <c r="E121" s="8"/>
    </row>
    <row r="122" ht="15.75" customHeight="1">
      <c r="A122" s="8"/>
      <c r="B122" s="8"/>
      <c r="C122" s="8"/>
      <c r="D122" s="8"/>
      <c r="E122" s="8"/>
    </row>
    <row r="123" ht="15.75" customHeight="1">
      <c r="A123" s="8"/>
      <c r="B123" s="8"/>
      <c r="C123" s="8"/>
      <c r="D123" s="8"/>
      <c r="E123" s="8"/>
    </row>
    <row r="124" ht="15.75" customHeight="1">
      <c r="A124" s="8"/>
      <c r="B124" s="8"/>
      <c r="C124" s="8"/>
      <c r="D124" s="8"/>
      <c r="E124" s="8"/>
    </row>
    <row r="125" ht="15.75" customHeight="1">
      <c r="A125" s="8"/>
      <c r="B125" s="8"/>
      <c r="C125" s="8"/>
      <c r="D125" s="8"/>
      <c r="E125" s="8"/>
    </row>
    <row r="126" ht="15.75" customHeight="1">
      <c r="A126" s="8"/>
      <c r="B126" s="8"/>
      <c r="C126" s="8"/>
      <c r="D126" s="8"/>
      <c r="E126" s="8"/>
    </row>
    <row r="127" ht="15.75" customHeight="1">
      <c r="A127" s="8"/>
      <c r="B127" s="8"/>
      <c r="C127" s="8"/>
      <c r="D127" s="8"/>
      <c r="E127" s="8"/>
    </row>
    <row r="128" ht="15.75" customHeight="1">
      <c r="A128" s="8"/>
      <c r="B128" s="8"/>
      <c r="C128" s="8"/>
      <c r="D128" s="8"/>
      <c r="E128" s="8"/>
    </row>
    <row r="129" ht="15.75" customHeight="1">
      <c r="A129" s="8"/>
      <c r="B129" s="8"/>
      <c r="C129" s="8"/>
      <c r="D129" s="8"/>
      <c r="E129" s="8"/>
    </row>
    <row r="130" ht="15.75" customHeight="1">
      <c r="A130" s="8"/>
      <c r="B130" s="8"/>
      <c r="C130" s="8"/>
      <c r="D130" s="8"/>
      <c r="E130" s="8"/>
    </row>
    <row r="131" ht="15.75" customHeight="1">
      <c r="A131" s="8"/>
      <c r="B131" s="8"/>
      <c r="C131" s="8"/>
      <c r="D131" s="8"/>
      <c r="E131" s="8"/>
    </row>
    <row r="132" ht="15.75" customHeight="1">
      <c r="A132" s="8"/>
      <c r="B132" s="8"/>
      <c r="C132" s="8"/>
      <c r="D132" s="8"/>
      <c r="E132" s="8"/>
    </row>
    <row r="133" ht="15.75" customHeight="1">
      <c r="A133" s="8"/>
      <c r="B133" s="8"/>
      <c r="C133" s="8"/>
      <c r="D133" s="8"/>
      <c r="E133" s="8"/>
    </row>
    <row r="134" ht="15.75" customHeight="1">
      <c r="A134" s="8"/>
      <c r="B134" s="8"/>
      <c r="C134" s="8"/>
      <c r="D134" s="8"/>
      <c r="E134" s="8"/>
    </row>
    <row r="135" ht="15.75" customHeight="1">
      <c r="A135" s="8"/>
      <c r="B135" s="8"/>
      <c r="C135" s="8"/>
      <c r="D135" s="8"/>
      <c r="E135" s="8"/>
    </row>
    <row r="136" ht="15.75" customHeight="1">
      <c r="A136" s="8"/>
      <c r="B136" s="8"/>
      <c r="C136" s="8"/>
      <c r="D136" s="8"/>
      <c r="E136" s="8"/>
    </row>
    <row r="137" ht="15.75" customHeight="1">
      <c r="A137" s="8"/>
      <c r="B137" s="8"/>
      <c r="C137" s="8"/>
      <c r="D137" s="8"/>
      <c r="E137" s="8"/>
    </row>
    <row r="138" ht="15.75" customHeight="1">
      <c r="A138" s="8"/>
      <c r="B138" s="8"/>
      <c r="C138" s="8"/>
      <c r="D138" s="8"/>
      <c r="E138" s="8"/>
    </row>
    <row r="139" ht="15.75" customHeight="1">
      <c r="A139" s="8"/>
      <c r="B139" s="8"/>
      <c r="C139" s="8"/>
      <c r="D139" s="8"/>
      <c r="E139" s="8"/>
    </row>
    <row r="140" ht="15.75" customHeight="1">
      <c r="A140" s="8"/>
      <c r="B140" s="8"/>
      <c r="C140" s="8"/>
      <c r="D140" s="8"/>
      <c r="E140" s="8"/>
    </row>
    <row r="141" ht="15.75" customHeight="1">
      <c r="A141" s="8"/>
      <c r="B141" s="8"/>
      <c r="C141" s="8"/>
      <c r="D141" s="8"/>
      <c r="E141" s="8"/>
    </row>
    <row r="142" ht="15.75" customHeight="1">
      <c r="A142" s="8"/>
      <c r="B142" s="8"/>
      <c r="C142" s="8"/>
      <c r="D142" s="8"/>
      <c r="E142" s="8"/>
    </row>
    <row r="143" ht="15.75" customHeight="1">
      <c r="A143" s="8"/>
      <c r="B143" s="8"/>
      <c r="C143" s="8"/>
      <c r="D143" s="8"/>
      <c r="E143" s="8"/>
    </row>
    <row r="144" ht="15.75" customHeight="1">
      <c r="A144" s="8"/>
      <c r="B144" s="8"/>
      <c r="C144" s="8"/>
      <c r="D144" s="8"/>
      <c r="E144" s="8"/>
    </row>
    <row r="145" ht="15.75" customHeight="1">
      <c r="A145" s="8"/>
      <c r="B145" s="8"/>
      <c r="C145" s="8"/>
      <c r="D145" s="8"/>
      <c r="E145" s="8"/>
    </row>
    <row r="146" ht="15.75" customHeight="1">
      <c r="A146" s="8"/>
      <c r="B146" s="8"/>
      <c r="C146" s="8"/>
      <c r="D146" s="8"/>
      <c r="E146" s="8"/>
    </row>
    <row r="147" ht="15.75" customHeight="1">
      <c r="A147" s="8"/>
      <c r="B147" s="8"/>
      <c r="C147" s="8"/>
      <c r="D147" s="8"/>
      <c r="E147" s="8"/>
    </row>
    <row r="148" ht="15.75" customHeight="1">
      <c r="A148" s="8"/>
      <c r="B148" s="8"/>
      <c r="C148" s="8"/>
      <c r="D148" s="8"/>
      <c r="E148" s="8"/>
    </row>
    <row r="149" ht="15.75" customHeight="1">
      <c r="A149" s="8"/>
      <c r="B149" s="8"/>
      <c r="C149" s="8"/>
      <c r="D149" s="8"/>
      <c r="E149" s="8"/>
    </row>
    <row r="150" ht="15.75" customHeight="1">
      <c r="A150" s="8"/>
      <c r="B150" s="8"/>
      <c r="C150" s="8"/>
      <c r="D150" s="8"/>
      <c r="E150" s="8"/>
    </row>
    <row r="151" ht="15.75" customHeight="1">
      <c r="A151" s="8"/>
      <c r="B151" s="8"/>
      <c r="C151" s="8"/>
      <c r="D151" s="8"/>
      <c r="E151" s="8"/>
    </row>
    <row r="152" ht="15.75" customHeight="1">
      <c r="A152" s="8"/>
      <c r="B152" s="8"/>
      <c r="C152" s="8"/>
      <c r="D152" s="8"/>
      <c r="E152" s="8"/>
    </row>
    <row r="153" ht="15.75" customHeight="1">
      <c r="A153" s="8"/>
      <c r="B153" s="8"/>
      <c r="C153" s="8"/>
      <c r="D153" s="8"/>
      <c r="E153" s="8"/>
    </row>
    <row r="154" ht="15.75" customHeight="1">
      <c r="A154" s="8"/>
      <c r="B154" s="8"/>
      <c r="C154" s="8"/>
      <c r="D154" s="8"/>
      <c r="E154" s="8"/>
    </row>
    <row r="155" ht="15.75" customHeight="1">
      <c r="A155" s="8"/>
      <c r="B155" s="8"/>
      <c r="C155" s="8"/>
      <c r="D155" s="8"/>
      <c r="E155" s="8"/>
    </row>
    <row r="156" ht="15.75" customHeight="1">
      <c r="A156" s="8"/>
      <c r="B156" s="8"/>
      <c r="C156" s="8"/>
      <c r="D156" s="8"/>
      <c r="E156" s="8"/>
    </row>
    <row r="157" ht="15.75" customHeight="1">
      <c r="A157" s="8"/>
      <c r="B157" s="8"/>
      <c r="C157" s="8"/>
      <c r="D157" s="8"/>
      <c r="E157" s="8"/>
    </row>
    <row r="158" ht="15.75" customHeight="1">
      <c r="A158" s="8"/>
      <c r="B158" s="8"/>
      <c r="C158" s="8"/>
      <c r="D158" s="8"/>
      <c r="E158" s="8"/>
    </row>
    <row r="159" ht="15.75" customHeight="1">
      <c r="A159" s="8"/>
      <c r="B159" s="8"/>
      <c r="C159" s="8"/>
      <c r="D159" s="8"/>
      <c r="E159" s="8"/>
    </row>
    <row r="160" ht="15.75" customHeight="1">
      <c r="A160" s="8"/>
      <c r="B160" s="8"/>
      <c r="C160" s="8"/>
      <c r="D160" s="8"/>
      <c r="E160" s="8"/>
    </row>
    <row r="161" ht="15.75" customHeight="1">
      <c r="A161" s="8"/>
      <c r="B161" s="8"/>
      <c r="C161" s="8"/>
      <c r="D161" s="8"/>
      <c r="E161" s="8"/>
    </row>
    <row r="162" ht="15.75" customHeight="1">
      <c r="A162" s="8"/>
      <c r="B162" s="8"/>
      <c r="C162" s="8"/>
      <c r="D162" s="8"/>
      <c r="E162" s="8"/>
    </row>
    <row r="163" ht="15.75" customHeight="1">
      <c r="A163" s="8"/>
      <c r="B163" s="8"/>
      <c r="C163" s="8"/>
      <c r="D163" s="8"/>
      <c r="E163" s="8"/>
    </row>
    <row r="164" ht="15.75" customHeight="1">
      <c r="A164" s="8"/>
      <c r="B164" s="8"/>
      <c r="C164" s="8"/>
      <c r="D164" s="8"/>
      <c r="E164" s="8"/>
    </row>
    <row r="165" ht="15.75" customHeight="1">
      <c r="A165" s="8"/>
      <c r="B165" s="8"/>
      <c r="C165" s="8"/>
      <c r="D165" s="8"/>
      <c r="E165" s="8"/>
    </row>
    <row r="166" ht="15.75" customHeight="1">
      <c r="A166" s="8"/>
      <c r="B166" s="8"/>
      <c r="C166" s="8"/>
      <c r="D166" s="8"/>
      <c r="E166" s="8"/>
    </row>
    <row r="167" ht="15.75" customHeight="1">
      <c r="A167" s="8"/>
      <c r="B167" s="8"/>
      <c r="C167" s="8"/>
      <c r="D167" s="8"/>
      <c r="E167" s="8"/>
    </row>
    <row r="168" ht="15.75" customHeight="1">
      <c r="A168" s="8"/>
      <c r="B168" s="8"/>
      <c r="C168" s="8"/>
      <c r="D168" s="8"/>
      <c r="E168" s="8"/>
    </row>
    <row r="169" ht="15.75" customHeight="1">
      <c r="A169" s="8"/>
      <c r="B169" s="8"/>
      <c r="C169" s="8"/>
      <c r="D169" s="8"/>
      <c r="E169" s="8"/>
    </row>
    <row r="170" ht="15.75" customHeight="1">
      <c r="A170" s="8"/>
      <c r="B170" s="8"/>
      <c r="C170" s="8"/>
      <c r="D170" s="8"/>
      <c r="E170" s="8"/>
    </row>
    <row r="171" ht="15.75" customHeight="1">
      <c r="A171" s="8"/>
      <c r="B171" s="8"/>
      <c r="C171" s="8"/>
      <c r="D171" s="8"/>
      <c r="E171" s="8"/>
    </row>
    <row r="172" ht="15.75" customHeight="1">
      <c r="A172" s="8"/>
      <c r="B172" s="8"/>
      <c r="C172" s="8"/>
      <c r="D172" s="8"/>
      <c r="E172" s="8"/>
    </row>
    <row r="173" ht="15.75" customHeight="1">
      <c r="A173" s="8"/>
      <c r="B173" s="8"/>
      <c r="C173" s="8"/>
      <c r="D173" s="8"/>
      <c r="E173" s="8"/>
    </row>
    <row r="174" ht="15.75" customHeight="1">
      <c r="A174" s="8"/>
      <c r="B174" s="8"/>
      <c r="C174" s="8"/>
      <c r="D174" s="8"/>
      <c r="E174" s="8"/>
    </row>
    <row r="175" ht="15.75" customHeight="1">
      <c r="A175" s="8"/>
      <c r="B175" s="8"/>
      <c r="C175" s="8"/>
      <c r="D175" s="8"/>
      <c r="E175" s="8"/>
    </row>
    <row r="176" ht="15.75" customHeight="1">
      <c r="A176" s="8"/>
      <c r="B176" s="8"/>
      <c r="C176" s="8"/>
      <c r="D176" s="8"/>
      <c r="E176" s="8"/>
    </row>
    <row r="177" ht="15.75" customHeight="1">
      <c r="A177" s="8"/>
      <c r="B177" s="8"/>
      <c r="C177" s="8"/>
      <c r="D177" s="8"/>
      <c r="E177" s="8"/>
    </row>
    <row r="178" ht="15.75" customHeight="1">
      <c r="A178" s="8"/>
      <c r="B178" s="8"/>
      <c r="C178" s="8"/>
      <c r="D178" s="8"/>
      <c r="E178" s="8"/>
    </row>
    <row r="179" ht="15.75" customHeight="1">
      <c r="A179" s="8"/>
      <c r="B179" s="8"/>
      <c r="C179" s="8"/>
      <c r="D179" s="8"/>
      <c r="E179" s="8"/>
    </row>
    <row r="180" ht="15.75" customHeight="1">
      <c r="A180" s="8"/>
      <c r="B180" s="8"/>
      <c r="C180" s="8"/>
      <c r="D180" s="8"/>
      <c r="E180" s="8"/>
    </row>
    <row r="181" ht="15.75" customHeight="1">
      <c r="A181" s="8"/>
      <c r="B181" s="8"/>
      <c r="C181" s="8"/>
      <c r="D181" s="8"/>
      <c r="E181" s="8"/>
    </row>
    <row r="182" ht="15.75" customHeight="1">
      <c r="A182" s="8"/>
      <c r="B182" s="8"/>
      <c r="C182" s="8"/>
      <c r="D182" s="8"/>
      <c r="E182" s="8"/>
    </row>
    <row r="183" ht="15.75" customHeight="1">
      <c r="A183" s="8"/>
      <c r="B183" s="8"/>
      <c r="C183" s="8"/>
      <c r="D183" s="8"/>
      <c r="E183" s="8"/>
    </row>
    <row r="184" ht="15.75" customHeight="1">
      <c r="A184" s="8"/>
      <c r="B184" s="8"/>
      <c r="C184" s="8"/>
      <c r="D184" s="8"/>
      <c r="E184" s="8"/>
    </row>
    <row r="185" ht="15.75" customHeight="1">
      <c r="A185" s="8"/>
      <c r="B185" s="8"/>
      <c r="C185" s="8"/>
      <c r="D185" s="8"/>
      <c r="E185" s="8"/>
    </row>
    <row r="186" ht="15.75" customHeight="1">
      <c r="A186" s="8"/>
      <c r="B186" s="8"/>
      <c r="C186" s="8"/>
      <c r="D186" s="8"/>
      <c r="E186" s="8"/>
    </row>
    <row r="187" ht="15.75" customHeight="1">
      <c r="A187" s="8"/>
      <c r="B187" s="8"/>
      <c r="C187" s="8"/>
      <c r="D187" s="8"/>
      <c r="E187" s="8"/>
    </row>
    <row r="188" ht="15.75" customHeight="1">
      <c r="A188" s="8"/>
      <c r="B188" s="8"/>
      <c r="C188" s="8"/>
      <c r="D188" s="8"/>
      <c r="E188" s="8"/>
    </row>
    <row r="189" ht="15.75" customHeight="1">
      <c r="A189" s="8"/>
      <c r="B189" s="8"/>
      <c r="C189" s="8"/>
      <c r="D189" s="8"/>
      <c r="E189" s="8"/>
    </row>
    <row r="190" ht="15.75" customHeight="1">
      <c r="A190" s="8"/>
      <c r="B190" s="8"/>
      <c r="C190" s="8"/>
      <c r="D190" s="8"/>
      <c r="E190" s="8"/>
    </row>
    <row r="191" ht="15.75" customHeight="1">
      <c r="A191" s="8"/>
      <c r="B191" s="8"/>
      <c r="C191" s="8"/>
      <c r="D191" s="8"/>
      <c r="E191" s="8"/>
    </row>
    <row r="192" ht="15.75" customHeight="1">
      <c r="A192" s="8"/>
      <c r="B192" s="8"/>
      <c r="C192" s="8"/>
      <c r="D192" s="8"/>
      <c r="E192" s="8"/>
    </row>
    <row r="193" ht="15.75" customHeight="1">
      <c r="A193" s="8"/>
      <c r="B193" s="8"/>
      <c r="C193" s="8"/>
      <c r="D193" s="8"/>
      <c r="E193" s="8"/>
    </row>
    <row r="194" ht="15.75" customHeight="1">
      <c r="A194" s="8"/>
      <c r="B194" s="8"/>
      <c r="C194" s="8"/>
      <c r="D194" s="8"/>
      <c r="E194" s="8"/>
    </row>
    <row r="195" ht="15.75" customHeight="1">
      <c r="A195" s="8"/>
      <c r="B195" s="8"/>
      <c r="C195" s="8"/>
      <c r="D195" s="8"/>
      <c r="E195" s="8"/>
    </row>
    <row r="196" ht="15.75" customHeight="1">
      <c r="A196" s="8"/>
      <c r="B196" s="8"/>
      <c r="C196" s="8"/>
      <c r="D196" s="8"/>
      <c r="E196" s="8"/>
    </row>
    <row r="197" ht="15.75" customHeight="1">
      <c r="A197" s="8"/>
      <c r="B197" s="8"/>
      <c r="C197" s="8"/>
      <c r="D197" s="8"/>
      <c r="E197" s="8"/>
    </row>
    <row r="198" ht="15.75" customHeight="1">
      <c r="A198" s="8"/>
      <c r="B198" s="8"/>
      <c r="C198" s="8"/>
      <c r="D198" s="8"/>
      <c r="E198" s="8"/>
    </row>
    <row r="199" ht="15.75" customHeight="1">
      <c r="A199" s="8"/>
      <c r="B199" s="8"/>
      <c r="C199" s="8"/>
      <c r="D199" s="8"/>
      <c r="E199" s="8"/>
    </row>
    <row r="200" ht="15.75" customHeight="1">
      <c r="A200" s="8"/>
      <c r="B200" s="8"/>
      <c r="C200" s="8"/>
      <c r="D200" s="8"/>
      <c r="E200" s="8"/>
    </row>
    <row r="201" ht="15.75" customHeight="1">
      <c r="A201" s="8"/>
      <c r="B201" s="8"/>
      <c r="C201" s="8"/>
      <c r="D201" s="8"/>
      <c r="E201" s="8"/>
    </row>
    <row r="202" ht="15.75" customHeight="1">
      <c r="A202" s="8"/>
      <c r="B202" s="8"/>
      <c r="C202" s="8"/>
      <c r="D202" s="8"/>
      <c r="E202" s="8"/>
    </row>
    <row r="203" ht="15.75" customHeight="1">
      <c r="A203" s="8"/>
      <c r="B203" s="8"/>
      <c r="C203" s="8"/>
      <c r="D203" s="8"/>
      <c r="E203" s="8"/>
    </row>
    <row r="204" ht="15.75" customHeight="1">
      <c r="A204" s="8"/>
      <c r="B204" s="8"/>
      <c r="C204" s="8"/>
      <c r="D204" s="8"/>
      <c r="E204" s="8"/>
    </row>
    <row r="205" ht="15.75" customHeight="1">
      <c r="A205" s="8"/>
      <c r="B205" s="8"/>
      <c r="C205" s="8"/>
      <c r="D205" s="8"/>
      <c r="E205" s="8"/>
    </row>
    <row r="206" ht="15.75" customHeight="1">
      <c r="A206" s="8"/>
      <c r="B206" s="8"/>
      <c r="C206" s="8"/>
      <c r="D206" s="8"/>
      <c r="E206" s="8"/>
    </row>
    <row r="207" ht="15.75" customHeight="1">
      <c r="A207" s="8"/>
      <c r="B207" s="8"/>
      <c r="C207" s="8"/>
      <c r="D207" s="8"/>
      <c r="E207" s="8"/>
    </row>
    <row r="208" ht="15.75" customHeight="1">
      <c r="A208" s="8"/>
      <c r="B208" s="8"/>
      <c r="C208" s="8"/>
      <c r="D208" s="8"/>
      <c r="E208" s="8"/>
    </row>
    <row r="209" ht="15.75" customHeight="1">
      <c r="A209" s="8"/>
      <c r="B209" s="8"/>
      <c r="C209" s="8"/>
      <c r="D209" s="8"/>
      <c r="E209" s="8"/>
    </row>
    <row r="210" ht="15.75" customHeight="1">
      <c r="A210" s="8"/>
      <c r="B210" s="8"/>
      <c r="C210" s="8"/>
      <c r="D210" s="8"/>
      <c r="E210" s="8"/>
    </row>
    <row r="211" ht="15.75" customHeight="1">
      <c r="A211" s="8"/>
      <c r="B211" s="8"/>
      <c r="C211" s="8"/>
      <c r="D211" s="8"/>
      <c r="E211" s="8"/>
    </row>
    <row r="212" ht="15.75" customHeight="1">
      <c r="A212" s="8"/>
      <c r="B212" s="8"/>
      <c r="C212" s="8"/>
      <c r="D212" s="8"/>
      <c r="E212" s="8"/>
    </row>
    <row r="213" ht="15.75" customHeight="1">
      <c r="A213" s="8"/>
      <c r="B213" s="8"/>
      <c r="C213" s="8"/>
      <c r="D213" s="8"/>
      <c r="E213" s="8"/>
    </row>
    <row r="214" ht="15.75" customHeight="1">
      <c r="A214" s="8"/>
      <c r="B214" s="8"/>
      <c r="C214" s="8"/>
      <c r="D214" s="8"/>
      <c r="E214" s="8"/>
    </row>
    <row r="215" ht="15.75" customHeight="1">
      <c r="A215" s="8"/>
      <c r="B215" s="8"/>
      <c r="C215" s="8"/>
      <c r="D215" s="8"/>
      <c r="E215" s="8"/>
    </row>
    <row r="216" ht="15.75" customHeight="1">
      <c r="A216" s="8"/>
      <c r="B216" s="8"/>
      <c r="C216" s="8"/>
      <c r="D216" s="8"/>
      <c r="E216" s="8"/>
    </row>
    <row r="217" ht="15.75" customHeight="1">
      <c r="A217" s="8"/>
      <c r="B217" s="8"/>
      <c r="C217" s="8"/>
      <c r="D217" s="8"/>
      <c r="E217" s="8"/>
    </row>
    <row r="218" ht="15.75" customHeight="1">
      <c r="A218" s="8"/>
      <c r="B218" s="8"/>
      <c r="C218" s="8"/>
      <c r="D218" s="8"/>
      <c r="E218" s="8"/>
    </row>
    <row r="219" ht="15.75" customHeight="1">
      <c r="A219" s="8"/>
      <c r="B219" s="8"/>
      <c r="C219" s="8"/>
      <c r="D219" s="8"/>
      <c r="E219" s="8"/>
    </row>
    <row r="220" ht="15.75" customHeight="1">
      <c r="A220" s="8"/>
      <c r="B220" s="8"/>
      <c r="C220" s="8"/>
      <c r="D220" s="8"/>
      <c r="E220" s="8"/>
    </row>
    <row r="221" ht="15.75" customHeight="1">
      <c r="A221" s="8"/>
      <c r="B221" s="8"/>
      <c r="C221" s="8"/>
      <c r="D221" s="8"/>
      <c r="E221" s="8"/>
    </row>
    <row r="222" ht="15.75" customHeight="1">
      <c r="A222" s="8"/>
      <c r="B222" s="8"/>
      <c r="C222" s="8"/>
      <c r="D222" s="8"/>
      <c r="E222" s="8"/>
    </row>
    <row r="223" ht="15.75" customHeight="1">
      <c r="A223" s="8"/>
      <c r="B223" s="8"/>
      <c r="C223" s="8"/>
      <c r="D223" s="8"/>
      <c r="E223" s="8"/>
    </row>
    <row r="224" ht="15.75" customHeight="1">
      <c r="A224" s="8"/>
      <c r="B224" s="8"/>
      <c r="C224" s="8"/>
      <c r="D224" s="8"/>
      <c r="E224" s="8"/>
    </row>
    <row r="225" ht="15.75" customHeight="1">
      <c r="A225" s="8"/>
      <c r="B225" s="8"/>
      <c r="C225" s="8"/>
      <c r="D225" s="8"/>
      <c r="E225" s="8"/>
    </row>
    <row r="226" ht="15.75" customHeight="1">
      <c r="A226" s="8"/>
      <c r="B226" s="8"/>
      <c r="C226" s="8"/>
      <c r="D226" s="8"/>
      <c r="E226" s="8"/>
    </row>
    <row r="227" ht="15.75" customHeight="1">
      <c r="A227" s="8"/>
      <c r="B227" s="8"/>
      <c r="C227" s="8"/>
      <c r="D227" s="8"/>
      <c r="E227" s="8"/>
    </row>
    <row r="228" ht="15.75" customHeight="1">
      <c r="A228" s="8"/>
      <c r="B228" s="8"/>
      <c r="C228" s="8"/>
      <c r="D228" s="8"/>
      <c r="E228" s="8"/>
    </row>
    <row r="229" ht="15.75" customHeight="1">
      <c r="A229" s="8"/>
      <c r="B229" s="8"/>
      <c r="C229" s="8"/>
      <c r="D229" s="8"/>
      <c r="E229" s="8"/>
    </row>
    <row r="230" ht="15.75" customHeight="1">
      <c r="A230" s="8"/>
      <c r="B230" s="8"/>
      <c r="C230" s="8"/>
      <c r="D230" s="8"/>
      <c r="E230" s="8"/>
    </row>
    <row r="231" ht="15.75" customHeight="1">
      <c r="A231" s="8"/>
      <c r="B231" s="8"/>
      <c r="C231" s="8"/>
      <c r="D231" s="8"/>
      <c r="E231" s="8"/>
    </row>
    <row r="232" ht="15.75" customHeight="1">
      <c r="A232" s="8"/>
      <c r="B232" s="8"/>
      <c r="C232" s="8"/>
      <c r="D232" s="8"/>
      <c r="E232" s="8"/>
    </row>
    <row r="233" ht="15.75" customHeight="1">
      <c r="A233" s="8"/>
      <c r="B233" s="8"/>
      <c r="C233" s="8"/>
      <c r="D233" s="8"/>
      <c r="E233" s="8"/>
    </row>
    <row r="234" ht="15.75" customHeight="1">
      <c r="A234" s="8"/>
      <c r="B234" s="8"/>
      <c r="C234" s="8"/>
      <c r="D234" s="8"/>
      <c r="E234" s="8"/>
    </row>
    <row r="235" ht="15.75" customHeight="1">
      <c r="A235" s="8"/>
      <c r="B235" s="8"/>
      <c r="C235" s="8"/>
      <c r="D235" s="8"/>
      <c r="E235" s="8"/>
    </row>
    <row r="236" ht="15.75" customHeight="1">
      <c r="A236" s="8"/>
      <c r="B236" s="8"/>
      <c r="C236" s="8"/>
      <c r="D236" s="8"/>
      <c r="E236" s="8"/>
    </row>
    <row r="237" ht="15.75" customHeight="1">
      <c r="A237" s="8"/>
      <c r="B237" s="8"/>
      <c r="C237" s="8"/>
      <c r="D237" s="8"/>
      <c r="E237" s="8"/>
    </row>
    <row r="238" ht="15.75" customHeight="1">
      <c r="A238" s="8"/>
      <c r="B238" s="8"/>
      <c r="C238" s="8"/>
      <c r="D238" s="8"/>
      <c r="E238" s="8"/>
    </row>
    <row r="239" ht="15.75" customHeight="1">
      <c r="A239" s="8"/>
      <c r="B239" s="8"/>
      <c r="C239" s="8"/>
      <c r="D239" s="8"/>
      <c r="E239" s="8"/>
    </row>
    <row r="240" ht="15.75" customHeight="1">
      <c r="A240" s="8"/>
      <c r="B240" s="8"/>
      <c r="C240" s="8"/>
      <c r="D240" s="8"/>
      <c r="E240" s="8"/>
    </row>
    <row r="241" ht="15.75" customHeight="1">
      <c r="A241" s="8"/>
      <c r="B241" s="8"/>
      <c r="C241" s="8"/>
      <c r="D241" s="8"/>
      <c r="E241" s="8"/>
    </row>
    <row r="242" ht="15.75" customHeight="1">
      <c r="A242" s="8"/>
      <c r="B242" s="8"/>
      <c r="C242" s="8"/>
      <c r="D242" s="8"/>
      <c r="E242" s="8"/>
    </row>
    <row r="243" ht="15.75" customHeight="1">
      <c r="A243" s="8"/>
      <c r="B243" s="8"/>
      <c r="C243" s="8"/>
      <c r="D243" s="8"/>
      <c r="E243" s="8"/>
    </row>
    <row r="244" ht="15.75" customHeight="1">
      <c r="A244" s="8"/>
      <c r="B244" s="8"/>
      <c r="C244" s="8"/>
      <c r="D244" s="8"/>
      <c r="E244" s="8"/>
    </row>
    <row r="245" ht="15.75" customHeight="1">
      <c r="A245" s="8"/>
      <c r="B245" s="8"/>
      <c r="C245" s="8"/>
      <c r="D245" s="8"/>
      <c r="E245" s="8"/>
    </row>
    <row r="246" ht="15.75" customHeight="1">
      <c r="A246" s="8"/>
      <c r="B246" s="8"/>
      <c r="C246" s="8"/>
      <c r="D246" s="8"/>
      <c r="E246" s="8"/>
    </row>
    <row r="247" ht="15.75" customHeight="1">
      <c r="A247" s="8"/>
      <c r="B247" s="8"/>
      <c r="C247" s="8"/>
      <c r="D247" s="8"/>
      <c r="E247" s="8"/>
    </row>
    <row r="248" ht="15.75" customHeight="1">
      <c r="A248" s="8"/>
      <c r="B248" s="8"/>
      <c r="C248" s="8"/>
      <c r="D248" s="8"/>
      <c r="E248" s="8"/>
    </row>
    <row r="249" ht="15.75" customHeight="1">
      <c r="A249" s="8"/>
      <c r="B249" s="8"/>
      <c r="C249" s="8"/>
      <c r="D249" s="8"/>
      <c r="E249" s="8"/>
    </row>
    <row r="250" ht="15.75" customHeight="1">
      <c r="A250" s="8"/>
      <c r="B250" s="8"/>
      <c r="C250" s="8"/>
      <c r="D250" s="8"/>
      <c r="E250" s="8"/>
    </row>
    <row r="251" ht="15.75" customHeight="1">
      <c r="A251" s="8"/>
      <c r="B251" s="8"/>
      <c r="C251" s="8"/>
      <c r="D251" s="8"/>
      <c r="E251" s="8"/>
    </row>
    <row r="252" ht="15.75" customHeight="1">
      <c r="A252" s="8"/>
      <c r="B252" s="8"/>
      <c r="C252" s="8"/>
      <c r="D252" s="8"/>
      <c r="E252" s="8"/>
    </row>
    <row r="253" ht="15.75" customHeight="1">
      <c r="A253" s="8"/>
      <c r="B253" s="8"/>
      <c r="C253" s="8"/>
      <c r="D253" s="8"/>
      <c r="E253" s="8"/>
    </row>
    <row r="254" ht="15.75" customHeight="1">
      <c r="A254" s="8"/>
      <c r="B254" s="8"/>
      <c r="C254" s="8"/>
      <c r="D254" s="8"/>
      <c r="E254" s="8"/>
    </row>
    <row r="255" ht="15.75" customHeight="1">
      <c r="A255" s="8"/>
      <c r="B255" s="8"/>
      <c r="C255" s="8"/>
      <c r="D255" s="8"/>
      <c r="E255" s="8"/>
    </row>
    <row r="256" ht="15.75" customHeight="1">
      <c r="A256" s="8"/>
      <c r="B256" s="8"/>
      <c r="C256" s="8"/>
      <c r="D256" s="8"/>
      <c r="E256" s="8"/>
    </row>
    <row r="257" ht="15.75" customHeight="1">
      <c r="A257" s="8"/>
      <c r="B257" s="8"/>
      <c r="C257" s="8"/>
      <c r="D257" s="8"/>
      <c r="E257" s="8"/>
    </row>
    <row r="258" ht="15.75" customHeight="1">
      <c r="A258" s="8"/>
      <c r="B258" s="8"/>
      <c r="C258" s="8"/>
      <c r="D258" s="8"/>
      <c r="E258" s="8"/>
    </row>
    <row r="259" ht="15.75" customHeight="1">
      <c r="A259" s="8"/>
      <c r="B259" s="8"/>
      <c r="C259" s="8"/>
      <c r="D259" s="8"/>
      <c r="E259" s="8"/>
    </row>
    <row r="260" ht="15.75" customHeight="1">
      <c r="A260" s="8"/>
      <c r="B260" s="8"/>
      <c r="C260" s="8"/>
      <c r="D260" s="8"/>
      <c r="E260" s="8"/>
    </row>
    <row r="261" ht="15.75" customHeight="1">
      <c r="A261" s="8"/>
      <c r="B261" s="8"/>
      <c r="C261" s="8"/>
      <c r="D261" s="8"/>
      <c r="E261" s="8"/>
    </row>
    <row r="262" ht="15.75" customHeight="1">
      <c r="A262" s="8"/>
      <c r="B262" s="8"/>
      <c r="C262" s="8"/>
      <c r="D262" s="8"/>
      <c r="E262" s="8"/>
    </row>
    <row r="263" ht="15.75" customHeight="1">
      <c r="A263" s="8"/>
      <c r="B263" s="8"/>
      <c r="C263" s="8"/>
      <c r="D263" s="8"/>
      <c r="E263" s="8"/>
    </row>
    <row r="264" ht="15.75" customHeight="1">
      <c r="A264" s="8"/>
      <c r="B264" s="8"/>
      <c r="C264" s="8"/>
      <c r="D264" s="8"/>
      <c r="E264" s="8"/>
    </row>
    <row r="265" ht="15.75" customHeight="1">
      <c r="A265" s="8"/>
      <c r="B265" s="8"/>
      <c r="C265" s="8"/>
      <c r="D265" s="8"/>
      <c r="E265" s="8"/>
    </row>
    <row r="266" ht="15.75" customHeight="1">
      <c r="A266" s="8"/>
      <c r="B266" s="8"/>
      <c r="C266" s="8"/>
      <c r="D266" s="8"/>
      <c r="E266" s="8"/>
    </row>
    <row r="267" ht="15.75" customHeight="1">
      <c r="A267" s="8"/>
      <c r="B267" s="8"/>
      <c r="C267" s="8"/>
      <c r="D267" s="8"/>
      <c r="E267" s="8"/>
    </row>
    <row r="268" ht="15.75" customHeight="1">
      <c r="A268" s="8"/>
      <c r="B268" s="8"/>
      <c r="C268" s="8"/>
      <c r="D268" s="8"/>
      <c r="E268" s="8"/>
    </row>
    <row r="269" ht="15.75" customHeight="1">
      <c r="A269" s="8"/>
      <c r="B269" s="8"/>
      <c r="C269" s="8"/>
      <c r="D269" s="8"/>
      <c r="E269" s="8"/>
    </row>
    <row r="270" ht="15.75" customHeight="1">
      <c r="A270" s="8"/>
      <c r="B270" s="8"/>
      <c r="C270" s="8"/>
      <c r="D270" s="8"/>
      <c r="E270" s="8"/>
    </row>
    <row r="271" ht="15.75" customHeight="1">
      <c r="A271" s="8"/>
      <c r="B271" s="8"/>
      <c r="C271" s="8"/>
      <c r="D271" s="8"/>
      <c r="E271" s="8"/>
    </row>
    <row r="272" ht="15.75" customHeight="1">
      <c r="A272" s="8"/>
      <c r="B272" s="8"/>
      <c r="C272" s="8"/>
      <c r="D272" s="8"/>
      <c r="E272" s="8"/>
    </row>
    <row r="273" ht="15.75" customHeight="1">
      <c r="A273" s="8"/>
      <c r="B273" s="8"/>
      <c r="C273" s="8"/>
      <c r="D273" s="8"/>
      <c r="E273" s="8"/>
    </row>
    <row r="274" ht="15.75" customHeight="1">
      <c r="A274" s="8"/>
      <c r="B274" s="8"/>
      <c r="C274" s="8"/>
      <c r="D274" s="8"/>
      <c r="E274" s="8"/>
    </row>
    <row r="275" ht="15.75" customHeight="1">
      <c r="A275" s="8"/>
      <c r="B275" s="8"/>
      <c r="C275" s="8"/>
      <c r="D275" s="8"/>
      <c r="E275" s="8"/>
    </row>
    <row r="276" ht="15.75" customHeight="1">
      <c r="A276" s="8"/>
      <c r="B276" s="8"/>
      <c r="C276" s="8"/>
      <c r="D276" s="8"/>
      <c r="E276" s="8"/>
    </row>
    <row r="277" ht="15.75" customHeight="1">
      <c r="A277" s="8"/>
      <c r="B277" s="8"/>
      <c r="C277" s="8"/>
      <c r="D277" s="8"/>
      <c r="E277" s="8"/>
    </row>
    <row r="278" ht="15.75" customHeight="1">
      <c r="A278" s="8"/>
      <c r="B278" s="8"/>
      <c r="C278" s="8"/>
      <c r="D278" s="8"/>
      <c r="E278" s="8"/>
    </row>
    <row r="279" ht="15.75" customHeight="1">
      <c r="A279" s="8"/>
      <c r="B279" s="8"/>
      <c r="C279" s="8"/>
      <c r="D279" s="8"/>
      <c r="E279" s="8"/>
    </row>
    <row r="280" ht="15.75" customHeight="1">
      <c r="A280" s="8"/>
      <c r="B280" s="8"/>
      <c r="C280" s="8"/>
      <c r="D280" s="8"/>
      <c r="E280" s="8"/>
    </row>
    <row r="281" ht="15.75" customHeight="1">
      <c r="A281" s="8"/>
      <c r="B281" s="8"/>
      <c r="C281" s="8"/>
      <c r="D281" s="8"/>
      <c r="E281" s="8"/>
    </row>
    <row r="282" ht="15.75" customHeight="1">
      <c r="A282" s="8"/>
      <c r="B282" s="8"/>
      <c r="C282" s="8"/>
      <c r="D282" s="8"/>
      <c r="E282" s="8"/>
    </row>
    <row r="283" ht="15.75" customHeight="1">
      <c r="A283" s="8"/>
      <c r="B283" s="8"/>
      <c r="C283" s="8"/>
      <c r="D283" s="8"/>
      <c r="E283" s="8"/>
    </row>
    <row r="284" ht="15.75" customHeight="1">
      <c r="A284" s="8"/>
      <c r="B284" s="8"/>
      <c r="C284" s="8"/>
      <c r="D284" s="8"/>
      <c r="E284" s="8"/>
    </row>
    <row r="285" ht="15.75" customHeight="1">
      <c r="A285" s="8"/>
      <c r="B285" s="8"/>
      <c r="C285" s="8"/>
      <c r="D285" s="8"/>
      <c r="E285" s="8"/>
    </row>
    <row r="286" ht="15.75" customHeight="1">
      <c r="A286" s="8"/>
      <c r="B286" s="8"/>
      <c r="C286" s="8"/>
      <c r="D286" s="8"/>
      <c r="E286" s="8"/>
    </row>
    <row r="287" ht="15.75" customHeight="1">
      <c r="A287" s="8"/>
      <c r="B287" s="8"/>
      <c r="C287" s="8"/>
      <c r="D287" s="8"/>
      <c r="E287" s="8"/>
    </row>
    <row r="288" ht="15.75" customHeight="1">
      <c r="A288" s="8"/>
      <c r="B288" s="8"/>
      <c r="C288" s="8"/>
      <c r="D288" s="8"/>
      <c r="E288" s="8"/>
    </row>
    <row r="289" ht="15.75" customHeight="1">
      <c r="A289" s="8"/>
      <c r="B289" s="8"/>
      <c r="C289" s="8"/>
      <c r="D289" s="8"/>
      <c r="E289" s="8"/>
    </row>
    <row r="290" ht="15.75" customHeight="1">
      <c r="A290" s="8"/>
      <c r="B290" s="8"/>
      <c r="C290" s="8"/>
      <c r="D290" s="8"/>
      <c r="E290" s="8"/>
    </row>
    <row r="291" ht="15.75" customHeight="1">
      <c r="A291" s="8"/>
      <c r="B291" s="8"/>
      <c r="C291" s="8"/>
      <c r="D291" s="8"/>
      <c r="E291" s="8"/>
    </row>
    <row r="292" ht="15.75" customHeight="1">
      <c r="A292" s="8"/>
      <c r="B292" s="8"/>
      <c r="C292" s="8"/>
      <c r="D292" s="8"/>
      <c r="E292" s="8"/>
    </row>
    <row r="293" ht="15.75" customHeight="1">
      <c r="A293" s="8"/>
      <c r="B293" s="8"/>
      <c r="C293" s="8"/>
      <c r="D293" s="8"/>
      <c r="E293" s="8"/>
    </row>
    <row r="294" ht="15.75" customHeight="1">
      <c r="A294" s="8"/>
      <c r="B294" s="8"/>
      <c r="C294" s="8"/>
      <c r="D294" s="8"/>
      <c r="E294" s="8"/>
    </row>
    <row r="295" ht="15.75" customHeight="1">
      <c r="A295" s="8"/>
      <c r="B295" s="8"/>
      <c r="C295" s="8"/>
      <c r="D295" s="8"/>
      <c r="E295" s="8"/>
    </row>
    <row r="296" ht="15.75" customHeight="1">
      <c r="A296" s="8"/>
      <c r="B296" s="8"/>
      <c r="C296" s="8"/>
      <c r="D296" s="8"/>
      <c r="E296" s="8"/>
    </row>
    <row r="297" ht="15.75" customHeight="1">
      <c r="A297" s="8"/>
      <c r="B297" s="8"/>
      <c r="C297" s="8"/>
      <c r="D297" s="8"/>
      <c r="E297" s="8"/>
    </row>
    <row r="298" ht="15.75" customHeight="1">
      <c r="A298" s="8"/>
      <c r="B298" s="8"/>
      <c r="C298" s="8"/>
      <c r="D298" s="8"/>
      <c r="E298" s="8"/>
    </row>
    <row r="299" ht="15.75" customHeight="1">
      <c r="A299" s="8"/>
      <c r="B299" s="8"/>
      <c r="C299" s="8"/>
      <c r="D299" s="8"/>
      <c r="E299" s="8"/>
    </row>
    <row r="300" ht="15.75" customHeight="1">
      <c r="A300" s="8"/>
      <c r="B300" s="8"/>
      <c r="C300" s="8"/>
      <c r="D300" s="8"/>
      <c r="E300" s="8"/>
    </row>
    <row r="301" ht="15.75" customHeight="1">
      <c r="A301" s="8"/>
      <c r="B301" s="8"/>
      <c r="C301" s="8"/>
      <c r="D301" s="8"/>
      <c r="E301" s="8"/>
    </row>
    <row r="302" ht="15.75" customHeight="1">
      <c r="A302" s="8"/>
      <c r="B302" s="8"/>
      <c r="C302" s="8"/>
      <c r="D302" s="8"/>
      <c r="E302" s="8"/>
    </row>
    <row r="303" ht="15.75" customHeight="1">
      <c r="A303" s="8"/>
      <c r="B303" s="8"/>
      <c r="C303" s="8"/>
      <c r="D303" s="8"/>
      <c r="E303" s="8"/>
    </row>
    <row r="304" ht="15.75" customHeight="1">
      <c r="A304" s="8"/>
      <c r="B304" s="8"/>
      <c r="C304" s="8"/>
      <c r="D304" s="8"/>
      <c r="E304" s="8"/>
    </row>
    <row r="305" ht="15.75" customHeight="1">
      <c r="A305" s="8"/>
      <c r="B305" s="8"/>
      <c r="C305" s="8"/>
      <c r="D305" s="8"/>
      <c r="E305" s="8"/>
    </row>
    <row r="306" ht="15.75" customHeight="1">
      <c r="A306" s="8"/>
      <c r="B306" s="8"/>
      <c r="C306" s="8"/>
      <c r="D306" s="8"/>
      <c r="E306" s="8"/>
    </row>
    <row r="307" ht="15.75" customHeight="1">
      <c r="A307" s="8"/>
      <c r="B307" s="8"/>
      <c r="C307" s="8"/>
      <c r="D307" s="8"/>
      <c r="E307" s="8"/>
    </row>
    <row r="308" ht="15.75" customHeight="1">
      <c r="A308" s="8"/>
      <c r="B308" s="8"/>
      <c r="C308" s="8"/>
      <c r="D308" s="8"/>
      <c r="E308" s="8"/>
    </row>
    <row r="309" ht="15.75" customHeight="1">
      <c r="A309" s="8"/>
      <c r="B309" s="8"/>
      <c r="C309" s="8"/>
      <c r="D309" s="8"/>
      <c r="E309" s="8"/>
    </row>
    <row r="310" ht="15.75" customHeight="1">
      <c r="A310" s="8"/>
      <c r="B310" s="8"/>
      <c r="C310" s="8"/>
      <c r="D310" s="8"/>
      <c r="E310" s="8"/>
    </row>
    <row r="311" ht="15.75" customHeight="1">
      <c r="A311" s="8"/>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mergeCells count="9">
    <mergeCell ref="A36:E36"/>
    <mergeCell ref="A37:E37"/>
    <mergeCell ref="A1:E1"/>
    <mergeCell ref="A2:E2"/>
    <mergeCell ref="A9:E9"/>
    <mergeCell ref="A15:E15"/>
    <mergeCell ref="A21:E21"/>
    <mergeCell ref="A27:E27"/>
    <mergeCell ref="A30:E30"/>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2.0"/>
    <col customWidth="1" min="3" max="3" width="80.0"/>
    <col customWidth="1" min="4" max="26" width="8.71"/>
  </cols>
  <sheetData>
    <row r="1" ht="15.0" customHeight="1">
      <c r="A1" s="120" t="s">
        <v>499</v>
      </c>
      <c r="B1" s="121"/>
      <c r="C1" s="122"/>
    </row>
    <row r="2" ht="15.0" customHeight="1">
      <c r="A2" s="1" t="s">
        <v>500</v>
      </c>
      <c r="B2" s="1" t="s">
        <v>501</v>
      </c>
      <c r="C2" s="1" t="s">
        <v>487</v>
      </c>
    </row>
    <row r="3" ht="15.0" customHeight="1">
      <c r="A3" s="5" t="s">
        <v>502</v>
      </c>
      <c r="B3" s="6" t="s">
        <v>503</v>
      </c>
      <c r="C3" s="6" t="s">
        <v>504</v>
      </c>
    </row>
    <row r="4" ht="15.0" customHeight="1">
      <c r="A4" s="2" t="s">
        <v>505</v>
      </c>
      <c r="B4" s="3" t="s">
        <v>506</v>
      </c>
      <c r="C4" s="3" t="s">
        <v>507</v>
      </c>
    </row>
    <row r="5" ht="15.0" customHeight="1">
      <c r="A5" s="5" t="s">
        <v>508</v>
      </c>
      <c r="B5" s="6" t="s">
        <v>509</v>
      </c>
      <c r="C5" s="6" t="s">
        <v>510</v>
      </c>
    </row>
    <row r="6" ht="15.0" customHeight="1">
      <c r="A6" s="2" t="s">
        <v>511</v>
      </c>
      <c r="B6" s="3" t="s">
        <v>512</v>
      </c>
      <c r="C6" s="3" t="s">
        <v>513</v>
      </c>
    </row>
    <row r="7" ht="15.0" customHeight="1">
      <c r="A7" s="5" t="s">
        <v>514</v>
      </c>
      <c r="B7" s="6" t="s">
        <v>515</v>
      </c>
      <c r="C7" s="6" t="s">
        <v>516</v>
      </c>
    </row>
    <row r="8" ht="15.0" customHeight="1">
      <c r="A8" s="2" t="s">
        <v>517</v>
      </c>
      <c r="B8" s="3" t="s">
        <v>518</v>
      </c>
      <c r="C8" s="3" t="s">
        <v>519</v>
      </c>
    </row>
    <row r="9" ht="15.0" customHeight="1">
      <c r="A9" s="5" t="s">
        <v>520</v>
      </c>
      <c r="B9" s="6" t="s">
        <v>521</v>
      </c>
      <c r="C9" s="6" t="s">
        <v>522</v>
      </c>
    </row>
    <row r="10" ht="15.0" customHeight="1">
      <c r="A10" s="2" t="s">
        <v>523</v>
      </c>
      <c r="B10" s="3" t="s">
        <v>524</v>
      </c>
      <c r="C10" s="3" t="s">
        <v>525</v>
      </c>
    </row>
    <row r="11" ht="15.0" customHeight="1">
      <c r="A11" s="5" t="s">
        <v>526</v>
      </c>
      <c r="B11" s="6" t="s">
        <v>527</v>
      </c>
      <c r="C11" s="6" t="s">
        <v>528</v>
      </c>
    </row>
    <row r="12" ht="15.0" customHeight="1">
      <c r="A12" s="2" t="s">
        <v>529</v>
      </c>
      <c r="B12" s="3" t="s">
        <v>530</v>
      </c>
      <c r="C12" s="3" t="s">
        <v>531</v>
      </c>
    </row>
    <row r="13" ht="15.0" customHeight="1">
      <c r="A13" s="5" t="s">
        <v>532</v>
      </c>
      <c r="B13" s="6" t="s">
        <v>533</v>
      </c>
      <c r="C13" s="6" t="s">
        <v>534</v>
      </c>
    </row>
    <row r="14" ht="15.0" customHeight="1">
      <c r="A14" s="2" t="s">
        <v>535</v>
      </c>
      <c r="B14" s="3" t="s">
        <v>536</v>
      </c>
      <c r="C14" s="3" t="s">
        <v>537</v>
      </c>
    </row>
    <row r="15" ht="15.0" customHeight="1">
      <c r="A15" s="5" t="s">
        <v>538</v>
      </c>
      <c r="B15" s="6" t="s">
        <v>539</v>
      </c>
      <c r="C15" s="6" t="s">
        <v>540</v>
      </c>
    </row>
    <row r="16" ht="15.0" customHeight="1">
      <c r="A16" s="2" t="s">
        <v>541</v>
      </c>
      <c r="B16" s="3" t="s">
        <v>542</v>
      </c>
      <c r="C16" s="3" t="s">
        <v>543</v>
      </c>
    </row>
    <row r="17" ht="15.0" customHeight="1">
      <c r="A17" s="5" t="s">
        <v>544</v>
      </c>
      <c r="B17" s="6" t="s">
        <v>545</v>
      </c>
      <c r="C17" s="6" t="s">
        <v>546</v>
      </c>
    </row>
    <row r="18" ht="15.0" customHeight="1">
      <c r="A18" s="2" t="s">
        <v>547</v>
      </c>
      <c r="B18" s="3" t="s">
        <v>548</v>
      </c>
      <c r="C18" s="3" t="s">
        <v>549</v>
      </c>
    </row>
    <row r="19" ht="15.0" customHeight="1">
      <c r="A19" s="5" t="s">
        <v>550</v>
      </c>
      <c r="B19" s="6" t="s">
        <v>551</v>
      </c>
      <c r="C19" s="6" t="s">
        <v>552</v>
      </c>
    </row>
    <row r="20" ht="15.0" customHeight="1">
      <c r="A20" s="2" t="s">
        <v>553</v>
      </c>
      <c r="B20" s="3" t="s">
        <v>554</v>
      </c>
      <c r="C20" s="3" t="s">
        <v>555</v>
      </c>
    </row>
    <row r="21" ht="15.75" customHeight="1">
      <c r="A21" s="8"/>
      <c r="B21" s="8"/>
      <c r="C21" s="8"/>
    </row>
    <row r="22" ht="15.0" customHeight="1">
      <c r="A22" s="123" t="s">
        <v>556</v>
      </c>
      <c r="B22" s="121"/>
      <c r="C22" s="122"/>
    </row>
    <row r="23" ht="15.0" customHeight="1">
      <c r="A23" s="31" t="s">
        <v>557</v>
      </c>
      <c r="B23" s="32" t="s">
        <v>558</v>
      </c>
      <c r="C23" s="32" t="s">
        <v>559</v>
      </c>
    </row>
    <row r="24" ht="15.0" customHeight="1">
      <c r="A24" s="31" t="s">
        <v>560</v>
      </c>
      <c r="B24" s="32" t="s">
        <v>561</v>
      </c>
      <c r="C24" s="32" t="s">
        <v>562</v>
      </c>
    </row>
    <row r="25" ht="15.0" customHeight="1">
      <c r="A25" s="31" t="s">
        <v>563</v>
      </c>
      <c r="B25" s="32" t="s">
        <v>564</v>
      </c>
      <c r="C25" s="32" t="s">
        <v>565</v>
      </c>
    </row>
    <row r="26" ht="15.0" customHeight="1">
      <c r="A26" s="31" t="s">
        <v>566</v>
      </c>
      <c r="B26" s="32" t="s">
        <v>567</v>
      </c>
      <c r="C26" s="32" t="s">
        <v>568</v>
      </c>
    </row>
    <row r="27" ht="15.75" customHeight="1">
      <c r="A27" s="8"/>
      <c r="B27" s="8"/>
      <c r="C27" s="8"/>
    </row>
    <row r="28" ht="15.75" customHeight="1">
      <c r="A28" s="8"/>
      <c r="B28" s="8"/>
      <c r="C28" s="8"/>
    </row>
    <row r="29" ht="15.75" customHeight="1">
      <c r="A29" s="8"/>
      <c r="B29" s="8"/>
      <c r="C29" s="8"/>
    </row>
    <row r="30" ht="15.75" customHeight="1">
      <c r="A30" s="8"/>
      <c r="B30" s="8"/>
      <c r="C30" s="8"/>
    </row>
    <row r="31" ht="15.75" customHeight="1">
      <c r="A31" s="8"/>
      <c r="B31" s="8"/>
      <c r="C31" s="8"/>
    </row>
    <row r="32" ht="15.75" customHeight="1">
      <c r="A32" s="8"/>
      <c r="B32" s="8"/>
      <c r="C32" s="8"/>
    </row>
    <row r="33" ht="15.75" customHeight="1">
      <c r="A33" s="8"/>
      <c r="B33" s="8"/>
      <c r="C33" s="8"/>
    </row>
    <row r="34" ht="15.75" customHeight="1">
      <c r="A34" s="8"/>
      <c r="B34" s="8"/>
      <c r="C34" s="8"/>
    </row>
    <row r="35" ht="15.75" customHeight="1">
      <c r="A35" s="8"/>
      <c r="B35" s="8"/>
      <c r="C35" s="8"/>
    </row>
    <row r="36" ht="15.75" customHeight="1">
      <c r="A36" s="8"/>
      <c r="B36" s="8"/>
      <c r="C36" s="8"/>
    </row>
    <row r="37" ht="15.75" customHeight="1">
      <c r="A37" s="8"/>
      <c r="B37" s="8"/>
      <c r="C37" s="8"/>
    </row>
    <row r="38" ht="15.75" customHeight="1">
      <c r="A38" s="8"/>
      <c r="B38" s="8"/>
      <c r="C38" s="8"/>
    </row>
    <row r="39" ht="15.75" customHeight="1">
      <c r="A39" s="8"/>
      <c r="B39" s="8"/>
      <c r="C39" s="8"/>
    </row>
    <row r="40" ht="15.75" customHeight="1">
      <c r="A40" s="8"/>
      <c r="B40" s="8"/>
      <c r="C40" s="8"/>
    </row>
    <row r="41" ht="15.75" customHeight="1">
      <c r="A41" s="8"/>
      <c r="B41" s="8"/>
      <c r="C41" s="8"/>
    </row>
    <row r="42" ht="15.75" customHeight="1">
      <c r="A42" s="8"/>
      <c r="B42" s="8"/>
      <c r="C42" s="8"/>
    </row>
    <row r="43" ht="15.75" customHeight="1">
      <c r="A43" s="8"/>
      <c r="B43" s="8"/>
      <c r="C43" s="8"/>
    </row>
    <row r="44" ht="15.75" customHeight="1">
      <c r="A44" s="8"/>
      <c r="B44" s="8"/>
      <c r="C44" s="8"/>
    </row>
    <row r="45" ht="15.75" customHeight="1">
      <c r="A45" s="8"/>
      <c r="B45" s="8"/>
      <c r="C45" s="8"/>
    </row>
    <row r="46" ht="15.75" customHeight="1">
      <c r="A46" s="8"/>
      <c r="B46" s="8"/>
      <c r="C46" s="8"/>
    </row>
    <row r="47" ht="15.75" customHeight="1">
      <c r="A47" s="8"/>
      <c r="B47" s="8"/>
      <c r="C47" s="8"/>
    </row>
    <row r="48" ht="15.75" customHeight="1">
      <c r="A48" s="8"/>
      <c r="B48" s="8"/>
      <c r="C48" s="8"/>
    </row>
    <row r="49" ht="15.75" customHeight="1">
      <c r="A49" s="8"/>
      <c r="B49" s="8"/>
      <c r="C49" s="8"/>
    </row>
    <row r="50" ht="15.75" customHeight="1">
      <c r="A50" s="8"/>
      <c r="B50" s="8"/>
      <c r="C50" s="8"/>
    </row>
    <row r="51" ht="15.75" customHeight="1">
      <c r="A51" s="8"/>
      <c r="B51" s="8"/>
      <c r="C51" s="8"/>
    </row>
    <row r="52" ht="15.75" customHeight="1">
      <c r="A52" s="8"/>
      <c r="B52" s="8"/>
      <c r="C52" s="8"/>
    </row>
    <row r="53" ht="15.75" customHeight="1">
      <c r="A53" s="8"/>
      <c r="B53" s="8"/>
      <c r="C53" s="8"/>
    </row>
    <row r="54" ht="15.75" customHeight="1">
      <c r="A54" s="8"/>
      <c r="B54" s="8"/>
      <c r="C54" s="8"/>
    </row>
    <row r="55" ht="15.75" customHeight="1">
      <c r="A55" s="8"/>
      <c r="B55" s="8"/>
      <c r="C55" s="8"/>
    </row>
    <row r="56" ht="15.75" customHeight="1">
      <c r="A56" s="8"/>
      <c r="B56" s="8"/>
      <c r="C56" s="8"/>
    </row>
    <row r="57" ht="15.75" customHeight="1">
      <c r="A57" s="8"/>
      <c r="B57" s="8"/>
      <c r="C57" s="8"/>
    </row>
    <row r="58" ht="15.75" customHeight="1">
      <c r="A58" s="8"/>
      <c r="B58" s="8"/>
      <c r="C58" s="8"/>
    </row>
    <row r="59" ht="15.75" customHeight="1">
      <c r="A59" s="8"/>
      <c r="B59" s="8"/>
      <c r="C59" s="8"/>
    </row>
    <row r="60" ht="15.75" customHeight="1">
      <c r="A60" s="8"/>
      <c r="B60" s="8"/>
      <c r="C60" s="8"/>
    </row>
    <row r="61" ht="15.75" customHeight="1">
      <c r="A61" s="8"/>
      <c r="B61" s="8"/>
      <c r="C61" s="8"/>
    </row>
    <row r="62" ht="15.75" customHeight="1">
      <c r="A62" s="8"/>
      <c r="B62" s="8"/>
      <c r="C62" s="8"/>
    </row>
    <row r="63" ht="15.75" customHeight="1">
      <c r="A63" s="8"/>
      <c r="B63" s="8"/>
      <c r="C63" s="8"/>
    </row>
    <row r="64" ht="15.75" customHeight="1">
      <c r="A64" s="8"/>
      <c r="B64" s="8"/>
      <c r="C64" s="8"/>
    </row>
    <row r="65" ht="15.75" customHeight="1">
      <c r="A65" s="8"/>
      <c r="B65" s="8"/>
      <c r="C65" s="8"/>
    </row>
    <row r="66" ht="15.75" customHeight="1">
      <c r="A66" s="8"/>
      <c r="B66" s="8"/>
      <c r="C66" s="8"/>
    </row>
    <row r="67" ht="15.75" customHeight="1">
      <c r="A67" s="8"/>
      <c r="B67" s="8"/>
      <c r="C67" s="8"/>
    </row>
    <row r="68" ht="15.75" customHeight="1">
      <c r="A68" s="8"/>
      <c r="B68" s="8"/>
      <c r="C68" s="8"/>
    </row>
    <row r="69" ht="15.75" customHeight="1">
      <c r="A69" s="8"/>
      <c r="B69" s="8"/>
      <c r="C69" s="8"/>
    </row>
    <row r="70" ht="15.75" customHeight="1">
      <c r="A70" s="8"/>
      <c r="B70" s="8"/>
      <c r="C70" s="8"/>
    </row>
    <row r="71" ht="15.75" customHeight="1">
      <c r="A71" s="8"/>
      <c r="B71" s="8"/>
      <c r="C71" s="8"/>
    </row>
    <row r="72" ht="15.75" customHeight="1">
      <c r="A72" s="8"/>
      <c r="B72" s="8"/>
      <c r="C72" s="8"/>
    </row>
    <row r="73" ht="15.75" customHeight="1">
      <c r="A73" s="8"/>
      <c r="B73" s="8"/>
      <c r="C73" s="8"/>
    </row>
    <row r="74" ht="15.75" customHeight="1">
      <c r="A74" s="8"/>
      <c r="B74" s="8"/>
      <c r="C74" s="8"/>
    </row>
    <row r="75" ht="15.75" customHeight="1">
      <c r="A75" s="8"/>
      <c r="B75" s="8"/>
      <c r="C75" s="8"/>
    </row>
    <row r="76" ht="15.75" customHeight="1">
      <c r="A76" s="8"/>
      <c r="B76" s="8"/>
      <c r="C76" s="8"/>
    </row>
    <row r="77" ht="15.75" customHeight="1">
      <c r="A77" s="8"/>
      <c r="B77" s="8"/>
      <c r="C77" s="8"/>
    </row>
    <row r="78" ht="15.75" customHeight="1">
      <c r="A78" s="8"/>
      <c r="B78" s="8"/>
      <c r="C78" s="8"/>
    </row>
    <row r="79" ht="15.75" customHeight="1">
      <c r="A79" s="8"/>
      <c r="B79" s="8"/>
      <c r="C79" s="8"/>
    </row>
    <row r="80" ht="15.75" customHeight="1">
      <c r="A80" s="8"/>
      <c r="B80" s="8"/>
      <c r="C80" s="8"/>
    </row>
    <row r="81" ht="15.75" customHeight="1">
      <c r="A81" s="8"/>
      <c r="B81" s="8"/>
      <c r="C81" s="8"/>
    </row>
    <row r="82" ht="15.75" customHeight="1">
      <c r="A82" s="8"/>
      <c r="B82" s="8"/>
      <c r="C82" s="8"/>
    </row>
    <row r="83" ht="15.75" customHeight="1">
      <c r="A83" s="8"/>
      <c r="B83" s="8"/>
      <c r="C83" s="8"/>
    </row>
    <row r="84" ht="15.75" customHeight="1">
      <c r="A84" s="8"/>
      <c r="B84" s="8"/>
      <c r="C84" s="8"/>
    </row>
    <row r="85" ht="15.75" customHeight="1">
      <c r="A85" s="8"/>
      <c r="B85" s="8"/>
      <c r="C85" s="8"/>
    </row>
    <row r="86" ht="15.75" customHeight="1">
      <c r="A86" s="8"/>
      <c r="B86" s="8"/>
      <c r="C86" s="8"/>
    </row>
    <row r="87" ht="15.75" customHeight="1">
      <c r="A87" s="8"/>
      <c r="B87" s="8"/>
      <c r="C87" s="8"/>
    </row>
    <row r="88" ht="15.75" customHeight="1">
      <c r="A88" s="8"/>
      <c r="B88" s="8"/>
      <c r="C88" s="8"/>
    </row>
    <row r="89" ht="15.75" customHeight="1">
      <c r="A89" s="8"/>
      <c r="B89" s="8"/>
      <c r="C89" s="8"/>
    </row>
    <row r="90" ht="15.75" customHeight="1">
      <c r="A90" s="8"/>
      <c r="B90" s="8"/>
      <c r="C90" s="8"/>
    </row>
    <row r="91" ht="15.75" customHeight="1">
      <c r="A91" s="8"/>
      <c r="B91" s="8"/>
      <c r="C91" s="8"/>
    </row>
    <row r="92" ht="15.75" customHeight="1">
      <c r="A92" s="8"/>
      <c r="B92" s="8"/>
      <c r="C92" s="8"/>
    </row>
    <row r="93" ht="15.75" customHeight="1">
      <c r="A93" s="8"/>
      <c r="B93" s="8"/>
      <c r="C93" s="8"/>
    </row>
    <row r="94" ht="15.75" customHeight="1">
      <c r="A94" s="8"/>
      <c r="B94" s="8"/>
      <c r="C94" s="8"/>
    </row>
    <row r="95" ht="15.75" customHeight="1">
      <c r="A95" s="8"/>
      <c r="B95" s="8"/>
      <c r="C95" s="8"/>
    </row>
    <row r="96" ht="15.75" customHeight="1">
      <c r="A96" s="8"/>
      <c r="B96" s="8"/>
      <c r="C96" s="8"/>
    </row>
    <row r="97" ht="15.75" customHeight="1">
      <c r="A97" s="8"/>
      <c r="B97" s="8"/>
      <c r="C97" s="8"/>
    </row>
    <row r="98" ht="15.75" customHeight="1">
      <c r="A98" s="8"/>
      <c r="B98" s="8"/>
      <c r="C98" s="8"/>
    </row>
    <row r="99" ht="15.75" customHeight="1">
      <c r="A99" s="8"/>
      <c r="B99" s="8"/>
      <c r="C99" s="8"/>
    </row>
    <row r="100" ht="15.75" customHeight="1">
      <c r="A100" s="8"/>
      <c r="B100" s="8"/>
      <c r="C100" s="8"/>
    </row>
    <row r="101" ht="15.75" customHeight="1">
      <c r="A101" s="8"/>
      <c r="B101" s="8"/>
      <c r="C101" s="8"/>
    </row>
    <row r="102" ht="15.75" customHeight="1">
      <c r="A102" s="8"/>
      <c r="B102" s="8"/>
      <c r="C102" s="8"/>
    </row>
    <row r="103" ht="15.75" customHeight="1">
      <c r="A103" s="8"/>
      <c r="B103" s="8"/>
      <c r="C103" s="8"/>
    </row>
    <row r="104" ht="15.75" customHeight="1">
      <c r="A104" s="8"/>
      <c r="B104" s="8"/>
      <c r="C104" s="8"/>
    </row>
    <row r="105" ht="15.75" customHeight="1">
      <c r="A105" s="8"/>
      <c r="B105" s="8"/>
      <c r="C105" s="8"/>
    </row>
    <row r="106" ht="15.75" customHeight="1">
      <c r="A106" s="8"/>
      <c r="B106" s="8"/>
      <c r="C106" s="8"/>
    </row>
    <row r="107" ht="15.75" customHeight="1">
      <c r="A107" s="8"/>
      <c r="B107" s="8"/>
      <c r="C107" s="8"/>
    </row>
    <row r="108" ht="15.75" customHeight="1">
      <c r="A108" s="8"/>
      <c r="B108" s="8"/>
      <c r="C108" s="8"/>
    </row>
    <row r="109" ht="15.75" customHeight="1">
      <c r="A109" s="8"/>
      <c r="B109" s="8"/>
      <c r="C109" s="8"/>
    </row>
    <row r="110" ht="15.75" customHeight="1">
      <c r="A110" s="8"/>
      <c r="B110" s="8"/>
      <c r="C110" s="8"/>
    </row>
    <row r="111" ht="15.75" customHeight="1">
      <c r="A111" s="8"/>
      <c r="B111" s="8"/>
      <c r="C111" s="8"/>
    </row>
    <row r="112" ht="15.75" customHeight="1">
      <c r="A112" s="8"/>
      <c r="B112" s="8"/>
      <c r="C112" s="8"/>
    </row>
    <row r="113" ht="15.75" customHeight="1">
      <c r="A113" s="8"/>
      <c r="B113" s="8"/>
      <c r="C113" s="8"/>
    </row>
    <row r="114" ht="15.75" customHeight="1">
      <c r="A114" s="8"/>
      <c r="B114" s="8"/>
      <c r="C114" s="8"/>
    </row>
    <row r="115" ht="15.75" customHeight="1">
      <c r="A115" s="8"/>
      <c r="B115" s="8"/>
      <c r="C115" s="8"/>
    </row>
    <row r="116" ht="15.75" customHeight="1">
      <c r="A116" s="8"/>
      <c r="B116" s="8"/>
      <c r="C116" s="8"/>
    </row>
    <row r="117" ht="15.75" customHeight="1">
      <c r="A117" s="8"/>
      <c r="B117" s="8"/>
      <c r="C117" s="8"/>
    </row>
    <row r="118" ht="15.75" customHeight="1">
      <c r="A118" s="8"/>
      <c r="B118" s="8"/>
      <c r="C118" s="8"/>
    </row>
    <row r="119" ht="15.75" customHeight="1">
      <c r="A119" s="8"/>
      <c r="B119" s="8"/>
      <c r="C119" s="8"/>
    </row>
    <row r="120" ht="15.75" customHeight="1">
      <c r="A120" s="8"/>
      <c r="B120" s="8"/>
      <c r="C120" s="8"/>
    </row>
    <row r="121" ht="15.75" customHeight="1">
      <c r="A121" s="8"/>
      <c r="B121" s="8"/>
      <c r="C121" s="8"/>
    </row>
    <row r="122" ht="15.75" customHeight="1">
      <c r="A122" s="8"/>
      <c r="B122" s="8"/>
      <c r="C122" s="8"/>
    </row>
    <row r="123" ht="15.75" customHeight="1">
      <c r="A123" s="8"/>
      <c r="B123" s="8"/>
      <c r="C123" s="8"/>
    </row>
    <row r="124" ht="15.75" customHeight="1">
      <c r="A124" s="8"/>
      <c r="B124" s="8"/>
      <c r="C124" s="8"/>
    </row>
    <row r="125" ht="15.75" customHeight="1">
      <c r="A125" s="8"/>
      <c r="B125" s="8"/>
      <c r="C125" s="8"/>
    </row>
    <row r="126" ht="15.75" customHeight="1">
      <c r="A126" s="8"/>
      <c r="B126" s="8"/>
      <c r="C126" s="8"/>
    </row>
    <row r="127" ht="15.75" customHeight="1">
      <c r="A127" s="8"/>
      <c r="B127" s="8"/>
      <c r="C127" s="8"/>
    </row>
    <row r="128" ht="15.75" customHeight="1">
      <c r="A128" s="8"/>
      <c r="B128" s="8"/>
      <c r="C128" s="8"/>
    </row>
    <row r="129" ht="15.75" customHeight="1">
      <c r="A129" s="8"/>
      <c r="B129" s="8"/>
      <c r="C129" s="8"/>
    </row>
    <row r="130" ht="15.75" customHeight="1">
      <c r="A130" s="8"/>
      <c r="B130" s="8"/>
      <c r="C130" s="8"/>
    </row>
    <row r="131" ht="15.75" customHeight="1">
      <c r="A131" s="8"/>
      <c r="B131" s="8"/>
      <c r="C131" s="8"/>
    </row>
    <row r="132" ht="15.75" customHeight="1">
      <c r="A132" s="8"/>
      <c r="B132" s="8"/>
      <c r="C132" s="8"/>
    </row>
    <row r="133" ht="15.75" customHeight="1">
      <c r="A133" s="8"/>
      <c r="B133" s="8"/>
      <c r="C133" s="8"/>
    </row>
    <row r="134" ht="15.75" customHeight="1">
      <c r="A134" s="8"/>
      <c r="B134" s="8"/>
      <c r="C134" s="8"/>
    </row>
    <row r="135" ht="15.75" customHeight="1">
      <c r="A135" s="8"/>
      <c r="B135" s="8"/>
      <c r="C135" s="8"/>
    </row>
    <row r="136" ht="15.75" customHeight="1">
      <c r="A136" s="8"/>
      <c r="B136" s="8"/>
      <c r="C136" s="8"/>
    </row>
    <row r="137" ht="15.75" customHeight="1">
      <c r="A137" s="8"/>
      <c r="B137" s="8"/>
      <c r="C137" s="8"/>
    </row>
    <row r="138" ht="15.75" customHeight="1">
      <c r="A138" s="8"/>
      <c r="B138" s="8"/>
      <c r="C138" s="8"/>
    </row>
    <row r="139" ht="15.75" customHeight="1">
      <c r="A139" s="8"/>
      <c r="B139" s="8"/>
      <c r="C139" s="8"/>
    </row>
    <row r="140" ht="15.75" customHeight="1">
      <c r="A140" s="8"/>
      <c r="B140" s="8"/>
      <c r="C140" s="8"/>
    </row>
    <row r="141" ht="15.75" customHeight="1">
      <c r="A141" s="8"/>
      <c r="B141" s="8"/>
      <c r="C141" s="8"/>
    </row>
    <row r="142" ht="15.75" customHeight="1">
      <c r="A142" s="8"/>
      <c r="B142" s="8"/>
      <c r="C142" s="8"/>
    </row>
    <row r="143" ht="15.75" customHeight="1">
      <c r="A143" s="8"/>
      <c r="B143" s="8"/>
      <c r="C143" s="8"/>
    </row>
    <row r="144" ht="15.75" customHeight="1">
      <c r="A144" s="8"/>
      <c r="B144" s="8"/>
      <c r="C144" s="8"/>
    </row>
    <row r="145" ht="15.75" customHeight="1">
      <c r="A145" s="8"/>
      <c r="B145" s="8"/>
      <c r="C145" s="8"/>
    </row>
    <row r="146" ht="15.75" customHeight="1">
      <c r="A146" s="8"/>
      <c r="B146" s="8"/>
      <c r="C146" s="8"/>
    </row>
    <row r="147" ht="15.75" customHeight="1">
      <c r="A147" s="8"/>
      <c r="B147" s="8"/>
      <c r="C147" s="8"/>
    </row>
    <row r="148" ht="15.75" customHeight="1">
      <c r="A148" s="8"/>
      <c r="B148" s="8"/>
      <c r="C148" s="8"/>
    </row>
    <row r="149" ht="15.75" customHeight="1">
      <c r="A149" s="8"/>
      <c r="B149" s="8"/>
      <c r="C149" s="8"/>
    </row>
    <row r="150" ht="15.75" customHeight="1">
      <c r="A150" s="8"/>
      <c r="B150" s="8"/>
      <c r="C150" s="8"/>
    </row>
    <row r="151" ht="15.75" customHeight="1">
      <c r="A151" s="8"/>
      <c r="B151" s="8"/>
      <c r="C151" s="8"/>
    </row>
    <row r="152" ht="15.75" customHeight="1">
      <c r="A152" s="8"/>
      <c r="B152" s="8"/>
      <c r="C152" s="8"/>
    </row>
    <row r="153" ht="15.75" customHeight="1">
      <c r="A153" s="8"/>
      <c r="B153" s="8"/>
      <c r="C153" s="8"/>
    </row>
    <row r="154" ht="15.75" customHeight="1">
      <c r="A154" s="8"/>
      <c r="B154" s="8"/>
      <c r="C154" s="8"/>
    </row>
    <row r="155" ht="15.75" customHeight="1">
      <c r="A155" s="8"/>
      <c r="B155" s="8"/>
      <c r="C155" s="8"/>
    </row>
    <row r="156" ht="15.75" customHeight="1">
      <c r="A156" s="8"/>
      <c r="B156" s="8"/>
      <c r="C156" s="8"/>
    </row>
    <row r="157" ht="15.75" customHeight="1">
      <c r="A157" s="8"/>
      <c r="B157" s="8"/>
      <c r="C157" s="8"/>
    </row>
    <row r="158" ht="15.75" customHeight="1">
      <c r="A158" s="8"/>
      <c r="B158" s="8"/>
      <c r="C158" s="8"/>
    </row>
    <row r="159" ht="15.75" customHeight="1">
      <c r="A159" s="8"/>
      <c r="B159" s="8"/>
      <c r="C159" s="8"/>
    </row>
    <row r="160" ht="15.75" customHeight="1">
      <c r="A160" s="8"/>
      <c r="B160" s="8"/>
      <c r="C160" s="8"/>
    </row>
    <row r="161" ht="15.75" customHeight="1">
      <c r="A161" s="8"/>
      <c r="B161" s="8"/>
      <c r="C161" s="8"/>
    </row>
    <row r="162" ht="15.75" customHeight="1">
      <c r="A162" s="8"/>
      <c r="B162" s="8"/>
      <c r="C162" s="8"/>
    </row>
    <row r="163" ht="15.75" customHeight="1">
      <c r="A163" s="8"/>
      <c r="B163" s="8"/>
      <c r="C163" s="8"/>
    </row>
    <row r="164" ht="15.75" customHeight="1">
      <c r="A164" s="8"/>
      <c r="B164" s="8"/>
      <c r="C164" s="8"/>
    </row>
    <row r="165" ht="15.75" customHeight="1">
      <c r="A165" s="8"/>
      <c r="B165" s="8"/>
      <c r="C165" s="8"/>
    </row>
    <row r="166" ht="15.75" customHeight="1">
      <c r="A166" s="8"/>
      <c r="B166" s="8"/>
      <c r="C166" s="8"/>
    </row>
    <row r="167" ht="15.75" customHeight="1">
      <c r="A167" s="8"/>
      <c r="B167" s="8"/>
      <c r="C167" s="8"/>
    </row>
    <row r="168" ht="15.75" customHeight="1">
      <c r="A168" s="8"/>
      <c r="B168" s="8"/>
      <c r="C168" s="8"/>
    </row>
    <row r="169" ht="15.75" customHeight="1">
      <c r="A169" s="8"/>
      <c r="B169" s="8"/>
      <c r="C169" s="8"/>
    </row>
    <row r="170" ht="15.75" customHeight="1">
      <c r="A170" s="8"/>
      <c r="B170" s="8"/>
      <c r="C170" s="8"/>
    </row>
    <row r="171" ht="15.75" customHeight="1">
      <c r="A171" s="8"/>
      <c r="B171" s="8"/>
      <c r="C171" s="8"/>
    </row>
    <row r="172" ht="15.75" customHeight="1">
      <c r="A172" s="8"/>
      <c r="B172" s="8"/>
      <c r="C172" s="8"/>
    </row>
    <row r="173" ht="15.75" customHeight="1">
      <c r="A173" s="8"/>
      <c r="B173" s="8"/>
      <c r="C173" s="8"/>
    </row>
    <row r="174" ht="15.75" customHeight="1">
      <c r="A174" s="8"/>
      <c r="B174" s="8"/>
      <c r="C174" s="8"/>
    </row>
    <row r="175" ht="15.75" customHeight="1">
      <c r="A175" s="8"/>
      <c r="B175" s="8"/>
      <c r="C175" s="8"/>
    </row>
    <row r="176" ht="15.75" customHeight="1">
      <c r="A176" s="8"/>
      <c r="B176" s="8"/>
      <c r="C176" s="8"/>
    </row>
    <row r="177" ht="15.75" customHeight="1">
      <c r="A177" s="8"/>
      <c r="B177" s="8"/>
      <c r="C177" s="8"/>
    </row>
    <row r="178" ht="15.75" customHeight="1">
      <c r="A178" s="8"/>
      <c r="B178" s="8"/>
      <c r="C178" s="8"/>
    </row>
    <row r="179" ht="15.75" customHeight="1">
      <c r="A179" s="8"/>
      <c r="B179" s="8"/>
      <c r="C179" s="8"/>
    </row>
    <row r="180" ht="15.75" customHeight="1">
      <c r="A180" s="8"/>
      <c r="B180" s="8"/>
      <c r="C180" s="8"/>
    </row>
    <row r="181" ht="15.75" customHeight="1">
      <c r="A181" s="8"/>
      <c r="B181" s="8"/>
      <c r="C181" s="8"/>
    </row>
    <row r="182" ht="15.75" customHeight="1">
      <c r="A182" s="8"/>
      <c r="B182" s="8"/>
      <c r="C182" s="8"/>
    </row>
    <row r="183" ht="15.75" customHeight="1">
      <c r="A183" s="8"/>
      <c r="B183" s="8"/>
      <c r="C183" s="8"/>
    </row>
    <row r="184" ht="15.75" customHeight="1">
      <c r="A184" s="8"/>
      <c r="B184" s="8"/>
      <c r="C184" s="8"/>
    </row>
    <row r="185" ht="15.75" customHeight="1">
      <c r="A185" s="8"/>
      <c r="B185" s="8"/>
      <c r="C185" s="8"/>
    </row>
    <row r="186" ht="15.75" customHeight="1">
      <c r="A186" s="8"/>
      <c r="B186" s="8"/>
      <c r="C186" s="8"/>
    </row>
    <row r="187" ht="15.75" customHeight="1">
      <c r="A187" s="8"/>
      <c r="B187" s="8"/>
      <c r="C187" s="8"/>
    </row>
    <row r="188" ht="15.75" customHeight="1">
      <c r="A188" s="8"/>
      <c r="B188" s="8"/>
      <c r="C188" s="8"/>
    </row>
    <row r="189" ht="15.75" customHeight="1">
      <c r="A189" s="8"/>
      <c r="B189" s="8"/>
      <c r="C189" s="8"/>
    </row>
    <row r="190" ht="15.75" customHeight="1">
      <c r="A190" s="8"/>
      <c r="B190" s="8"/>
      <c r="C190" s="8"/>
    </row>
    <row r="191" ht="15.75" customHeight="1">
      <c r="A191" s="8"/>
      <c r="B191" s="8"/>
      <c r="C191" s="8"/>
    </row>
    <row r="192" ht="15.75" customHeight="1">
      <c r="A192" s="8"/>
      <c r="B192" s="8"/>
      <c r="C192" s="8"/>
    </row>
    <row r="193" ht="15.75" customHeight="1">
      <c r="A193" s="8"/>
      <c r="B193" s="8"/>
      <c r="C193" s="8"/>
    </row>
    <row r="194" ht="15.75" customHeight="1">
      <c r="A194" s="8"/>
      <c r="B194" s="8"/>
      <c r="C194" s="8"/>
    </row>
    <row r="195" ht="15.75" customHeight="1">
      <c r="A195" s="8"/>
      <c r="B195" s="8"/>
      <c r="C195" s="8"/>
    </row>
    <row r="196" ht="15.75" customHeight="1">
      <c r="A196" s="8"/>
      <c r="B196" s="8"/>
      <c r="C196" s="8"/>
    </row>
    <row r="197" ht="15.75" customHeight="1">
      <c r="A197" s="8"/>
      <c r="B197" s="8"/>
      <c r="C197" s="8"/>
    </row>
    <row r="198" ht="15.75" customHeight="1">
      <c r="A198" s="8"/>
      <c r="B198" s="8"/>
      <c r="C198" s="8"/>
    </row>
    <row r="199" ht="15.75" customHeight="1">
      <c r="A199" s="8"/>
      <c r="B199" s="8"/>
      <c r="C199" s="8"/>
    </row>
    <row r="200" ht="15.75" customHeight="1">
      <c r="A200" s="8"/>
      <c r="B200" s="8"/>
      <c r="C200" s="8"/>
    </row>
    <row r="201" ht="15.75" customHeight="1">
      <c r="A201" s="8"/>
      <c r="B201" s="8"/>
      <c r="C201" s="8"/>
    </row>
    <row r="202" ht="15.75" customHeight="1">
      <c r="A202" s="8"/>
      <c r="B202" s="8"/>
      <c r="C202" s="8"/>
    </row>
    <row r="203" ht="15.75" customHeight="1">
      <c r="A203" s="8"/>
      <c r="B203" s="8"/>
      <c r="C203" s="8"/>
    </row>
    <row r="204" ht="15.75" customHeight="1">
      <c r="A204" s="8"/>
      <c r="B204" s="8"/>
      <c r="C204" s="8"/>
    </row>
    <row r="205" ht="15.75" customHeight="1">
      <c r="A205" s="8"/>
      <c r="B205" s="8"/>
      <c r="C205" s="8"/>
    </row>
    <row r="206" ht="15.75" customHeight="1">
      <c r="A206" s="8"/>
      <c r="B206" s="8"/>
      <c r="C206" s="8"/>
    </row>
    <row r="207" ht="15.75" customHeight="1">
      <c r="A207" s="8"/>
      <c r="B207" s="8"/>
      <c r="C207" s="8"/>
    </row>
    <row r="208" ht="15.75" customHeight="1">
      <c r="A208" s="8"/>
      <c r="B208" s="8"/>
      <c r="C208" s="8"/>
    </row>
    <row r="209" ht="15.75" customHeight="1">
      <c r="A209" s="8"/>
      <c r="B209" s="8"/>
      <c r="C209" s="8"/>
    </row>
    <row r="210" ht="15.75" customHeight="1">
      <c r="A210" s="8"/>
      <c r="B210" s="8"/>
      <c r="C210" s="8"/>
    </row>
    <row r="211" ht="15.75" customHeight="1">
      <c r="A211" s="8"/>
      <c r="B211" s="8"/>
      <c r="C211" s="8"/>
    </row>
    <row r="212" ht="15.75" customHeight="1">
      <c r="A212" s="8"/>
      <c r="B212" s="8"/>
      <c r="C212" s="8"/>
    </row>
    <row r="213" ht="15.75" customHeight="1">
      <c r="A213" s="8"/>
      <c r="B213" s="8"/>
      <c r="C213" s="8"/>
    </row>
    <row r="214" ht="15.75" customHeight="1">
      <c r="A214" s="8"/>
      <c r="B214" s="8"/>
      <c r="C214" s="8"/>
    </row>
    <row r="215" ht="15.75" customHeight="1">
      <c r="A215" s="8"/>
      <c r="B215" s="8"/>
      <c r="C215" s="8"/>
    </row>
    <row r="216" ht="15.75" customHeight="1">
      <c r="A216" s="8"/>
      <c r="B216" s="8"/>
      <c r="C216" s="8"/>
    </row>
    <row r="217" ht="15.75" customHeight="1">
      <c r="A217" s="8"/>
      <c r="B217" s="8"/>
      <c r="C217" s="8"/>
    </row>
    <row r="218" ht="15.75" customHeight="1">
      <c r="A218" s="8"/>
      <c r="B218" s="8"/>
      <c r="C218" s="8"/>
    </row>
    <row r="219" ht="15.75" customHeight="1">
      <c r="A219" s="8"/>
      <c r="B219" s="8"/>
      <c r="C219" s="8"/>
    </row>
    <row r="220" ht="15.75" customHeight="1">
      <c r="A220" s="8"/>
      <c r="B220" s="8"/>
      <c r="C220" s="8"/>
    </row>
    <row r="221" ht="15.75" customHeight="1">
      <c r="A221" s="8"/>
      <c r="B221" s="8"/>
      <c r="C221" s="8"/>
    </row>
    <row r="222" ht="15.75" customHeight="1">
      <c r="A222" s="8"/>
      <c r="B222" s="8"/>
      <c r="C222" s="8"/>
    </row>
    <row r="223" ht="15.75" customHeight="1">
      <c r="A223" s="8"/>
      <c r="B223" s="8"/>
      <c r="C223" s="8"/>
    </row>
    <row r="224" ht="15.75" customHeight="1">
      <c r="A224" s="8"/>
      <c r="B224" s="8"/>
      <c r="C224" s="8"/>
    </row>
    <row r="225" ht="15.75" customHeight="1">
      <c r="A225" s="8"/>
      <c r="B225" s="8"/>
      <c r="C225" s="8"/>
    </row>
    <row r="226" ht="15.75" customHeight="1">
      <c r="A226" s="8"/>
      <c r="B226" s="8"/>
      <c r="C226" s="8"/>
    </row>
    <row r="227" ht="15.75" customHeight="1">
      <c r="A227" s="8"/>
      <c r="B227" s="8"/>
      <c r="C227" s="8"/>
    </row>
    <row r="228" ht="15.75" customHeight="1">
      <c r="A228" s="8"/>
      <c r="B228" s="8"/>
      <c r="C228" s="8"/>
    </row>
    <row r="229" ht="15.75" customHeight="1">
      <c r="A229" s="8"/>
      <c r="B229" s="8"/>
      <c r="C229" s="8"/>
    </row>
    <row r="230" ht="15.75" customHeight="1">
      <c r="A230" s="8"/>
      <c r="B230" s="8"/>
      <c r="C230" s="8"/>
    </row>
    <row r="231" ht="15.75" customHeight="1">
      <c r="A231" s="8"/>
      <c r="B231" s="8"/>
      <c r="C231" s="8"/>
    </row>
    <row r="232" ht="15.75" customHeight="1">
      <c r="A232" s="8"/>
      <c r="B232" s="8"/>
      <c r="C232" s="8"/>
    </row>
    <row r="233" ht="15.75" customHeight="1">
      <c r="A233" s="8"/>
      <c r="B233" s="8"/>
      <c r="C233" s="8"/>
    </row>
    <row r="234" ht="15.75" customHeight="1">
      <c r="A234" s="8"/>
      <c r="B234" s="8"/>
      <c r="C234" s="8"/>
    </row>
    <row r="235" ht="15.75" customHeight="1">
      <c r="A235" s="8"/>
      <c r="B235" s="8"/>
      <c r="C235" s="8"/>
    </row>
    <row r="236" ht="15.75" customHeight="1">
      <c r="A236" s="8"/>
      <c r="B236" s="8"/>
      <c r="C236" s="8"/>
    </row>
    <row r="237" ht="15.75" customHeight="1">
      <c r="A237" s="8"/>
      <c r="B237" s="8"/>
      <c r="C237" s="8"/>
    </row>
    <row r="238" ht="15.75" customHeight="1">
      <c r="A238" s="8"/>
      <c r="B238" s="8"/>
      <c r="C238" s="8"/>
    </row>
    <row r="239" ht="15.75" customHeight="1">
      <c r="A239" s="8"/>
      <c r="B239" s="8"/>
      <c r="C239" s="8"/>
    </row>
    <row r="240" ht="15.75" customHeight="1">
      <c r="A240" s="8"/>
      <c r="B240" s="8"/>
      <c r="C240" s="8"/>
    </row>
    <row r="241" ht="15.75" customHeight="1">
      <c r="A241" s="8"/>
      <c r="B241" s="8"/>
      <c r="C241" s="8"/>
    </row>
    <row r="242" ht="15.75" customHeight="1">
      <c r="A242" s="8"/>
      <c r="B242" s="8"/>
      <c r="C242" s="8"/>
    </row>
    <row r="243" ht="15.75" customHeight="1">
      <c r="A243" s="8"/>
      <c r="B243" s="8"/>
      <c r="C243" s="8"/>
    </row>
    <row r="244" ht="15.75" customHeight="1">
      <c r="A244" s="8"/>
      <c r="B244" s="8"/>
      <c r="C244" s="8"/>
    </row>
    <row r="245" ht="15.75" customHeight="1">
      <c r="A245" s="8"/>
      <c r="B245" s="8"/>
      <c r="C245" s="8"/>
    </row>
    <row r="246" ht="15.75" customHeight="1">
      <c r="A246" s="8"/>
      <c r="B246" s="8"/>
      <c r="C246" s="8"/>
    </row>
    <row r="247" ht="15.75" customHeight="1">
      <c r="A247" s="8"/>
      <c r="B247" s="8"/>
      <c r="C247" s="8"/>
    </row>
    <row r="248" ht="15.75" customHeight="1">
      <c r="A248" s="8"/>
      <c r="B248" s="8"/>
      <c r="C248" s="8"/>
    </row>
    <row r="249" ht="15.75" customHeight="1">
      <c r="A249" s="8"/>
      <c r="B249" s="8"/>
      <c r="C249" s="8"/>
    </row>
    <row r="250" ht="15.75" customHeight="1">
      <c r="A250" s="8"/>
      <c r="B250" s="8"/>
      <c r="C250" s="8"/>
    </row>
    <row r="251" ht="15.75" customHeight="1">
      <c r="A251" s="8"/>
      <c r="B251" s="8"/>
      <c r="C251" s="8"/>
    </row>
    <row r="252" ht="15.75" customHeight="1">
      <c r="A252" s="8"/>
      <c r="B252" s="8"/>
      <c r="C252" s="8"/>
    </row>
    <row r="253" ht="15.75" customHeight="1">
      <c r="A253" s="8"/>
      <c r="B253" s="8"/>
      <c r="C253" s="8"/>
    </row>
    <row r="254" ht="15.75" customHeight="1">
      <c r="A254" s="8"/>
      <c r="B254" s="8"/>
      <c r="C254" s="8"/>
    </row>
    <row r="255" ht="15.75" customHeight="1">
      <c r="A255" s="8"/>
      <c r="B255" s="8"/>
      <c r="C255" s="8"/>
    </row>
    <row r="256" ht="15.75" customHeight="1">
      <c r="A256" s="8"/>
      <c r="B256" s="8"/>
      <c r="C256" s="8"/>
    </row>
    <row r="257" ht="15.75" customHeight="1">
      <c r="A257" s="8"/>
      <c r="B257" s="8"/>
      <c r="C257" s="8"/>
    </row>
    <row r="258" ht="15.75" customHeight="1">
      <c r="A258" s="8"/>
      <c r="B258" s="8"/>
      <c r="C258" s="8"/>
    </row>
    <row r="259" ht="15.75" customHeight="1">
      <c r="A259" s="8"/>
      <c r="B259" s="8"/>
      <c r="C259" s="8"/>
    </row>
    <row r="260" ht="15.75" customHeight="1">
      <c r="A260" s="8"/>
      <c r="B260" s="8"/>
      <c r="C260" s="8"/>
    </row>
    <row r="261" ht="15.75" customHeight="1">
      <c r="A261" s="8"/>
      <c r="B261" s="8"/>
      <c r="C261" s="8"/>
    </row>
    <row r="262" ht="15.75" customHeight="1">
      <c r="A262" s="8"/>
      <c r="B262" s="8"/>
      <c r="C262" s="8"/>
    </row>
    <row r="263" ht="15.75" customHeight="1">
      <c r="A263" s="8"/>
      <c r="B263" s="8"/>
      <c r="C263" s="8"/>
    </row>
    <row r="264" ht="15.75" customHeight="1">
      <c r="A264" s="8"/>
      <c r="B264" s="8"/>
      <c r="C264" s="8"/>
    </row>
    <row r="265" ht="15.75" customHeight="1">
      <c r="A265" s="8"/>
      <c r="B265" s="8"/>
      <c r="C265" s="8"/>
    </row>
    <row r="266" ht="15.75" customHeight="1">
      <c r="A266" s="8"/>
      <c r="B266" s="8"/>
      <c r="C266" s="8"/>
    </row>
    <row r="267" ht="15.75" customHeight="1">
      <c r="A267" s="8"/>
      <c r="B267" s="8"/>
      <c r="C267" s="8"/>
    </row>
    <row r="268" ht="15.75" customHeight="1">
      <c r="A268" s="8"/>
      <c r="B268" s="8"/>
      <c r="C268" s="8"/>
    </row>
    <row r="269" ht="15.75" customHeight="1">
      <c r="A269" s="8"/>
      <c r="B269" s="8"/>
      <c r="C269" s="8"/>
    </row>
    <row r="270" ht="15.75" customHeight="1">
      <c r="A270" s="8"/>
      <c r="B270" s="8"/>
      <c r="C270" s="8"/>
    </row>
    <row r="271" ht="15.75" customHeight="1">
      <c r="A271" s="8"/>
      <c r="B271" s="8"/>
      <c r="C271" s="8"/>
    </row>
    <row r="272" ht="15.75" customHeight="1">
      <c r="A272" s="8"/>
      <c r="B272" s="8"/>
      <c r="C272" s="8"/>
    </row>
    <row r="273" ht="15.75" customHeight="1">
      <c r="A273" s="8"/>
      <c r="B273" s="8"/>
      <c r="C273" s="8"/>
    </row>
    <row r="274" ht="15.75" customHeight="1">
      <c r="A274" s="8"/>
      <c r="B274" s="8"/>
      <c r="C274" s="8"/>
    </row>
    <row r="275" ht="15.75" customHeight="1">
      <c r="A275" s="8"/>
      <c r="B275" s="8"/>
      <c r="C275" s="8"/>
    </row>
    <row r="276" ht="15.75" customHeight="1">
      <c r="A276" s="8"/>
      <c r="B276" s="8"/>
      <c r="C276" s="8"/>
    </row>
    <row r="277" ht="15.75" customHeight="1">
      <c r="A277" s="8"/>
      <c r="B277" s="8"/>
      <c r="C277" s="8"/>
    </row>
    <row r="278" ht="15.75" customHeight="1">
      <c r="A278" s="8"/>
      <c r="B278" s="8"/>
      <c r="C278" s="8"/>
    </row>
    <row r="279" ht="15.75" customHeight="1">
      <c r="A279" s="8"/>
      <c r="B279" s="8"/>
      <c r="C279" s="8"/>
    </row>
    <row r="280" ht="15.75" customHeight="1">
      <c r="A280" s="8"/>
      <c r="B280" s="8"/>
      <c r="C280" s="8"/>
    </row>
    <row r="281" ht="15.75" customHeight="1">
      <c r="A281" s="8"/>
      <c r="B281" s="8"/>
      <c r="C281" s="8"/>
    </row>
    <row r="282" ht="15.75" customHeight="1">
      <c r="A282" s="8"/>
      <c r="B282" s="8"/>
      <c r="C282" s="8"/>
    </row>
    <row r="283" ht="15.75" customHeight="1">
      <c r="A283" s="8"/>
      <c r="B283" s="8"/>
      <c r="C283" s="8"/>
    </row>
    <row r="284" ht="15.75" customHeight="1">
      <c r="A284" s="8"/>
      <c r="B284" s="8"/>
      <c r="C284" s="8"/>
    </row>
    <row r="285" ht="15.75" customHeight="1">
      <c r="A285" s="8"/>
      <c r="B285" s="8"/>
      <c r="C285" s="8"/>
    </row>
    <row r="286" ht="15.75" customHeight="1">
      <c r="A286" s="8"/>
      <c r="B286" s="8"/>
      <c r="C286" s="8"/>
    </row>
    <row r="287" ht="15.75" customHeight="1">
      <c r="A287" s="8"/>
      <c r="B287" s="8"/>
      <c r="C287" s="8"/>
    </row>
    <row r="288" ht="15.75" customHeight="1">
      <c r="A288" s="8"/>
      <c r="B288" s="8"/>
      <c r="C288" s="8"/>
    </row>
    <row r="289" ht="15.75" customHeight="1">
      <c r="A289" s="8"/>
      <c r="B289" s="8"/>
      <c r="C289" s="8"/>
    </row>
    <row r="290" ht="15.75" customHeight="1">
      <c r="A290" s="8"/>
      <c r="B290" s="8"/>
      <c r="C290" s="8"/>
    </row>
    <row r="291" ht="15.75" customHeight="1">
      <c r="A291" s="8"/>
      <c r="B291" s="8"/>
      <c r="C291" s="8"/>
    </row>
    <row r="292" ht="15.75" customHeight="1">
      <c r="A292" s="8"/>
      <c r="B292" s="8"/>
      <c r="C292" s="8"/>
    </row>
    <row r="293" ht="15.75" customHeight="1">
      <c r="A293" s="8"/>
      <c r="B293" s="8"/>
      <c r="C293" s="8"/>
    </row>
    <row r="294" ht="15.75" customHeight="1">
      <c r="A294" s="8"/>
      <c r="B294" s="8"/>
      <c r="C294" s="8"/>
    </row>
    <row r="295" ht="15.75" customHeight="1">
      <c r="A295" s="8"/>
      <c r="B295" s="8"/>
      <c r="C295" s="8"/>
    </row>
    <row r="296" ht="15.75" customHeight="1">
      <c r="A296" s="8"/>
      <c r="B296" s="8"/>
      <c r="C296" s="8"/>
    </row>
    <row r="297" ht="15.75" customHeight="1">
      <c r="A297" s="8"/>
      <c r="B297" s="8"/>
      <c r="C297" s="8"/>
    </row>
    <row r="298" ht="15.75" customHeight="1">
      <c r="A298" s="8"/>
      <c r="B298" s="8"/>
      <c r="C298" s="8"/>
    </row>
    <row r="299" ht="15.75" customHeight="1">
      <c r="A299" s="8"/>
      <c r="B299" s="8"/>
      <c r="C299" s="8"/>
    </row>
    <row r="300" ht="15.75" customHeight="1">
      <c r="A300" s="8"/>
      <c r="B300" s="8"/>
      <c r="C300" s="8"/>
    </row>
    <row r="301" ht="15.75" customHeight="1">
      <c r="A301" s="8"/>
      <c r="B301" s="8"/>
      <c r="C301" s="8"/>
    </row>
    <row r="302" ht="15.75" customHeight="1">
      <c r="A302" s="8"/>
      <c r="B302" s="8"/>
      <c r="C302" s="8"/>
    </row>
    <row r="303" ht="15.75" customHeight="1">
      <c r="A303" s="8"/>
      <c r="B303" s="8"/>
      <c r="C303" s="8"/>
    </row>
    <row r="304" ht="15.75" customHeight="1">
      <c r="A304" s="8"/>
      <c r="B304" s="8"/>
      <c r="C304" s="8"/>
    </row>
    <row r="305" ht="15.75" customHeight="1">
      <c r="A305" s="8"/>
      <c r="B305" s="8"/>
      <c r="C305" s="8"/>
    </row>
    <row r="306" ht="15.75" customHeight="1">
      <c r="A306" s="8"/>
      <c r="B306" s="8"/>
      <c r="C306" s="8"/>
    </row>
    <row r="307" ht="15.75" customHeight="1">
      <c r="A307" s="8"/>
      <c r="B307" s="8"/>
      <c r="C307" s="8"/>
    </row>
    <row r="308" ht="15.75" customHeight="1">
      <c r="A308" s="8"/>
      <c r="B308" s="8"/>
      <c r="C308" s="8"/>
    </row>
    <row r="309" ht="15.75" customHeight="1">
      <c r="A309" s="8"/>
      <c r="B309" s="8"/>
      <c r="C309" s="8"/>
    </row>
    <row r="310" ht="15.75" customHeight="1">
      <c r="A310" s="8"/>
      <c r="B310" s="8"/>
      <c r="C310" s="8"/>
    </row>
    <row r="311" ht="15.75" customHeight="1">
      <c r="A311" s="8"/>
      <c r="B311" s="8"/>
      <c r="C311" s="8"/>
    </row>
    <row r="312" ht="15.75" customHeight="1">
      <c r="A312" s="8"/>
      <c r="B312" s="8"/>
      <c r="C312" s="8"/>
    </row>
    <row r="313" ht="15.75" customHeight="1">
      <c r="A313" s="8"/>
      <c r="B313" s="8"/>
      <c r="C313" s="8"/>
    </row>
    <row r="314" ht="15.75" customHeight="1">
      <c r="A314" s="8"/>
      <c r="B314" s="8"/>
      <c r="C314" s="8"/>
    </row>
    <row r="315" ht="15.75" customHeight="1">
      <c r="A315" s="8"/>
      <c r="B315" s="8"/>
      <c r="C315" s="8"/>
    </row>
    <row r="316" ht="15.75" customHeight="1">
      <c r="A316" s="8"/>
      <c r="B316" s="8"/>
      <c r="C316" s="8"/>
    </row>
    <row r="317" ht="15.75" customHeight="1">
      <c r="A317" s="8"/>
      <c r="B317" s="8"/>
      <c r="C317" s="8"/>
    </row>
    <row r="318" ht="15.75" customHeight="1">
      <c r="A318" s="8"/>
      <c r="B318" s="8"/>
      <c r="C318" s="8"/>
    </row>
    <row r="319" ht="15.75" customHeight="1">
      <c r="A319" s="8"/>
      <c r="B319" s="8"/>
      <c r="C319" s="8"/>
    </row>
    <row r="320" ht="15.75" customHeight="1">
      <c r="A320" s="8"/>
      <c r="B320" s="8"/>
      <c r="C320" s="8"/>
    </row>
    <row r="321" ht="15.75" customHeight="1">
      <c r="A321" s="8"/>
      <c r="B321" s="8"/>
      <c r="C321" s="8"/>
    </row>
    <row r="322" ht="15.75" customHeight="1">
      <c r="A322" s="8"/>
      <c r="B322" s="8"/>
      <c r="C322" s="8"/>
    </row>
    <row r="323" ht="15.75" customHeight="1">
      <c r="A323" s="8"/>
      <c r="B323" s="8"/>
      <c r="C323" s="8"/>
    </row>
    <row r="324" ht="15.75" customHeight="1">
      <c r="A324" s="8"/>
      <c r="B324" s="8"/>
      <c r="C324" s="8"/>
    </row>
    <row r="325" ht="15.75" customHeight="1">
      <c r="A325" s="8"/>
      <c r="B325" s="8"/>
      <c r="C325" s="8"/>
    </row>
    <row r="326" ht="15.75" customHeight="1">
      <c r="A326" s="8"/>
      <c r="B326" s="8"/>
      <c r="C326" s="8"/>
    </row>
    <row r="327" ht="15.75" customHeight="1">
      <c r="A327" s="8"/>
      <c r="B327" s="8"/>
      <c r="C327" s="8"/>
    </row>
    <row r="328" ht="15.75" customHeight="1">
      <c r="A328" s="8"/>
      <c r="B328" s="8"/>
      <c r="C328" s="8"/>
    </row>
    <row r="329" ht="15.75" customHeight="1">
      <c r="A329" s="8"/>
      <c r="B329" s="8"/>
      <c r="C329" s="8"/>
    </row>
    <row r="330" ht="15.75" customHeight="1">
      <c r="A330" s="8"/>
      <c r="B330" s="8"/>
      <c r="C330" s="8"/>
    </row>
    <row r="331" ht="15.75" customHeight="1">
      <c r="A331" s="8"/>
      <c r="B331" s="8"/>
      <c r="C331" s="8"/>
    </row>
    <row r="332" ht="15.75" customHeight="1">
      <c r="A332" s="8"/>
      <c r="B332" s="8"/>
      <c r="C332" s="8"/>
    </row>
    <row r="333" ht="15.75" customHeight="1">
      <c r="A333" s="8"/>
      <c r="B333" s="8"/>
      <c r="C333" s="8"/>
    </row>
    <row r="334" ht="15.75" customHeight="1">
      <c r="A334" s="8"/>
      <c r="B334" s="8"/>
      <c r="C334" s="8"/>
    </row>
    <row r="335" ht="15.75" customHeight="1">
      <c r="A335" s="8"/>
      <c r="B335" s="8"/>
      <c r="C335" s="8"/>
    </row>
    <row r="336" ht="15.75" customHeight="1">
      <c r="A336" s="8"/>
      <c r="B336" s="8"/>
      <c r="C336" s="8"/>
    </row>
    <row r="337" ht="15.75" customHeight="1">
      <c r="A337" s="8"/>
      <c r="B337" s="8"/>
      <c r="C337" s="8"/>
    </row>
    <row r="338" ht="15.75" customHeight="1">
      <c r="A338" s="8"/>
      <c r="B338" s="8"/>
      <c r="C338" s="8"/>
    </row>
    <row r="339" ht="15.75" customHeight="1">
      <c r="A339" s="8"/>
      <c r="B339" s="8"/>
      <c r="C339" s="8"/>
    </row>
    <row r="340" ht="15.75" customHeight="1">
      <c r="A340" s="8"/>
      <c r="B340" s="8"/>
      <c r="C340" s="8"/>
    </row>
    <row r="341" ht="15.75" customHeight="1">
      <c r="A341" s="8"/>
      <c r="B341" s="8"/>
      <c r="C341" s="8"/>
    </row>
    <row r="342" ht="15.75" customHeight="1">
      <c r="A342" s="8"/>
      <c r="B342" s="8"/>
      <c r="C342" s="8"/>
    </row>
    <row r="343" ht="15.75" customHeight="1">
      <c r="A343" s="8"/>
      <c r="B343" s="8"/>
      <c r="C343" s="8"/>
    </row>
    <row r="344" ht="15.75" customHeight="1">
      <c r="A344" s="8"/>
      <c r="B344" s="8"/>
      <c r="C344" s="8"/>
    </row>
    <row r="345" ht="15.75" customHeight="1">
      <c r="A345" s="8"/>
      <c r="B345" s="8"/>
      <c r="C345" s="8"/>
    </row>
    <row r="346" ht="15.75" customHeight="1">
      <c r="A346" s="8"/>
      <c r="B346" s="8"/>
      <c r="C346" s="8"/>
    </row>
    <row r="347" ht="15.75" customHeight="1">
      <c r="A347" s="8"/>
      <c r="B347" s="8"/>
      <c r="C347" s="8"/>
    </row>
    <row r="348" ht="15.75" customHeight="1">
      <c r="A348" s="8"/>
      <c r="B348" s="8"/>
      <c r="C348" s="8"/>
    </row>
    <row r="349" ht="15.75" customHeight="1">
      <c r="A349" s="8"/>
      <c r="B349" s="8"/>
      <c r="C349" s="8"/>
    </row>
    <row r="350" ht="15.75" customHeight="1">
      <c r="A350" s="8"/>
      <c r="B350" s="8"/>
      <c r="C350" s="8"/>
    </row>
    <row r="351" ht="15.75" customHeight="1">
      <c r="A351" s="8"/>
      <c r="B351" s="8"/>
      <c r="C351" s="8"/>
    </row>
    <row r="352" ht="15.75" customHeight="1">
      <c r="A352" s="8"/>
      <c r="B352" s="8"/>
      <c r="C352" s="8"/>
    </row>
    <row r="353" ht="15.75" customHeight="1">
      <c r="A353" s="8"/>
      <c r="B353" s="8"/>
      <c r="C353" s="8"/>
    </row>
    <row r="354" ht="15.75" customHeight="1">
      <c r="A354" s="8"/>
      <c r="B354" s="8"/>
      <c r="C354" s="8"/>
    </row>
    <row r="355" ht="15.75" customHeight="1">
      <c r="A355" s="8"/>
      <c r="B355" s="8"/>
      <c r="C355" s="8"/>
    </row>
    <row r="356" ht="15.75" customHeight="1">
      <c r="A356" s="8"/>
      <c r="B356" s="8"/>
      <c r="C356" s="8"/>
    </row>
    <row r="357" ht="15.75" customHeight="1">
      <c r="A357" s="8"/>
      <c r="B357" s="8"/>
      <c r="C357" s="8"/>
    </row>
    <row r="358" ht="15.75" customHeight="1">
      <c r="A358" s="8"/>
      <c r="B358" s="8"/>
      <c r="C358" s="8"/>
    </row>
    <row r="359" ht="15.75" customHeight="1">
      <c r="A359" s="8"/>
      <c r="B359" s="8"/>
      <c r="C359" s="8"/>
    </row>
    <row r="360" ht="15.75" customHeight="1">
      <c r="A360" s="8"/>
      <c r="B360" s="8"/>
      <c r="C360" s="8"/>
    </row>
    <row r="361" ht="15.75" customHeight="1">
      <c r="A361" s="8"/>
      <c r="B361" s="8"/>
      <c r="C361" s="8"/>
    </row>
    <row r="362" ht="15.75" customHeight="1">
      <c r="A362" s="8"/>
      <c r="B362" s="8"/>
      <c r="C362" s="8"/>
    </row>
    <row r="363" ht="15.75" customHeight="1">
      <c r="A363" s="8"/>
      <c r="B363" s="8"/>
      <c r="C363" s="8"/>
    </row>
    <row r="364" ht="15.75" customHeight="1">
      <c r="A364" s="8"/>
      <c r="B364" s="8"/>
      <c r="C364" s="8"/>
    </row>
    <row r="365" ht="15.75" customHeight="1">
      <c r="A365" s="8"/>
      <c r="B365" s="8"/>
      <c r="C365" s="8"/>
    </row>
    <row r="366" ht="15.75" customHeight="1">
      <c r="A366" s="8"/>
      <c r="B366" s="8"/>
      <c r="C366" s="8"/>
    </row>
    <row r="367" ht="15.75" customHeight="1">
      <c r="A367" s="8"/>
      <c r="B367" s="8"/>
      <c r="C367" s="8"/>
    </row>
    <row r="368" ht="15.75" customHeight="1">
      <c r="A368" s="8"/>
      <c r="B368" s="8"/>
      <c r="C368" s="8"/>
    </row>
    <row r="369" ht="15.75" customHeight="1">
      <c r="A369" s="8"/>
      <c r="B369" s="8"/>
      <c r="C369" s="8"/>
    </row>
    <row r="370" ht="15.75" customHeight="1">
      <c r="A370" s="8"/>
      <c r="B370" s="8"/>
      <c r="C370" s="8"/>
    </row>
    <row r="371" ht="15.75" customHeight="1">
      <c r="A371" s="8"/>
      <c r="B371" s="8"/>
      <c r="C371" s="8"/>
    </row>
    <row r="372" ht="15.75" customHeight="1">
      <c r="A372" s="8"/>
      <c r="B372" s="8"/>
      <c r="C372" s="8"/>
    </row>
    <row r="373" ht="15.75" customHeight="1">
      <c r="A373" s="8"/>
      <c r="B373" s="8"/>
      <c r="C373" s="8"/>
    </row>
    <row r="374" ht="15.75" customHeight="1">
      <c r="A374" s="8"/>
      <c r="B374" s="8"/>
      <c r="C374" s="8"/>
    </row>
    <row r="375" ht="15.75" customHeight="1">
      <c r="A375" s="8"/>
      <c r="B375" s="8"/>
      <c r="C375" s="8"/>
    </row>
    <row r="376" ht="15.75" customHeight="1">
      <c r="A376" s="8"/>
      <c r="B376" s="8"/>
      <c r="C376" s="8"/>
    </row>
    <row r="377" ht="15.75" customHeight="1">
      <c r="A377" s="8"/>
      <c r="B377" s="8"/>
      <c r="C377" s="8"/>
    </row>
    <row r="378" ht="15.75" customHeight="1">
      <c r="A378" s="8"/>
      <c r="B378" s="8"/>
      <c r="C378" s="8"/>
    </row>
    <row r="379" ht="15.75" customHeight="1">
      <c r="A379" s="8"/>
      <c r="B379" s="8"/>
      <c r="C379" s="8"/>
    </row>
    <row r="380" ht="15.75" customHeight="1">
      <c r="A380" s="8"/>
      <c r="B380" s="8"/>
      <c r="C380" s="8"/>
    </row>
    <row r="381" ht="15.75" customHeight="1">
      <c r="A381" s="8"/>
      <c r="B381" s="8"/>
      <c r="C381" s="8"/>
    </row>
    <row r="382" ht="15.75" customHeight="1">
      <c r="A382" s="8"/>
      <c r="B382" s="8"/>
      <c r="C382" s="8"/>
    </row>
    <row r="383" ht="15.75" customHeight="1">
      <c r="A383" s="8"/>
      <c r="B383" s="8"/>
      <c r="C383" s="8"/>
    </row>
    <row r="384" ht="15.75" customHeight="1">
      <c r="A384" s="8"/>
      <c r="B384" s="8"/>
      <c r="C384" s="8"/>
    </row>
    <row r="385" ht="15.75" customHeight="1">
      <c r="A385" s="8"/>
      <c r="B385" s="8"/>
      <c r="C385" s="8"/>
    </row>
    <row r="386" ht="15.75" customHeight="1">
      <c r="A386" s="8"/>
      <c r="B386" s="8"/>
      <c r="C386" s="8"/>
    </row>
    <row r="387" ht="15.75" customHeight="1">
      <c r="A387" s="8"/>
      <c r="B387" s="8"/>
      <c r="C387" s="8"/>
    </row>
    <row r="388" ht="15.75" customHeight="1">
      <c r="A388" s="8"/>
      <c r="B388" s="8"/>
      <c r="C388" s="8"/>
    </row>
    <row r="389" ht="15.75" customHeight="1">
      <c r="A389" s="8"/>
      <c r="B389" s="8"/>
      <c r="C389" s="8"/>
    </row>
    <row r="390" ht="15.75" customHeight="1">
      <c r="A390" s="8"/>
      <c r="B390" s="8"/>
      <c r="C390" s="8"/>
    </row>
    <row r="391" ht="15.75" customHeight="1">
      <c r="A391" s="8"/>
      <c r="B391" s="8"/>
      <c r="C391" s="8"/>
    </row>
    <row r="392" ht="15.75" customHeight="1">
      <c r="A392" s="8"/>
      <c r="B392" s="8"/>
      <c r="C392" s="8"/>
    </row>
    <row r="393" ht="15.75" customHeight="1">
      <c r="A393" s="8"/>
      <c r="B393" s="8"/>
      <c r="C393" s="8"/>
    </row>
    <row r="394" ht="15.75" customHeight="1">
      <c r="A394" s="8"/>
      <c r="B394" s="8"/>
      <c r="C394" s="8"/>
    </row>
    <row r="395" ht="15.75" customHeight="1">
      <c r="A395" s="8"/>
      <c r="B395" s="8"/>
      <c r="C395" s="8"/>
    </row>
    <row r="396" ht="15.75" customHeight="1">
      <c r="A396" s="8"/>
      <c r="B396" s="8"/>
      <c r="C396" s="8"/>
    </row>
    <row r="397" ht="15.75" customHeight="1">
      <c r="A397" s="8"/>
      <c r="B397" s="8"/>
      <c r="C397" s="8"/>
    </row>
    <row r="398" ht="15.75" customHeight="1">
      <c r="A398" s="8"/>
      <c r="B398" s="8"/>
      <c r="C398" s="8"/>
    </row>
    <row r="399" ht="15.75" customHeight="1">
      <c r="A399" s="8"/>
      <c r="B399" s="8"/>
      <c r="C399" s="8"/>
    </row>
    <row r="400" ht="15.75" customHeight="1">
      <c r="A400" s="8"/>
      <c r="B400" s="8"/>
      <c r="C400" s="8"/>
    </row>
    <row r="401" ht="15.75" customHeight="1">
      <c r="A401" s="8"/>
      <c r="B401" s="8"/>
      <c r="C401" s="8"/>
    </row>
    <row r="402" ht="15.75" customHeight="1">
      <c r="A402" s="8"/>
      <c r="B402" s="8"/>
      <c r="C402" s="8"/>
    </row>
    <row r="403" ht="15.75" customHeight="1">
      <c r="A403" s="8"/>
      <c r="B403" s="8"/>
      <c r="C403" s="8"/>
    </row>
    <row r="404" ht="15.75" customHeight="1">
      <c r="A404" s="8"/>
      <c r="B404" s="8"/>
      <c r="C404" s="8"/>
    </row>
    <row r="405" ht="15.75" customHeight="1">
      <c r="A405" s="8"/>
      <c r="B405" s="8"/>
      <c r="C405" s="8"/>
    </row>
    <row r="406" ht="15.75" customHeight="1">
      <c r="A406" s="8"/>
      <c r="B406" s="8"/>
      <c r="C406" s="8"/>
    </row>
    <row r="407" ht="15.75" customHeight="1">
      <c r="A407" s="8"/>
      <c r="B407" s="8"/>
      <c r="C407" s="8"/>
    </row>
    <row r="408" ht="15.75" customHeight="1">
      <c r="A408" s="8"/>
      <c r="B408" s="8"/>
      <c r="C408" s="8"/>
    </row>
    <row r="409" ht="15.75" customHeight="1">
      <c r="A409" s="8"/>
      <c r="B409" s="8"/>
      <c r="C409" s="8"/>
    </row>
    <row r="410" ht="15.75" customHeight="1">
      <c r="A410" s="8"/>
      <c r="B410" s="8"/>
      <c r="C410" s="8"/>
    </row>
    <row r="411" ht="15.75" customHeight="1">
      <c r="A411" s="8"/>
      <c r="B411" s="8"/>
      <c r="C411" s="8"/>
    </row>
    <row r="412" ht="15.75" customHeight="1">
      <c r="A412" s="8"/>
      <c r="B412" s="8"/>
      <c r="C412" s="8"/>
    </row>
    <row r="413" ht="15.75" customHeight="1">
      <c r="A413" s="8"/>
      <c r="B413" s="8"/>
      <c r="C413" s="8"/>
    </row>
    <row r="414" ht="15.75" customHeight="1">
      <c r="A414" s="8"/>
      <c r="B414" s="8"/>
      <c r="C414" s="8"/>
    </row>
    <row r="415" ht="15.75" customHeight="1">
      <c r="A415" s="8"/>
      <c r="B415" s="8"/>
      <c r="C415" s="8"/>
    </row>
    <row r="416" ht="15.75" customHeight="1">
      <c r="A416" s="8"/>
      <c r="B416" s="8"/>
      <c r="C416" s="8"/>
    </row>
    <row r="417" ht="15.75" customHeight="1">
      <c r="A417" s="8"/>
      <c r="B417" s="8"/>
      <c r="C417" s="8"/>
    </row>
    <row r="418" ht="15.75" customHeight="1">
      <c r="A418" s="8"/>
      <c r="B418" s="8"/>
      <c r="C418" s="8"/>
    </row>
    <row r="419" ht="15.75" customHeight="1">
      <c r="A419" s="8"/>
      <c r="B419" s="8"/>
      <c r="C419" s="8"/>
    </row>
    <row r="420" ht="15.75" customHeight="1">
      <c r="A420" s="8"/>
      <c r="B420" s="8"/>
      <c r="C420" s="8"/>
    </row>
    <row r="421" ht="15.75" customHeight="1">
      <c r="A421" s="8"/>
      <c r="B421" s="8"/>
      <c r="C421" s="8"/>
    </row>
    <row r="422" ht="15.75" customHeight="1">
      <c r="A422" s="8"/>
      <c r="B422" s="8"/>
      <c r="C422" s="8"/>
    </row>
    <row r="423" ht="15.75" customHeight="1">
      <c r="A423" s="8"/>
      <c r="B423" s="8"/>
      <c r="C423" s="8"/>
    </row>
    <row r="424" ht="15.75" customHeight="1">
      <c r="A424" s="8"/>
      <c r="B424" s="8"/>
      <c r="C424" s="8"/>
    </row>
    <row r="425" ht="15.75" customHeight="1">
      <c r="A425" s="8"/>
      <c r="B425" s="8"/>
      <c r="C425" s="8"/>
    </row>
    <row r="426" ht="15.75" customHeight="1">
      <c r="A426" s="8"/>
      <c r="B426" s="8"/>
      <c r="C426" s="8"/>
    </row>
    <row r="427" ht="15.75" customHeight="1">
      <c r="A427" s="8"/>
      <c r="B427" s="8"/>
      <c r="C427" s="8"/>
    </row>
    <row r="428" ht="15.75" customHeight="1">
      <c r="A428" s="8"/>
      <c r="B428" s="8"/>
      <c r="C428" s="8"/>
    </row>
    <row r="429" ht="15.75" customHeight="1">
      <c r="A429" s="8"/>
      <c r="B429" s="8"/>
      <c r="C429" s="8"/>
    </row>
    <row r="430" ht="15.75" customHeight="1">
      <c r="A430" s="8"/>
      <c r="B430" s="8"/>
      <c r="C430" s="8"/>
    </row>
    <row r="431" ht="15.75" customHeight="1">
      <c r="A431" s="8"/>
      <c r="B431" s="8"/>
      <c r="C431" s="8"/>
    </row>
    <row r="432" ht="15.75" customHeight="1">
      <c r="A432" s="8"/>
      <c r="B432" s="8"/>
      <c r="C432" s="8"/>
    </row>
    <row r="433" ht="15.75" customHeight="1">
      <c r="A433" s="8"/>
      <c r="B433" s="8"/>
      <c r="C433" s="8"/>
    </row>
    <row r="434" ht="15.75" customHeight="1">
      <c r="A434" s="8"/>
      <c r="B434" s="8"/>
      <c r="C434" s="8"/>
    </row>
    <row r="435" ht="15.75" customHeight="1">
      <c r="A435" s="8"/>
      <c r="B435" s="8"/>
      <c r="C435" s="8"/>
    </row>
    <row r="436" ht="15.75" customHeight="1">
      <c r="A436" s="8"/>
      <c r="B436" s="8"/>
      <c r="C436" s="8"/>
    </row>
    <row r="437" ht="15.75" customHeight="1">
      <c r="A437" s="8"/>
      <c r="B437" s="8"/>
      <c r="C437" s="8"/>
    </row>
    <row r="438" ht="15.75" customHeight="1">
      <c r="A438" s="8"/>
      <c r="B438" s="8"/>
      <c r="C438" s="8"/>
    </row>
    <row r="439" ht="15.75" customHeight="1">
      <c r="A439" s="8"/>
      <c r="B439" s="8"/>
      <c r="C439" s="8"/>
    </row>
    <row r="440" ht="15.75" customHeight="1">
      <c r="A440" s="8"/>
      <c r="B440" s="8"/>
      <c r="C440" s="8"/>
    </row>
    <row r="441" ht="15.75" customHeight="1">
      <c r="A441" s="8"/>
      <c r="B441" s="8"/>
      <c r="C441" s="8"/>
    </row>
    <row r="442" ht="15.75" customHeight="1">
      <c r="A442" s="8"/>
      <c r="B442" s="8"/>
      <c r="C442" s="8"/>
    </row>
    <row r="443" ht="15.75" customHeight="1">
      <c r="A443" s="8"/>
      <c r="B443" s="8"/>
      <c r="C443" s="8"/>
    </row>
    <row r="444" ht="15.75" customHeight="1">
      <c r="A444" s="8"/>
      <c r="B444" s="8"/>
      <c r="C444" s="8"/>
    </row>
    <row r="445" ht="15.75" customHeight="1">
      <c r="A445" s="8"/>
      <c r="B445" s="8"/>
      <c r="C445" s="8"/>
    </row>
    <row r="446" ht="15.75" customHeight="1">
      <c r="A446" s="8"/>
      <c r="B446" s="8"/>
      <c r="C446" s="8"/>
    </row>
    <row r="447" ht="15.75" customHeight="1">
      <c r="A447" s="8"/>
      <c r="B447" s="8"/>
      <c r="C447" s="8"/>
    </row>
    <row r="448" ht="15.75" customHeight="1">
      <c r="A448" s="8"/>
      <c r="B448" s="8"/>
      <c r="C448" s="8"/>
    </row>
    <row r="449" ht="15.75" customHeight="1">
      <c r="A449" s="8"/>
      <c r="B449" s="8"/>
      <c r="C449" s="8"/>
    </row>
    <row r="450" ht="15.75" customHeight="1">
      <c r="A450" s="8"/>
      <c r="B450" s="8"/>
      <c r="C450" s="8"/>
    </row>
    <row r="451" ht="15.75" customHeight="1">
      <c r="A451" s="8"/>
      <c r="B451" s="8"/>
      <c r="C451" s="8"/>
    </row>
    <row r="452" ht="15.75" customHeight="1">
      <c r="A452" s="8"/>
      <c r="B452" s="8"/>
      <c r="C452" s="8"/>
    </row>
    <row r="453" ht="15.75" customHeight="1">
      <c r="A453" s="8"/>
      <c r="B453" s="8"/>
      <c r="C453" s="8"/>
    </row>
    <row r="454" ht="15.75" customHeight="1">
      <c r="A454" s="8"/>
      <c r="B454" s="8"/>
      <c r="C454" s="8"/>
    </row>
    <row r="455" ht="15.75" customHeight="1">
      <c r="A455" s="8"/>
      <c r="B455" s="8"/>
      <c r="C455" s="8"/>
    </row>
    <row r="456" ht="15.75" customHeight="1">
      <c r="A456" s="8"/>
      <c r="B456" s="8"/>
      <c r="C456" s="8"/>
    </row>
    <row r="457" ht="15.75" customHeight="1">
      <c r="A457" s="8"/>
      <c r="B457" s="8"/>
      <c r="C457" s="8"/>
    </row>
    <row r="458" ht="15.75" customHeight="1">
      <c r="A458" s="8"/>
      <c r="B458" s="8"/>
      <c r="C458" s="8"/>
    </row>
    <row r="459" ht="15.75" customHeight="1">
      <c r="A459" s="8"/>
      <c r="B459" s="8"/>
      <c r="C459" s="8"/>
    </row>
    <row r="460" ht="15.75" customHeight="1">
      <c r="A460" s="8"/>
      <c r="B460" s="8"/>
      <c r="C460" s="8"/>
    </row>
    <row r="461" ht="15.75" customHeight="1">
      <c r="A461" s="8"/>
      <c r="B461" s="8"/>
      <c r="C461" s="8"/>
    </row>
    <row r="462" ht="15.75" customHeight="1">
      <c r="A462" s="8"/>
      <c r="B462" s="8"/>
      <c r="C462" s="8"/>
    </row>
    <row r="463" ht="15.75" customHeight="1">
      <c r="A463" s="8"/>
      <c r="B463" s="8"/>
      <c r="C463" s="8"/>
    </row>
    <row r="464" ht="15.75" customHeight="1">
      <c r="A464" s="8"/>
      <c r="B464" s="8"/>
      <c r="C464" s="8"/>
    </row>
    <row r="465" ht="15.75" customHeight="1">
      <c r="A465" s="8"/>
      <c r="B465" s="8"/>
      <c r="C465" s="8"/>
    </row>
    <row r="466" ht="15.75" customHeight="1">
      <c r="A466" s="8"/>
      <c r="B466" s="8"/>
      <c r="C466" s="8"/>
    </row>
    <row r="467" ht="15.75" customHeight="1">
      <c r="A467" s="8"/>
      <c r="B467" s="8"/>
      <c r="C467" s="8"/>
    </row>
    <row r="468" ht="15.75" customHeight="1">
      <c r="A468" s="8"/>
      <c r="B468" s="8"/>
      <c r="C468" s="8"/>
    </row>
    <row r="469" ht="15.75" customHeight="1">
      <c r="A469" s="8"/>
      <c r="B469" s="8"/>
      <c r="C469" s="8"/>
    </row>
    <row r="470" ht="15.75" customHeight="1">
      <c r="A470" s="8"/>
      <c r="B470" s="8"/>
      <c r="C470" s="8"/>
    </row>
    <row r="471" ht="15.75" customHeight="1">
      <c r="A471" s="8"/>
      <c r="B471" s="8"/>
      <c r="C471" s="8"/>
    </row>
    <row r="472" ht="15.75" customHeight="1">
      <c r="A472" s="8"/>
      <c r="B472" s="8"/>
      <c r="C472" s="8"/>
    </row>
    <row r="473" ht="15.75" customHeight="1">
      <c r="A473" s="8"/>
      <c r="B473" s="8"/>
      <c r="C473" s="8"/>
    </row>
    <row r="474" ht="15.75" customHeight="1">
      <c r="A474" s="8"/>
      <c r="B474" s="8"/>
      <c r="C474" s="8"/>
    </row>
    <row r="475" ht="15.75" customHeight="1">
      <c r="A475" s="8"/>
      <c r="B475" s="8"/>
      <c r="C475" s="8"/>
    </row>
    <row r="476" ht="15.75" customHeight="1">
      <c r="A476" s="8"/>
      <c r="B476" s="8"/>
      <c r="C476" s="8"/>
    </row>
    <row r="477" ht="15.75" customHeight="1">
      <c r="A477" s="8"/>
      <c r="B477" s="8"/>
      <c r="C477" s="8"/>
    </row>
    <row r="478" ht="15.75" customHeight="1">
      <c r="A478" s="8"/>
      <c r="B478" s="8"/>
      <c r="C478" s="8"/>
    </row>
    <row r="479" ht="15.75" customHeight="1">
      <c r="A479" s="8"/>
      <c r="B479" s="8"/>
      <c r="C479" s="8"/>
    </row>
    <row r="480" ht="15.75" customHeight="1">
      <c r="A480" s="8"/>
      <c r="B480" s="8"/>
      <c r="C480" s="8"/>
    </row>
    <row r="481" ht="15.75" customHeight="1">
      <c r="A481" s="8"/>
      <c r="B481" s="8"/>
      <c r="C481" s="8"/>
    </row>
    <row r="482" ht="15.75" customHeight="1">
      <c r="A482" s="8"/>
      <c r="B482" s="8"/>
      <c r="C482" s="8"/>
    </row>
    <row r="483" ht="15.75" customHeight="1">
      <c r="A483" s="8"/>
      <c r="B483" s="8"/>
      <c r="C483" s="8"/>
    </row>
    <row r="484" ht="15.75" customHeight="1">
      <c r="A484" s="8"/>
      <c r="B484" s="8"/>
      <c r="C484" s="8"/>
    </row>
    <row r="485" ht="15.75" customHeight="1">
      <c r="A485" s="8"/>
      <c r="B485" s="8"/>
      <c r="C485" s="8"/>
    </row>
    <row r="486" ht="15.75" customHeight="1">
      <c r="A486" s="8"/>
      <c r="B486" s="8"/>
      <c r="C486" s="8"/>
    </row>
    <row r="487" ht="15.75" customHeight="1">
      <c r="A487" s="8"/>
      <c r="B487" s="8"/>
      <c r="C487" s="8"/>
    </row>
    <row r="488" ht="15.75" customHeight="1">
      <c r="A488" s="8"/>
      <c r="B488" s="8"/>
      <c r="C488" s="8"/>
    </row>
    <row r="489" ht="15.75" customHeight="1">
      <c r="A489" s="8"/>
      <c r="B489" s="8"/>
      <c r="C489" s="8"/>
    </row>
    <row r="490" ht="15.75" customHeight="1">
      <c r="A490" s="8"/>
      <c r="B490" s="8"/>
      <c r="C490" s="8"/>
    </row>
    <row r="491" ht="15.75" customHeight="1">
      <c r="A491" s="8"/>
      <c r="B491" s="8"/>
      <c r="C491" s="8"/>
    </row>
    <row r="492" ht="15.75" customHeight="1">
      <c r="A492" s="8"/>
      <c r="B492" s="8"/>
      <c r="C492" s="8"/>
    </row>
    <row r="493" ht="15.75" customHeight="1">
      <c r="A493" s="8"/>
      <c r="B493" s="8"/>
      <c r="C493" s="8"/>
    </row>
    <row r="494" ht="15.75" customHeight="1">
      <c r="A494" s="8"/>
      <c r="B494" s="8"/>
      <c r="C494" s="8"/>
    </row>
    <row r="495" ht="15.75" customHeight="1">
      <c r="A495" s="8"/>
      <c r="B495" s="8"/>
      <c r="C495" s="8"/>
    </row>
    <row r="496" ht="15.75" customHeight="1">
      <c r="A496" s="8"/>
      <c r="B496" s="8"/>
      <c r="C496" s="8"/>
    </row>
    <row r="497" ht="15.75" customHeight="1">
      <c r="A497" s="8"/>
      <c r="B497" s="8"/>
      <c r="C497" s="8"/>
    </row>
    <row r="498" ht="15.75" customHeight="1">
      <c r="A498" s="8"/>
      <c r="B498" s="8"/>
      <c r="C498" s="8"/>
    </row>
    <row r="499" ht="15.75" customHeight="1">
      <c r="A499" s="8"/>
      <c r="B499" s="8"/>
      <c r="C499" s="8"/>
    </row>
    <row r="500" ht="15.75" customHeight="1">
      <c r="A500" s="8"/>
      <c r="B500" s="8"/>
      <c r="C500" s="8"/>
    </row>
    <row r="501" ht="15.75" customHeight="1">
      <c r="A501" s="8"/>
      <c r="B501" s="8"/>
      <c r="C501" s="8"/>
    </row>
    <row r="502" ht="15.75" customHeight="1">
      <c r="A502" s="8"/>
      <c r="B502" s="8"/>
      <c r="C502" s="8"/>
    </row>
    <row r="503" ht="15.75" customHeight="1">
      <c r="A503" s="8"/>
      <c r="B503" s="8"/>
      <c r="C503" s="8"/>
    </row>
    <row r="504" ht="15.75" customHeight="1">
      <c r="A504" s="8"/>
      <c r="B504" s="8"/>
      <c r="C504" s="8"/>
    </row>
    <row r="505" ht="15.75" customHeight="1">
      <c r="A505" s="8"/>
      <c r="B505" s="8"/>
      <c r="C505" s="8"/>
    </row>
    <row r="506" ht="15.75" customHeight="1">
      <c r="A506" s="8"/>
      <c r="B506" s="8"/>
      <c r="C506" s="8"/>
    </row>
    <row r="507" ht="15.75" customHeight="1">
      <c r="A507" s="8"/>
      <c r="B507" s="8"/>
      <c r="C507" s="8"/>
    </row>
    <row r="508" ht="15.75" customHeight="1">
      <c r="A508" s="8"/>
      <c r="B508" s="8"/>
      <c r="C508" s="8"/>
    </row>
    <row r="509" ht="15.75" customHeight="1">
      <c r="A509" s="8"/>
      <c r="B509" s="8"/>
      <c r="C509" s="8"/>
    </row>
    <row r="510" ht="15.75" customHeight="1">
      <c r="A510" s="8"/>
      <c r="B510" s="8"/>
      <c r="C510" s="8"/>
    </row>
    <row r="511" ht="15.75" customHeight="1">
      <c r="A511" s="8"/>
      <c r="B511" s="8"/>
      <c r="C511" s="8"/>
    </row>
    <row r="512" ht="15.75" customHeight="1">
      <c r="A512" s="8"/>
      <c r="B512" s="8"/>
      <c r="C512" s="8"/>
    </row>
    <row r="513" ht="15.75" customHeight="1">
      <c r="A513" s="8"/>
      <c r="B513" s="8"/>
      <c r="C513" s="8"/>
    </row>
    <row r="514" ht="15.75" customHeight="1">
      <c r="A514" s="8"/>
      <c r="B514" s="8"/>
      <c r="C514" s="8"/>
    </row>
    <row r="515" ht="15.75" customHeight="1">
      <c r="A515" s="8"/>
      <c r="B515" s="8"/>
      <c r="C515" s="8"/>
    </row>
    <row r="516" ht="15.75" customHeight="1">
      <c r="A516" s="8"/>
      <c r="B516" s="8"/>
      <c r="C516" s="8"/>
    </row>
    <row r="517" ht="15.75" customHeight="1">
      <c r="A517" s="8"/>
      <c r="B517" s="8"/>
      <c r="C517" s="8"/>
    </row>
    <row r="518" ht="15.75" customHeight="1">
      <c r="A518" s="8"/>
      <c r="B518" s="8"/>
      <c r="C518" s="8"/>
    </row>
    <row r="519" ht="15.75" customHeight="1">
      <c r="A519" s="8"/>
      <c r="B519" s="8"/>
      <c r="C519" s="8"/>
    </row>
    <row r="520" ht="15.75" customHeight="1">
      <c r="A520" s="8"/>
      <c r="B520" s="8"/>
      <c r="C520" s="8"/>
    </row>
    <row r="521" ht="15.75" customHeight="1">
      <c r="A521" s="8"/>
      <c r="B521" s="8"/>
      <c r="C521" s="8"/>
    </row>
    <row r="522" ht="15.75" customHeight="1">
      <c r="A522" s="8"/>
      <c r="B522" s="8"/>
      <c r="C522" s="8"/>
    </row>
    <row r="523" ht="15.75" customHeight="1">
      <c r="A523" s="8"/>
      <c r="B523" s="8"/>
      <c r="C523" s="8"/>
    </row>
    <row r="524" ht="15.75" customHeight="1">
      <c r="A524" s="8"/>
      <c r="B524" s="8"/>
      <c r="C524" s="8"/>
    </row>
    <row r="525" ht="15.75" customHeight="1">
      <c r="A525" s="8"/>
      <c r="B525" s="8"/>
      <c r="C525" s="8"/>
    </row>
    <row r="526" ht="15.75" customHeight="1">
      <c r="A526" s="8"/>
      <c r="B526" s="8"/>
      <c r="C526" s="8"/>
    </row>
    <row r="527" ht="15.75" customHeight="1">
      <c r="A527" s="8"/>
      <c r="B527" s="8"/>
      <c r="C527" s="8"/>
    </row>
    <row r="528" ht="15.75" customHeight="1">
      <c r="A528" s="8"/>
      <c r="B528" s="8"/>
      <c r="C528" s="8"/>
    </row>
    <row r="529" ht="15.75" customHeight="1">
      <c r="A529" s="8"/>
      <c r="B529" s="8"/>
      <c r="C529" s="8"/>
    </row>
    <row r="530" ht="15.75" customHeight="1">
      <c r="A530" s="8"/>
      <c r="B530" s="8"/>
      <c r="C530" s="8"/>
    </row>
    <row r="531" ht="15.75" customHeight="1">
      <c r="A531" s="8"/>
      <c r="B531" s="8"/>
      <c r="C531" s="8"/>
    </row>
    <row r="532" ht="15.75" customHeight="1">
      <c r="A532" s="8"/>
      <c r="B532" s="8"/>
      <c r="C532" s="8"/>
    </row>
    <row r="533" ht="15.75" customHeight="1">
      <c r="A533" s="8"/>
      <c r="B533" s="8"/>
      <c r="C533" s="8"/>
    </row>
    <row r="534" ht="15.75" customHeight="1">
      <c r="A534" s="8"/>
      <c r="B534" s="8"/>
      <c r="C534" s="8"/>
    </row>
    <row r="535" ht="15.75" customHeight="1">
      <c r="A535" s="8"/>
      <c r="B535" s="8"/>
      <c r="C535" s="8"/>
    </row>
    <row r="536" ht="15.75" customHeight="1">
      <c r="A536" s="8"/>
      <c r="B536" s="8"/>
      <c r="C536" s="8"/>
    </row>
    <row r="537" ht="15.75" customHeight="1">
      <c r="A537" s="8"/>
      <c r="B537" s="8"/>
      <c r="C537" s="8"/>
    </row>
    <row r="538" ht="15.75" customHeight="1">
      <c r="A538" s="8"/>
      <c r="B538" s="8"/>
      <c r="C538" s="8"/>
    </row>
    <row r="539" ht="15.75" customHeight="1">
      <c r="A539" s="8"/>
      <c r="B539" s="8"/>
      <c r="C539" s="8"/>
    </row>
    <row r="540" ht="15.75" customHeight="1">
      <c r="A540" s="8"/>
      <c r="B540" s="8"/>
      <c r="C540" s="8"/>
    </row>
    <row r="541" ht="15.75" customHeight="1">
      <c r="A541" s="8"/>
      <c r="B541" s="8"/>
      <c r="C541" s="8"/>
    </row>
    <row r="542" ht="15.75" customHeight="1">
      <c r="A542" s="8"/>
      <c r="B542" s="8"/>
      <c r="C542" s="8"/>
    </row>
    <row r="543" ht="15.75" customHeight="1">
      <c r="A543" s="8"/>
      <c r="B543" s="8"/>
      <c r="C543" s="8"/>
    </row>
    <row r="544" ht="15.75" customHeight="1">
      <c r="A544" s="8"/>
      <c r="B544" s="8"/>
      <c r="C544" s="8"/>
    </row>
    <row r="545" ht="15.75" customHeight="1">
      <c r="A545" s="8"/>
      <c r="B545" s="8"/>
      <c r="C545" s="8"/>
    </row>
    <row r="546" ht="15.75" customHeight="1">
      <c r="A546" s="8"/>
      <c r="B546" s="8"/>
      <c r="C546" s="8"/>
    </row>
    <row r="547" ht="15.75" customHeight="1">
      <c r="A547" s="8"/>
      <c r="B547" s="8"/>
      <c r="C547" s="8"/>
    </row>
    <row r="548" ht="15.75" customHeight="1">
      <c r="A548" s="8"/>
      <c r="B548" s="8"/>
      <c r="C548" s="8"/>
    </row>
    <row r="549" ht="15.75" customHeight="1">
      <c r="A549" s="8"/>
      <c r="B549" s="8"/>
      <c r="C549" s="8"/>
    </row>
    <row r="550" ht="15.75" customHeight="1">
      <c r="A550" s="8"/>
      <c r="B550" s="8"/>
      <c r="C550" s="8"/>
    </row>
    <row r="551" ht="15.75" customHeight="1">
      <c r="A551" s="8"/>
      <c r="B551" s="8"/>
      <c r="C551" s="8"/>
    </row>
    <row r="552" ht="15.75" customHeight="1">
      <c r="A552" s="8"/>
      <c r="B552" s="8"/>
      <c r="C552" s="8"/>
    </row>
    <row r="553" ht="15.75" customHeight="1">
      <c r="A553" s="8"/>
      <c r="B553" s="8"/>
      <c r="C553" s="8"/>
    </row>
    <row r="554" ht="15.75" customHeight="1">
      <c r="A554" s="8"/>
      <c r="B554" s="8"/>
      <c r="C554" s="8"/>
    </row>
    <row r="555" ht="15.75" customHeight="1">
      <c r="A555" s="8"/>
      <c r="B555" s="8"/>
      <c r="C555" s="8"/>
    </row>
    <row r="556" ht="15.75" customHeight="1">
      <c r="A556" s="8"/>
      <c r="B556" s="8"/>
      <c r="C556" s="8"/>
    </row>
    <row r="557" ht="15.75" customHeight="1">
      <c r="A557" s="8"/>
      <c r="B557" s="8"/>
      <c r="C557" s="8"/>
    </row>
    <row r="558" ht="15.75" customHeight="1">
      <c r="A558" s="8"/>
      <c r="B558" s="8"/>
      <c r="C558" s="8"/>
    </row>
    <row r="559" ht="15.75" customHeight="1">
      <c r="A559" s="8"/>
      <c r="B559" s="8"/>
      <c r="C559" s="8"/>
    </row>
    <row r="560" ht="15.75" customHeight="1">
      <c r="A560" s="8"/>
      <c r="B560" s="8"/>
      <c r="C560" s="8"/>
    </row>
    <row r="561" ht="15.75" customHeight="1">
      <c r="A561" s="8"/>
      <c r="B561" s="8"/>
      <c r="C561" s="8"/>
    </row>
    <row r="562" ht="15.75" customHeight="1">
      <c r="A562" s="8"/>
      <c r="B562" s="8"/>
      <c r="C562" s="8"/>
    </row>
    <row r="563" ht="15.75" customHeight="1">
      <c r="A563" s="8"/>
      <c r="B563" s="8"/>
      <c r="C563" s="8"/>
    </row>
    <row r="564" ht="15.75" customHeight="1">
      <c r="A564" s="8"/>
      <c r="B564" s="8"/>
      <c r="C564" s="8"/>
    </row>
    <row r="565" ht="15.75" customHeight="1">
      <c r="A565" s="8"/>
      <c r="B565" s="8"/>
      <c r="C565" s="8"/>
    </row>
    <row r="566" ht="15.75" customHeight="1">
      <c r="A566" s="8"/>
      <c r="B566" s="8"/>
      <c r="C566" s="8"/>
    </row>
    <row r="567" ht="15.75" customHeight="1">
      <c r="A567" s="8"/>
      <c r="B567" s="8"/>
      <c r="C567" s="8"/>
    </row>
    <row r="568" ht="15.75" customHeight="1">
      <c r="A568" s="8"/>
      <c r="B568" s="8"/>
      <c r="C568" s="8"/>
    </row>
    <row r="569" ht="15.75" customHeight="1">
      <c r="A569" s="8"/>
      <c r="B569" s="8"/>
      <c r="C569" s="8"/>
    </row>
    <row r="570" ht="15.75" customHeight="1">
      <c r="A570" s="8"/>
      <c r="B570" s="8"/>
      <c r="C570" s="8"/>
    </row>
    <row r="571" ht="15.75" customHeight="1">
      <c r="A571" s="8"/>
      <c r="B571" s="8"/>
      <c r="C571" s="8"/>
    </row>
    <row r="572" ht="15.75" customHeight="1">
      <c r="A572" s="8"/>
      <c r="B572" s="8"/>
      <c r="C572" s="8"/>
    </row>
    <row r="573" ht="15.75" customHeight="1">
      <c r="A573" s="8"/>
      <c r="B573" s="8"/>
      <c r="C573" s="8"/>
    </row>
    <row r="574" ht="15.75" customHeight="1">
      <c r="A574" s="8"/>
      <c r="B574" s="8"/>
      <c r="C574" s="8"/>
    </row>
    <row r="575" ht="15.75" customHeight="1">
      <c r="A575" s="8"/>
      <c r="B575" s="8"/>
      <c r="C575" s="8"/>
    </row>
    <row r="576" ht="15.75" customHeight="1">
      <c r="A576" s="8"/>
      <c r="B576" s="8"/>
      <c r="C576" s="8"/>
    </row>
    <row r="577" ht="15.75" customHeight="1">
      <c r="A577" s="8"/>
      <c r="B577" s="8"/>
      <c r="C577" s="8"/>
    </row>
    <row r="578" ht="15.75" customHeight="1">
      <c r="A578" s="8"/>
      <c r="B578" s="8"/>
      <c r="C578" s="8"/>
    </row>
    <row r="579" ht="15.75" customHeight="1">
      <c r="A579" s="8"/>
      <c r="B579" s="8"/>
      <c r="C579" s="8"/>
    </row>
    <row r="580" ht="15.75" customHeight="1">
      <c r="A580" s="8"/>
      <c r="B580" s="8"/>
      <c r="C580" s="8"/>
    </row>
    <row r="581" ht="15.75" customHeight="1">
      <c r="A581" s="8"/>
      <c r="B581" s="8"/>
      <c r="C581" s="8"/>
    </row>
    <row r="582" ht="15.75" customHeight="1">
      <c r="A582" s="8"/>
      <c r="B582" s="8"/>
      <c r="C582" s="8"/>
    </row>
    <row r="583" ht="15.75" customHeight="1">
      <c r="A583" s="8"/>
      <c r="B583" s="8"/>
      <c r="C583" s="8"/>
    </row>
    <row r="584" ht="15.75" customHeight="1">
      <c r="A584" s="8"/>
      <c r="B584" s="8"/>
      <c r="C584" s="8"/>
    </row>
    <row r="585" ht="15.75" customHeight="1">
      <c r="A585" s="8"/>
      <c r="B585" s="8"/>
      <c r="C585" s="8"/>
    </row>
    <row r="586" ht="15.75" customHeight="1">
      <c r="A586" s="8"/>
      <c r="B586" s="8"/>
      <c r="C586" s="8"/>
    </row>
    <row r="587" ht="15.75" customHeight="1">
      <c r="A587" s="8"/>
      <c r="B587" s="8"/>
      <c r="C587" s="8"/>
    </row>
    <row r="588" ht="15.75" customHeight="1">
      <c r="A588" s="8"/>
      <c r="B588" s="8"/>
      <c r="C588" s="8"/>
    </row>
    <row r="589" ht="15.75" customHeight="1">
      <c r="A589" s="8"/>
      <c r="B589" s="8"/>
      <c r="C589" s="8"/>
    </row>
    <row r="590" ht="15.75" customHeight="1">
      <c r="A590" s="8"/>
      <c r="B590" s="8"/>
      <c r="C590" s="8"/>
    </row>
    <row r="591" ht="15.75" customHeight="1">
      <c r="A591" s="8"/>
      <c r="B591" s="8"/>
      <c r="C591" s="8"/>
    </row>
    <row r="592" ht="15.75" customHeight="1">
      <c r="A592" s="8"/>
      <c r="B592" s="8"/>
      <c r="C592" s="8"/>
    </row>
    <row r="593" ht="15.75" customHeight="1">
      <c r="A593" s="8"/>
      <c r="B593" s="8"/>
      <c r="C593" s="8"/>
    </row>
    <row r="594" ht="15.75" customHeight="1">
      <c r="A594" s="8"/>
      <c r="B594" s="8"/>
      <c r="C594" s="8"/>
    </row>
    <row r="595" ht="15.75" customHeight="1">
      <c r="A595" s="8"/>
      <c r="B595" s="8"/>
      <c r="C595" s="8"/>
    </row>
    <row r="596" ht="15.75" customHeight="1">
      <c r="A596" s="8"/>
      <c r="B596" s="8"/>
      <c r="C596" s="8"/>
    </row>
    <row r="597" ht="15.75" customHeight="1">
      <c r="A597" s="8"/>
      <c r="B597" s="8"/>
      <c r="C597" s="8"/>
    </row>
    <row r="598" ht="15.75" customHeight="1">
      <c r="A598" s="8"/>
      <c r="B598" s="8"/>
      <c r="C598" s="8"/>
    </row>
    <row r="599" ht="15.75" customHeight="1">
      <c r="A599" s="8"/>
      <c r="B599" s="8"/>
      <c r="C599" s="8"/>
    </row>
    <row r="600" ht="15.75" customHeight="1">
      <c r="A600" s="8"/>
      <c r="B600" s="8"/>
      <c r="C600" s="8"/>
    </row>
    <row r="601" ht="15.75" customHeight="1">
      <c r="A601" s="8"/>
      <c r="B601" s="8"/>
      <c r="C601" s="8"/>
    </row>
    <row r="602" ht="15.75" customHeight="1">
      <c r="A602" s="8"/>
      <c r="B602" s="8"/>
      <c r="C602" s="8"/>
    </row>
    <row r="603" ht="15.75" customHeight="1">
      <c r="A603" s="8"/>
      <c r="B603" s="8"/>
      <c r="C603" s="8"/>
    </row>
    <row r="604" ht="15.75" customHeight="1">
      <c r="A604" s="8"/>
      <c r="B604" s="8"/>
      <c r="C604" s="8"/>
    </row>
    <row r="605" ht="15.75" customHeight="1">
      <c r="A605" s="8"/>
      <c r="B605" s="8"/>
      <c r="C605" s="8"/>
    </row>
    <row r="606" ht="15.75" customHeight="1">
      <c r="A606" s="8"/>
      <c r="B606" s="8"/>
      <c r="C606" s="8"/>
    </row>
    <row r="607" ht="15.75" customHeight="1">
      <c r="A607" s="8"/>
      <c r="B607" s="8"/>
      <c r="C607" s="8"/>
    </row>
    <row r="608" ht="15.75" customHeight="1">
      <c r="A608" s="8"/>
      <c r="B608" s="8"/>
      <c r="C608" s="8"/>
    </row>
    <row r="609" ht="15.75" customHeight="1">
      <c r="A609" s="8"/>
      <c r="B609" s="8"/>
      <c r="C609" s="8"/>
    </row>
    <row r="610" ht="15.75" customHeight="1">
      <c r="A610" s="8"/>
      <c r="B610" s="8"/>
      <c r="C610" s="8"/>
    </row>
    <row r="611" ht="15.75" customHeight="1">
      <c r="A611" s="8"/>
      <c r="B611" s="8"/>
      <c r="C611" s="8"/>
    </row>
    <row r="612" ht="15.75" customHeight="1">
      <c r="A612" s="8"/>
      <c r="B612" s="8"/>
      <c r="C612" s="8"/>
    </row>
    <row r="613" ht="15.75" customHeight="1">
      <c r="A613" s="8"/>
      <c r="B613" s="8"/>
      <c r="C613" s="8"/>
    </row>
    <row r="614" ht="15.75" customHeight="1">
      <c r="A614" s="8"/>
      <c r="B614" s="8"/>
      <c r="C614" s="8"/>
    </row>
    <row r="615" ht="15.75" customHeight="1">
      <c r="A615" s="8"/>
      <c r="B615" s="8"/>
      <c r="C615" s="8"/>
    </row>
    <row r="616" ht="15.75" customHeight="1">
      <c r="A616" s="8"/>
      <c r="B616" s="8"/>
      <c r="C616" s="8"/>
    </row>
    <row r="617" ht="15.75" customHeight="1">
      <c r="A617" s="8"/>
      <c r="B617" s="8"/>
      <c r="C617" s="8"/>
    </row>
    <row r="618" ht="15.75" customHeight="1">
      <c r="A618" s="8"/>
      <c r="B618" s="8"/>
      <c r="C618" s="8"/>
    </row>
    <row r="619" ht="15.75" customHeight="1">
      <c r="A619" s="8"/>
      <c r="B619" s="8"/>
      <c r="C619" s="8"/>
    </row>
    <row r="620" ht="15.75" customHeight="1">
      <c r="A620" s="8"/>
      <c r="B620" s="8"/>
      <c r="C620" s="8"/>
    </row>
    <row r="621" ht="15.75" customHeight="1">
      <c r="A621" s="8"/>
      <c r="B621" s="8"/>
      <c r="C621" s="8"/>
    </row>
    <row r="622" ht="15.75" customHeight="1">
      <c r="A622" s="8"/>
      <c r="B622" s="8"/>
      <c r="C622" s="8"/>
    </row>
    <row r="623" ht="15.75" customHeight="1">
      <c r="A623" s="8"/>
      <c r="B623" s="8"/>
      <c r="C623" s="8"/>
    </row>
    <row r="624" ht="15.75" customHeight="1">
      <c r="A624" s="8"/>
      <c r="B624" s="8"/>
      <c r="C624" s="8"/>
    </row>
    <row r="625" ht="15.75" customHeight="1">
      <c r="A625" s="8"/>
      <c r="B625" s="8"/>
      <c r="C625" s="8"/>
    </row>
    <row r="626" ht="15.75" customHeight="1">
      <c r="A626" s="8"/>
      <c r="B626" s="8"/>
      <c r="C626" s="8"/>
    </row>
    <row r="627" ht="15.75" customHeight="1">
      <c r="A627" s="8"/>
      <c r="B627" s="8"/>
      <c r="C627" s="8"/>
    </row>
    <row r="628" ht="15.75" customHeight="1">
      <c r="A628" s="8"/>
      <c r="B628" s="8"/>
      <c r="C628" s="8"/>
    </row>
    <row r="629" ht="15.75" customHeight="1">
      <c r="A629" s="8"/>
      <c r="B629" s="8"/>
      <c r="C629" s="8"/>
    </row>
    <row r="630" ht="15.75" customHeight="1">
      <c r="A630" s="8"/>
      <c r="B630" s="8"/>
      <c r="C630" s="8"/>
    </row>
    <row r="631" ht="15.75" customHeight="1">
      <c r="A631" s="8"/>
      <c r="B631" s="8"/>
      <c r="C631" s="8"/>
    </row>
    <row r="632" ht="15.75" customHeight="1">
      <c r="A632" s="8"/>
      <c r="B632" s="8"/>
      <c r="C632" s="8"/>
    </row>
    <row r="633" ht="15.75" customHeight="1">
      <c r="A633" s="8"/>
      <c r="B633" s="8"/>
      <c r="C633" s="8"/>
    </row>
    <row r="634" ht="15.75" customHeight="1">
      <c r="A634" s="8"/>
      <c r="B634" s="8"/>
      <c r="C634" s="8"/>
    </row>
    <row r="635" ht="15.75" customHeight="1">
      <c r="A635" s="8"/>
      <c r="B635" s="8"/>
      <c r="C635" s="8"/>
    </row>
    <row r="636" ht="15.75" customHeight="1">
      <c r="A636" s="8"/>
      <c r="B636" s="8"/>
      <c r="C636" s="8"/>
    </row>
    <row r="637" ht="15.75" customHeight="1">
      <c r="A637" s="8"/>
      <c r="B637" s="8"/>
      <c r="C637" s="8"/>
    </row>
    <row r="638" ht="15.75" customHeight="1">
      <c r="A638" s="8"/>
      <c r="B638" s="8"/>
      <c r="C638" s="8"/>
    </row>
    <row r="639" ht="15.75" customHeight="1">
      <c r="A639" s="8"/>
      <c r="B639" s="8"/>
      <c r="C639" s="8"/>
    </row>
    <row r="640" ht="15.75" customHeight="1">
      <c r="A640" s="8"/>
      <c r="B640" s="8"/>
      <c r="C640" s="8"/>
    </row>
    <row r="641" ht="15.75" customHeight="1">
      <c r="A641" s="8"/>
      <c r="B641" s="8"/>
      <c r="C641" s="8"/>
    </row>
    <row r="642" ht="15.75" customHeight="1">
      <c r="A642" s="8"/>
      <c r="B642" s="8"/>
      <c r="C642" s="8"/>
    </row>
    <row r="643" ht="15.75" customHeight="1">
      <c r="A643" s="8"/>
      <c r="B643" s="8"/>
      <c r="C643" s="8"/>
    </row>
    <row r="644" ht="15.75" customHeight="1">
      <c r="A644" s="8"/>
      <c r="B644" s="8"/>
      <c r="C644" s="8"/>
    </row>
    <row r="645" ht="15.75" customHeight="1">
      <c r="A645" s="8"/>
      <c r="B645" s="8"/>
      <c r="C645" s="8"/>
    </row>
    <row r="646" ht="15.75" customHeight="1">
      <c r="A646" s="8"/>
      <c r="B646" s="8"/>
      <c r="C646" s="8"/>
    </row>
    <row r="647" ht="15.75" customHeight="1">
      <c r="A647" s="8"/>
      <c r="B647" s="8"/>
      <c r="C647" s="8"/>
    </row>
    <row r="648" ht="15.75" customHeight="1">
      <c r="A648" s="8"/>
      <c r="B648" s="8"/>
      <c r="C648" s="8"/>
    </row>
    <row r="649" ht="15.75" customHeight="1">
      <c r="A649" s="8"/>
      <c r="B649" s="8"/>
      <c r="C649" s="8"/>
    </row>
    <row r="650" ht="15.75" customHeight="1">
      <c r="A650" s="8"/>
      <c r="B650" s="8"/>
      <c r="C650" s="8"/>
    </row>
    <row r="651" ht="15.75" customHeight="1">
      <c r="A651" s="8"/>
      <c r="B651" s="8"/>
      <c r="C651" s="8"/>
    </row>
    <row r="652" ht="15.75" customHeight="1">
      <c r="A652" s="8"/>
      <c r="B652" s="8"/>
      <c r="C652" s="8"/>
    </row>
    <row r="653" ht="15.75" customHeight="1">
      <c r="A653" s="8"/>
      <c r="B653" s="8"/>
      <c r="C653" s="8"/>
    </row>
    <row r="654" ht="15.75" customHeight="1">
      <c r="A654" s="8"/>
      <c r="B654" s="8"/>
      <c r="C654" s="8"/>
    </row>
    <row r="655" ht="15.75" customHeight="1">
      <c r="A655" s="8"/>
      <c r="B655" s="8"/>
      <c r="C655" s="8"/>
    </row>
    <row r="656" ht="15.75" customHeight="1">
      <c r="A656" s="8"/>
      <c r="B656" s="8"/>
      <c r="C656" s="8"/>
    </row>
    <row r="657" ht="15.75" customHeight="1">
      <c r="A657" s="8"/>
      <c r="B657" s="8"/>
      <c r="C657" s="8"/>
    </row>
    <row r="658" ht="15.75" customHeight="1">
      <c r="A658" s="8"/>
      <c r="B658" s="8"/>
      <c r="C658" s="8"/>
    </row>
    <row r="659" ht="15.75" customHeight="1">
      <c r="A659" s="8"/>
      <c r="B659" s="8"/>
      <c r="C659" s="8"/>
    </row>
    <row r="660" ht="15.75" customHeight="1">
      <c r="A660" s="8"/>
      <c r="B660" s="8"/>
      <c r="C660" s="8"/>
    </row>
    <row r="661" ht="15.75" customHeight="1">
      <c r="A661" s="8"/>
      <c r="B661" s="8"/>
      <c r="C661" s="8"/>
    </row>
    <row r="662" ht="15.75" customHeight="1">
      <c r="A662" s="8"/>
      <c r="B662" s="8"/>
      <c r="C662" s="8"/>
    </row>
    <row r="663" ht="15.75" customHeight="1">
      <c r="A663" s="8"/>
      <c r="B663" s="8"/>
      <c r="C663" s="8"/>
    </row>
    <row r="664" ht="15.75" customHeight="1">
      <c r="A664" s="8"/>
      <c r="B664" s="8"/>
      <c r="C664" s="8"/>
    </row>
    <row r="665" ht="15.75" customHeight="1">
      <c r="A665" s="8"/>
      <c r="B665" s="8"/>
      <c r="C665" s="8"/>
    </row>
    <row r="666" ht="15.75" customHeight="1">
      <c r="A666" s="8"/>
      <c r="B666" s="8"/>
      <c r="C666" s="8"/>
    </row>
    <row r="667" ht="15.75" customHeight="1">
      <c r="A667" s="8"/>
      <c r="B667" s="8"/>
      <c r="C667" s="8"/>
    </row>
    <row r="668" ht="15.75" customHeight="1">
      <c r="A668" s="8"/>
      <c r="B668" s="8"/>
      <c r="C668" s="8"/>
    </row>
    <row r="669" ht="15.75" customHeight="1">
      <c r="A669" s="8"/>
      <c r="B669" s="8"/>
      <c r="C669" s="8"/>
    </row>
    <row r="670" ht="15.75" customHeight="1">
      <c r="A670" s="8"/>
      <c r="B670" s="8"/>
      <c r="C670" s="8"/>
    </row>
    <row r="671" ht="15.75" customHeight="1">
      <c r="A671" s="8"/>
      <c r="B671" s="8"/>
      <c r="C671" s="8"/>
    </row>
    <row r="672" ht="15.75" customHeight="1">
      <c r="A672" s="8"/>
      <c r="B672" s="8"/>
      <c r="C672" s="8"/>
    </row>
    <row r="673" ht="15.75" customHeight="1">
      <c r="A673" s="8"/>
      <c r="B673" s="8"/>
      <c r="C673" s="8"/>
    </row>
    <row r="674" ht="15.75" customHeight="1">
      <c r="A674" s="8"/>
      <c r="B674" s="8"/>
      <c r="C674" s="8"/>
    </row>
    <row r="675" ht="15.75" customHeight="1">
      <c r="A675" s="8"/>
      <c r="B675" s="8"/>
      <c r="C675" s="8"/>
    </row>
    <row r="676" ht="15.75" customHeight="1">
      <c r="A676" s="8"/>
      <c r="B676" s="8"/>
      <c r="C676" s="8"/>
    </row>
    <row r="677" ht="15.75" customHeight="1">
      <c r="A677" s="8"/>
      <c r="B677" s="8"/>
      <c r="C677" s="8"/>
    </row>
    <row r="678" ht="15.75" customHeight="1">
      <c r="A678" s="8"/>
      <c r="B678" s="8"/>
      <c r="C678" s="8"/>
    </row>
    <row r="679" ht="15.75" customHeight="1">
      <c r="A679" s="8"/>
      <c r="B679" s="8"/>
      <c r="C679" s="8"/>
    </row>
    <row r="680" ht="15.75" customHeight="1">
      <c r="A680" s="8"/>
      <c r="B680" s="8"/>
      <c r="C680" s="8"/>
    </row>
    <row r="681" ht="15.75" customHeight="1">
      <c r="A681" s="8"/>
      <c r="B681" s="8"/>
      <c r="C681" s="8"/>
    </row>
    <row r="682" ht="15.75" customHeight="1">
      <c r="A682" s="8"/>
      <c r="B682" s="8"/>
      <c r="C682" s="8"/>
    </row>
    <row r="683" ht="15.75" customHeight="1">
      <c r="A683" s="8"/>
      <c r="B683" s="8"/>
      <c r="C683" s="8"/>
    </row>
    <row r="684" ht="15.75" customHeight="1">
      <c r="A684" s="8"/>
      <c r="B684" s="8"/>
      <c r="C684" s="8"/>
    </row>
    <row r="685" ht="15.75" customHeight="1">
      <c r="A685" s="8"/>
      <c r="B685" s="8"/>
      <c r="C685" s="8"/>
    </row>
    <row r="686" ht="15.75" customHeight="1">
      <c r="A686" s="8"/>
      <c r="B686" s="8"/>
      <c r="C686" s="8"/>
    </row>
    <row r="687" ht="15.75" customHeight="1">
      <c r="A687" s="8"/>
      <c r="B687" s="8"/>
      <c r="C687" s="8"/>
    </row>
    <row r="688" ht="15.75" customHeight="1">
      <c r="A688" s="8"/>
      <c r="B688" s="8"/>
      <c r="C688" s="8"/>
    </row>
    <row r="689" ht="15.75" customHeight="1">
      <c r="A689" s="8"/>
      <c r="B689" s="8"/>
      <c r="C689" s="8"/>
    </row>
    <row r="690" ht="15.75" customHeight="1">
      <c r="A690" s="8"/>
      <c r="B690" s="8"/>
      <c r="C690" s="8"/>
    </row>
    <row r="691" ht="15.75" customHeight="1">
      <c r="A691" s="8"/>
      <c r="B691" s="8"/>
      <c r="C691" s="8"/>
    </row>
    <row r="692" ht="15.75" customHeight="1">
      <c r="A692" s="8"/>
      <c r="B692" s="8"/>
      <c r="C692" s="8"/>
    </row>
    <row r="693" ht="15.75" customHeight="1">
      <c r="A693" s="8"/>
      <c r="B693" s="8"/>
      <c r="C693" s="8"/>
    </row>
    <row r="694" ht="15.75" customHeight="1">
      <c r="A694" s="8"/>
      <c r="B694" s="8"/>
      <c r="C694" s="8"/>
    </row>
    <row r="695" ht="15.75" customHeight="1">
      <c r="A695" s="8"/>
      <c r="B695" s="8"/>
      <c r="C695" s="8"/>
    </row>
    <row r="696" ht="15.75" customHeight="1">
      <c r="A696" s="8"/>
      <c r="B696" s="8"/>
      <c r="C696" s="8"/>
    </row>
    <row r="697" ht="15.75" customHeight="1">
      <c r="A697" s="8"/>
      <c r="B697" s="8"/>
      <c r="C697" s="8"/>
    </row>
    <row r="698" ht="15.75" customHeight="1">
      <c r="A698" s="8"/>
      <c r="B698" s="8"/>
      <c r="C698" s="8"/>
    </row>
    <row r="699" ht="15.75" customHeight="1">
      <c r="A699" s="8"/>
      <c r="B699" s="8"/>
      <c r="C699" s="8"/>
    </row>
    <row r="700" ht="15.75" customHeight="1">
      <c r="A700" s="8"/>
      <c r="B700" s="8"/>
      <c r="C700" s="8"/>
    </row>
    <row r="701" ht="15.75" customHeight="1">
      <c r="A701" s="8"/>
      <c r="B701" s="8"/>
      <c r="C701" s="8"/>
    </row>
    <row r="702" ht="15.75" customHeight="1">
      <c r="A702" s="8"/>
      <c r="B702" s="8"/>
      <c r="C702" s="8"/>
    </row>
    <row r="703" ht="15.75" customHeight="1">
      <c r="A703" s="8"/>
      <c r="B703" s="8"/>
      <c r="C703" s="8"/>
    </row>
    <row r="704" ht="15.75" customHeight="1">
      <c r="A704" s="8"/>
      <c r="B704" s="8"/>
      <c r="C704" s="8"/>
    </row>
    <row r="705" ht="15.75" customHeight="1">
      <c r="A705" s="8"/>
      <c r="B705" s="8"/>
      <c r="C705" s="8"/>
    </row>
    <row r="706" ht="15.75" customHeight="1">
      <c r="A706" s="8"/>
      <c r="B706" s="8"/>
      <c r="C706" s="8"/>
    </row>
    <row r="707" ht="15.75" customHeight="1">
      <c r="A707" s="8"/>
      <c r="B707" s="8"/>
      <c r="C707" s="8"/>
    </row>
    <row r="708" ht="15.75" customHeight="1">
      <c r="A708" s="8"/>
      <c r="B708" s="8"/>
      <c r="C708" s="8"/>
    </row>
    <row r="709" ht="15.75" customHeight="1">
      <c r="A709" s="8"/>
      <c r="B709" s="8"/>
      <c r="C709" s="8"/>
    </row>
    <row r="710" ht="15.75" customHeight="1">
      <c r="A710" s="8"/>
      <c r="B710" s="8"/>
      <c r="C710" s="8"/>
    </row>
    <row r="711" ht="15.75" customHeight="1">
      <c r="A711" s="8"/>
      <c r="B711" s="8"/>
      <c r="C711" s="8"/>
    </row>
    <row r="712" ht="15.75" customHeight="1">
      <c r="A712" s="8"/>
      <c r="B712" s="8"/>
      <c r="C712" s="8"/>
    </row>
    <row r="713" ht="15.75" customHeight="1">
      <c r="A713" s="8"/>
      <c r="B713" s="8"/>
      <c r="C713" s="8"/>
    </row>
    <row r="714" ht="15.75" customHeight="1">
      <c r="A714" s="8"/>
      <c r="B714" s="8"/>
      <c r="C714" s="8"/>
    </row>
    <row r="715" ht="15.75" customHeight="1">
      <c r="A715" s="8"/>
      <c r="B715" s="8"/>
      <c r="C715" s="8"/>
    </row>
    <row r="716" ht="15.75" customHeight="1">
      <c r="A716" s="8"/>
      <c r="B716" s="8"/>
      <c r="C716" s="8"/>
    </row>
    <row r="717" ht="15.75" customHeight="1">
      <c r="A717" s="8"/>
      <c r="B717" s="8"/>
      <c r="C717" s="8"/>
    </row>
    <row r="718" ht="15.75" customHeight="1">
      <c r="A718" s="8"/>
      <c r="B718" s="8"/>
      <c r="C718" s="8"/>
    </row>
    <row r="719" ht="15.75" customHeight="1">
      <c r="A719" s="8"/>
      <c r="B719" s="8"/>
      <c r="C719" s="8"/>
    </row>
    <row r="720" ht="15.75" customHeight="1">
      <c r="A720" s="8"/>
      <c r="B720" s="8"/>
      <c r="C720" s="8"/>
    </row>
    <row r="721" ht="15.75" customHeight="1">
      <c r="A721" s="8"/>
      <c r="B721" s="8"/>
      <c r="C721" s="8"/>
    </row>
    <row r="722" ht="15.75" customHeight="1">
      <c r="A722" s="8"/>
      <c r="B722" s="8"/>
      <c r="C722" s="8"/>
    </row>
    <row r="723" ht="15.75" customHeight="1">
      <c r="A723" s="8"/>
      <c r="B723" s="8"/>
      <c r="C723" s="8"/>
    </row>
    <row r="724" ht="15.75" customHeight="1">
      <c r="A724" s="8"/>
      <c r="B724" s="8"/>
      <c r="C724" s="8"/>
    </row>
    <row r="725" ht="15.75" customHeight="1">
      <c r="A725" s="8"/>
      <c r="B725" s="8"/>
      <c r="C725" s="8"/>
    </row>
    <row r="726" ht="15.75" customHeight="1">
      <c r="A726" s="8"/>
      <c r="B726" s="8"/>
      <c r="C726" s="8"/>
    </row>
    <row r="727" ht="15.75" customHeight="1">
      <c r="A727" s="8"/>
      <c r="B727" s="8"/>
      <c r="C727" s="8"/>
    </row>
    <row r="728" ht="15.75" customHeight="1">
      <c r="A728" s="8"/>
      <c r="B728" s="8"/>
      <c r="C728" s="8"/>
    </row>
    <row r="729" ht="15.75" customHeight="1">
      <c r="A729" s="8"/>
      <c r="B729" s="8"/>
      <c r="C729" s="8"/>
    </row>
    <row r="730" ht="15.75" customHeight="1">
      <c r="A730" s="8"/>
      <c r="B730" s="8"/>
      <c r="C730" s="8"/>
    </row>
    <row r="731" ht="15.75" customHeight="1">
      <c r="A731" s="8"/>
      <c r="B731" s="8"/>
      <c r="C731" s="8"/>
    </row>
    <row r="732" ht="15.75" customHeight="1">
      <c r="A732" s="8"/>
      <c r="B732" s="8"/>
      <c r="C732" s="8"/>
    </row>
    <row r="733" ht="15.75" customHeight="1">
      <c r="A733" s="8"/>
      <c r="B733" s="8"/>
      <c r="C733" s="8"/>
    </row>
    <row r="734" ht="15.75" customHeight="1">
      <c r="A734" s="8"/>
      <c r="B734" s="8"/>
      <c r="C734" s="8"/>
    </row>
    <row r="735" ht="15.75" customHeight="1">
      <c r="A735" s="8"/>
      <c r="B735" s="8"/>
      <c r="C735" s="8"/>
    </row>
    <row r="736" ht="15.75" customHeight="1">
      <c r="A736" s="8"/>
      <c r="B736" s="8"/>
      <c r="C736" s="8"/>
    </row>
    <row r="737" ht="15.75" customHeight="1">
      <c r="A737" s="8"/>
      <c r="B737" s="8"/>
      <c r="C737" s="8"/>
    </row>
    <row r="738" ht="15.75" customHeight="1">
      <c r="A738" s="8"/>
      <c r="B738" s="8"/>
      <c r="C738" s="8"/>
    </row>
    <row r="739" ht="15.75" customHeight="1">
      <c r="A739" s="8"/>
      <c r="B739" s="8"/>
      <c r="C739" s="8"/>
    </row>
    <row r="740" ht="15.75" customHeight="1">
      <c r="A740" s="8"/>
      <c r="B740" s="8"/>
      <c r="C740" s="8"/>
    </row>
    <row r="741" ht="15.75" customHeight="1">
      <c r="A741" s="8"/>
      <c r="B741" s="8"/>
      <c r="C741" s="8"/>
    </row>
    <row r="742" ht="15.75" customHeight="1">
      <c r="A742" s="8"/>
      <c r="B742" s="8"/>
      <c r="C742" s="8"/>
    </row>
    <row r="743" ht="15.75" customHeight="1">
      <c r="A743" s="8"/>
      <c r="B743" s="8"/>
      <c r="C743" s="8"/>
    </row>
    <row r="744" ht="15.75" customHeight="1">
      <c r="A744" s="8"/>
      <c r="B744" s="8"/>
      <c r="C744" s="8"/>
    </row>
    <row r="745" ht="15.75" customHeight="1">
      <c r="A745" s="8"/>
      <c r="B745" s="8"/>
      <c r="C745" s="8"/>
    </row>
    <row r="746" ht="15.75" customHeight="1">
      <c r="A746" s="8"/>
      <c r="B746" s="8"/>
      <c r="C746" s="8"/>
    </row>
    <row r="747" ht="15.75" customHeight="1">
      <c r="A747" s="8"/>
      <c r="B747" s="8"/>
      <c r="C747" s="8"/>
    </row>
    <row r="748" ht="15.75" customHeight="1">
      <c r="A748" s="8"/>
      <c r="B748" s="8"/>
      <c r="C748" s="8"/>
    </row>
    <row r="749" ht="15.75" customHeight="1">
      <c r="A749" s="8"/>
      <c r="B749" s="8"/>
      <c r="C749" s="8"/>
    </row>
    <row r="750" ht="15.75" customHeight="1">
      <c r="A750" s="8"/>
      <c r="B750" s="8"/>
      <c r="C750" s="8"/>
    </row>
    <row r="751" ht="15.75" customHeight="1">
      <c r="A751" s="8"/>
      <c r="B751" s="8"/>
      <c r="C751" s="8"/>
    </row>
    <row r="752" ht="15.75" customHeight="1">
      <c r="A752" s="8"/>
      <c r="B752" s="8"/>
      <c r="C752" s="8"/>
    </row>
    <row r="753" ht="15.75" customHeight="1">
      <c r="A753" s="8"/>
      <c r="B753" s="8"/>
      <c r="C753" s="8"/>
    </row>
    <row r="754" ht="15.75" customHeight="1">
      <c r="A754" s="8"/>
      <c r="B754" s="8"/>
      <c r="C754" s="8"/>
    </row>
    <row r="755" ht="15.75" customHeight="1">
      <c r="A755" s="8"/>
      <c r="B755" s="8"/>
      <c r="C755" s="8"/>
    </row>
    <row r="756" ht="15.75" customHeight="1">
      <c r="A756" s="8"/>
      <c r="B756" s="8"/>
      <c r="C756" s="8"/>
    </row>
    <row r="757" ht="15.75" customHeight="1">
      <c r="A757" s="8"/>
      <c r="B757" s="8"/>
      <c r="C757" s="8"/>
    </row>
    <row r="758" ht="15.75" customHeight="1">
      <c r="A758" s="8"/>
      <c r="B758" s="8"/>
      <c r="C758" s="8"/>
    </row>
    <row r="759" ht="15.75" customHeight="1">
      <c r="A759" s="8"/>
      <c r="B759" s="8"/>
      <c r="C759" s="8"/>
    </row>
    <row r="760" ht="15.75" customHeight="1">
      <c r="A760" s="8"/>
      <c r="B760" s="8"/>
      <c r="C760" s="8"/>
    </row>
    <row r="761" ht="15.75" customHeight="1">
      <c r="A761" s="8"/>
      <c r="B761" s="8"/>
      <c r="C761" s="8"/>
    </row>
    <row r="762" ht="15.75" customHeight="1">
      <c r="A762" s="8"/>
      <c r="B762" s="8"/>
      <c r="C762" s="8"/>
    </row>
    <row r="763" ht="15.75" customHeight="1">
      <c r="A763" s="8"/>
      <c r="B763" s="8"/>
      <c r="C763" s="8"/>
    </row>
    <row r="764" ht="15.75" customHeight="1">
      <c r="A764" s="8"/>
      <c r="B764" s="8"/>
      <c r="C764" s="8"/>
    </row>
    <row r="765" ht="15.75" customHeight="1">
      <c r="A765" s="8"/>
      <c r="B765" s="8"/>
      <c r="C765" s="8"/>
    </row>
    <row r="766" ht="15.75" customHeight="1">
      <c r="A766" s="8"/>
      <c r="B766" s="8"/>
      <c r="C766" s="8"/>
    </row>
    <row r="767" ht="15.75" customHeight="1">
      <c r="A767" s="8"/>
      <c r="B767" s="8"/>
      <c r="C767" s="8"/>
    </row>
    <row r="768" ht="15.75" customHeight="1">
      <c r="A768" s="8"/>
      <c r="B768" s="8"/>
      <c r="C768" s="8"/>
    </row>
    <row r="769" ht="15.75" customHeight="1">
      <c r="A769" s="8"/>
      <c r="B769" s="8"/>
      <c r="C769" s="8"/>
    </row>
    <row r="770" ht="15.75" customHeight="1">
      <c r="A770" s="8"/>
      <c r="B770" s="8"/>
      <c r="C770" s="8"/>
    </row>
    <row r="771" ht="15.75" customHeight="1">
      <c r="A771" s="8"/>
      <c r="B771" s="8"/>
      <c r="C771" s="8"/>
    </row>
    <row r="772" ht="15.75" customHeight="1">
      <c r="A772" s="8"/>
      <c r="B772" s="8"/>
      <c r="C772" s="8"/>
    </row>
    <row r="773" ht="15.75" customHeight="1">
      <c r="A773" s="8"/>
      <c r="B773" s="8"/>
      <c r="C773" s="8"/>
    </row>
    <row r="774" ht="15.75" customHeight="1">
      <c r="A774" s="8"/>
      <c r="B774" s="8"/>
      <c r="C774" s="8"/>
    </row>
    <row r="775" ht="15.75" customHeight="1">
      <c r="A775" s="8"/>
      <c r="B775" s="8"/>
      <c r="C775" s="8"/>
    </row>
    <row r="776" ht="15.75" customHeight="1">
      <c r="A776" s="8"/>
      <c r="B776" s="8"/>
      <c r="C776" s="8"/>
    </row>
    <row r="777" ht="15.75" customHeight="1">
      <c r="A777" s="8"/>
      <c r="B777" s="8"/>
      <c r="C777" s="8"/>
    </row>
    <row r="778" ht="15.75" customHeight="1">
      <c r="A778" s="8"/>
      <c r="B778" s="8"/>
      <c r="C778" s="8"/>
    </row>
    <row r="779" ht="15.75" customHeight="1">
      <c r="A779" s="8"/>
      <c r="B779" s="8"/>
      <c r="C779" s="8"/>
    </row>
    <row r="780" ht="15.75" customHeight="1">
      <c r="A780" s="8"/>
      <c r="B780" s="8"/>
      <c r="C780" s="8"/>
    </row>
    <row r="781" ht="15.75" customHeight="1">
      <c r="A781" s="8"/>
      <c r="B781" s="8"/>
      <c r="C781" s="8"/>
    </row>
    <row r="782" ht="15.75" customHeight="1">
      <c r="A782" s="8"/>
      <c r="B782" s="8"/>
      <c r="C782" s="8"/>
    </row>
    <row r="783" ht="15.75" customHeight="1">
      <c r="A783" s="8"/>
      <c r="B783" s="8"/>
      <c r="C783" s="8"/>
    </row>
    <row r="784" ht="15.75" customHeight="1">
      <c r="A784" s="8"/>
      <c r="B784" s="8"/>
      <c r="C784" s="8"/>
    </row>
    <row r="785" ht="15.75" customHeight="1">
      <c r="A785" s="8"/>
      <c r="B785" s="8"/>
      <c r="C785" s="8"/>
    </row>
    <row r="786" ht="15.75" customHeight="1">
      <c r="A786" s="8"/>
      <c r="B786" s="8"/>
      <c r="C786" s="8"/>
    </row>
    <row r="787" ht="15.75" customHeight="1">
      <c r="A787" s="8"/>
      <c r="B787" s="8"/>
      <c r="C787" s="8"/>
    </row>
    <row r="788" ht="15.75" customHeight="1">
      <c r="A788" s="8"/>
      <c r="B788" s="8"/>
      <c r="C788" s="8"/>
    </row>
    <row r="789" ht="15.75" customHeight="1">
      <c r="A789" s="8"/>
      <c r="B789" s="8"/>
      <c r="C789" s="8"/>
    </row>
    <row r="790" ht="15.75" customHeight="1">
      <c r="A790" s="8"/>
      <c r="B790" s="8"/>
      <c r="C790" s="8"/>
    </row>
    <row r="791" ht="15.75" customHeight="1">
      <c r="A791" s="8"/>
      <c r="B791" s="8"/>
      <c r="C791" s="8"/>
    </row>
    <row r="792" ht="15.75" customHeight="1">
      <c r="A792" s="8"/>
      <c r="B792" s="8"/>
      <c r="C792" s="8"/>
    </row>
    <row r="793" ht="15.75" customHeight="1">
      <c r="A793" s="8"/>
      <c r="B793" s="8"/>
      <c r="C793" s="8"/>
    </row>
    <row r="794" ht="15.75" customHeight="1">
      <c r="A794" s="8"/>
      <c r="B794" s="8"/>
      <c r="C794" s="8"/>
    </row>
    <row r="795" ht="15.75" customHeight="1">
      <c r="A795" s="8"/>
      <c r="B795" s="8"/>
      <c r="C795" s="8"/>
    </row>
    <row r="796" ht="15.75" customHeight="1">
      <c r="A796" s="8"/>
      <c r="B796" s="8"/>
      <c r="C796" s="8"/>
    </row>
    <row r="797" ht="15.75" customHeight="1">
      <c r="A797" s="8"/>
      <c r="B797" s="8"/>
      <c r="C797" s="8"/>
    </row>
    <row r="798" ht="15.75" customHeight="1">
      <c r="A798" s="8"/>
      <c r="B798" s="8"/>
      <c r="C798" s="8"/>
    </row>
    <row r="799" ht="15.75" customHeight="1">
      <c r="A799" s="8"/>
      <c r="B799" s="8"/>
      <c r="C799" s="8"/>
    </row>
    <row r="800" ht="15.75" customHeight="1">
      <c r="A800" s="8"/>
      <c r="B800" s="8"/>
      <c r="C800" s="8"/>
    </row>
    <row r="801" ht="15.75" customHeight="1">
      <c r="A801" s="8"/>
      <c r="B801" s="8"/>
      <c r="C801" s="8"/>
    </row>
    <row r="802" ht="15.75" customHeight="1">
      <c r="A802" s="8"/>
      <c r="B802" s="8"/>
      <c r="C802" s="8"/>
    </row>
    <row r="803" ht="15.75" customHeight="1">
      <c r="A803" s="8"/>
      <c r="B803" s="8"/>
      <c r="C803" s="8"/>
    </row>
    <row r="804" ht="15.75" customHeight="1">
      <c r="A804" s="8"/>
      <c r="B804" s="8"/>
      <c r="C804" s="8"/>
    </row>
    <row r="805" ht="15.75" customHeight="1">
      <c r="A805" s="8"/>
      <c r="B805" s="8"/>
      <c r="C805" s="8"/>
    </row>
    <row r="806" ht="15.75" customHeight="1">
      <c r="A806" s="8"/>
      <c r="B806" s="8"/>
      <c r="C806" s="8"/>
    </row>
    <row r="807" ht="15.75" customHeight="1">
      <c r="A807" s="8"/>
      <c r="B807" s="8"/>
      <c r="C807" s="8"/>
    </row>
    <row r="808" ht="15.75" customHeight="1">
      <c r="A808" s="8"/>
      <c r="B808" s="8"/>
      <c r="C808" s="8"/>
    </row>
    <row r="809" ht="15.75" customHeight="1">
      <c r="A809" s="8"/>
      <c r="B809" s="8"/>
      <c r="C809" s="8"/>
    </row>
    <row r="810" ht="15.75" customHeight="1">
      <c r="A810" s="8"/>
      <c r="B810" s="8"/>
      <c r="C810" s="8"/>
    </row>
    <row r="811" ht="15.75" customHeight="1">
      <c r="A811" s="8"/>
      <c r="B811" s="8"/>
      <c r="C811" s="8"/>
    </row>
    <row r="812" ht="15.75" customHeight="1">
      <c r="A812" s="8"/>
      <c r="B812" s="8"/>
      <c r="C812" s="8"/>
    </row>
    <row r="813" ht="15.75" customHeight="1">
      <c r="A813" s="8"/>
      <c r="B813" s="8"/>
      <c r="C813" s="8"/>
    </row>
    <row r="814" ht="15.75" customHeight="1">
      <c r="A814" s="8"/>
      <c r="B814" s="8"/>
      <c r="C814" s="8"/>
    </row>
    <row r="815" ht="15.75" customHeight="1">
      <c r="A815" s="8"/>
      <c r="B815" s="8"/>
      <c r="C815" s="8"/>
    </row>
    <row r="816" ht="15.75" customHeight="1">
      <c r="A816" s="8"/>
      <c r="B816" s="8"/>
      <c r="C816" s="8"/>
    </row>
    <row r="817" ht="15.75" customHeight="1">
      <c r="A817" s="8"/>
      <c r="B817" s="8"/>
      <c r="C817" s="8"/>
    </row>
    <row r="818" ht="15.75" customHeight="1">
      <c r="A818" s="8"/>
      <c r="B818" s="8"/>
      <c r="C818" s="8"/>
    </row>
    <row r="819" ht="15.75" customHeight="1">
      <c r="A819" s="8"/>
      <c r="B819" s="8"/>
      <c r="C819" s="8"/>
    </row>
    <row r="820" ht="15.75" customHeight="1">
      <c r="A820" s="8"/>
      <c r="B820" s="8"/>
      <c r="C820" s="8"/>
    </row>
    <row r="821" ht="15.75" customHeight="1">
      <c r="A821" s="8"/>
      <c r="B821" s="8"/>
      <c r="C821" s="8"/>
    </row>
    <row r="822" ht="15.75" customHeight="1">
      <c r="A822" s="8"/>
      <c r="B822" s="8"/>
      <c r="C822" s="8"/>
    </row>
    <row r="823" ht="15.75" customHeight="1">
      <c r="A823" s="8"/>
      <c r="B823" s="8"/>
      <c r="C823" s="8"/>
    </row>
    <row r="824" ht="15.75" customHeight="1">
      <c r="A824" s="8"/>
      <c r="B824" s="8"/>
      <c r="C824" s="8"/>
    </row>
    <row r="825" ht="15.75" customHeight="1">
      <c r="A825" s="8"/>
      <c r="B825" s="8"/>
      <c r="C825" s="8"/>
    </row>
    <row r="826" ht="15.75" customHeight="1">
      <c r="A826" s="8"/>
      <c r="B826" s="8"/>
      <c r="C826" s="8"/>
    </row>
    <row r="827" ht="15.75" customHeight="1">
      <c r="A827" s="8"/>
      <c r="B827" s="8"/>
      <c r="C827" s="8"/>
    </row>
    <row r="828" ht="15.75" customHeight="1">
      <c r="A828" s="8"/>
      <c r="B828" s="8"/>
      <c r="C828" s="8"/>
    </row>
    <row r="829" ht="15.75" customHeight="1">
      <c r="A829" s="8"/>
      <c r="B829" s="8"/>
      <c r="C829" s="8"/>
    </row>
    <row r="830" ht="15.75" customHeight="1">
      <c r="A830" s="8"/>
      <c r="B830" s="8"/>
      <c r="C830" s="8"/>
    </row>
    <row r="831" ht="15.75" customHeight="1">
      <c r="A831" s="8"/>
      <c r="B831" s="8"/>
      <c r="C831" s="8"/>
    </row>
    <row r="832" ht="15.75" customHeight="1">
      <c r="A832" s="8"/>
      <c r="B832" s="8"/>
      <c r="C832" s="8"/>
    </row>
    <row r="833" ht="15.75" customHeight="1">
      <c r="A833" s="8"/>
      <c r="B833" s="8"/>
      <c r="C833" s="8"/>
    </row>
    <row r="834" ht="15.75" customHeight="1">
      <c r="A834" s="8"/>
      <c r="B834" s="8"/>
      <c r="C834" s="8"/>
    </row>
    <row r="835" ht="15.75" customHeight="1">
      <c r="A835" s="8"/>
      <c r="B835" s="8"/>
      <c r="C835" s="8"/>
    </row>
    <row r="836" ht="15.75" customHeight="1">
      <c r="A836" s="8"/>
      <c r="B836" s="8"/>
      <c r="C836" s="8"/>
    </row>
    <row r="837" ht="15.75" customHeight="1">
      <c r="A837" s="8"/>
      <c r="B837" s="8"/>
      <c r="C837" s="8"/>
    </row>
    <row r="838" ht="15.75" customHeight="1">
      <c r="A838" s="8"/>
      <c r="B838" s="8"/>
      <c r="C838" s="8"/>
    </row>
    <row r="839" ht="15.75" customHeight="1">
      <c r="A839" s="8"/>
      <c r="B839" s="8"/>
      <c r="C839" s="8"/>
    </row>
    <row r="840" ht="15.75" customHeight="1">
      <c r="A840" s="8"/>
      <c r="B840" s="8"/>
      <c r="C840" s="8"/>
    </row>
    <row r="841" ht="15.75" customHeight="1">
      <c r="A841" s="8"/>
      <c r="B841" s="8"/>
      <c r="C841" s="8"/>
    </row>
    <row r="842" ht="15.75" customHeight="1">
      <c r="A842" s="8"/>
      <c r="B842" s="8"/>
      <c r="C842" s="8"/>
    </row>
    <row r="843" ht="15.75" customHeight="1">
      <c r="A843" s="8"/>
      <c r="B843" s="8"/>
      <c r="C843" s="8"/>
    </row>
    <row r="844" ht="15.75" customHeight="1">
      <c r="A844" s="8"/>
      <c r="B844" s="8"/>
      <c r="C844" s="8"/>
    </row>
    <row r="845" ht="15.75" customHeight="1">
      <c r="A845" s="8"/>
      <c r="B845" s="8"/>
      <c r="C845" s="8"/>
    </row>
    <row r="846" ht="15.75" customHeight="1">
      <c r="A846" s="8"/>
      <c r="B846" s="8"/>
      <c r="C846" s="8"/>
    </row>
    <row r="847" ht="15.75" customHeight="1">
      <c r="A847" s="8"/>
      <c r="B847" s="8"/>
      <c r="C847" s="8"/>
    </row>
    <row r="848" ht="15.75" customHeight="1">
      <c r="A848" s="8"/>
      <c r="B848" s="8"/>
      <c r="C848" s="8"/>
    </row>
    <row r="849" ht="15.75" customHeight="1">
      <c r="A849" s="8"/>
      <c r="B849" s="8"/>
      <c r="C849" s="8"/>
    </row>
    <row r="850" ht="15.75" customHeight="1">
      <c r="A850" s="8"/>
      <c r="B850" s="8"/>
      <c r="C850" s="8"/>
    </row>
    <row r="851" ht="15.75" customHeight="1">
      <c r="A851" s="8"/>
      <c r="B851" s="8"/>
      <c r="C851" s="8"/>
    </row>
    <row r="852" ht="15.75" customHeight="1">
      <c r="A852" s="8"/>
      <c r="B852" s="8"/>
      <c r="C852" s="8"/>
    </row>
    <row r="853" ht="15.75" customHeight="1">
      <c r="A853" s="8"/>
      <c r="B853" s="8"/>
      <c r="C853" s="8"/>
    </row>
    <row r="854" ht="15.75" customHeight="1">
      <c r="A854" s="8"/>
      <c r="B854" s="8"/>
      <c r="C854" s="8"/>
    </row>
    <row r="855" ht="15.75" customHeight="1">
      <c r="A855" s="8"/>
      <c r="B855" s="8"/>
      <c r="C855" s="8"/>
    </row>
    <row r="856" ht="15.75" customHeight="1">
      <c r="A856" s="8"/>
      <c r="B856" s="8"/>
      <c r="C856" s="8"/>
    </row>
    <row r="857" ht="15.75" customHeight="1">
      <c r="A857" s="8"/>
      <c r="B857" s="8"/>
      <c r="C857" s="8"/>
    </row>
    <row r="858" ht="15.75" customHeight="1">
      <c r="A858" s="8"/>
      <c r="B858" s="8"/>
      <c r="C858" s="8"/>
    </row>
    <row r="859" ht="15.75" customHeight="1">
      <c r="A859" s="8"/>
      <c r="B859" s="8"/>
      <c r="C859" s="8"/>
    </row>
    <row r="860" ht="15.75" customHeight="1">
      <c r="A860" s="8"/>
      <c r="B860" s="8"/>
      <c r="C860" s="8"/>
    </row>
    <row r="861" ht="15.75" customHeight="1">
      <c r="A861" s="8"/>
      <c r="B861" s="8"/>
      <c r="C861" s="8"/>
    </row>
    <row r="862" ht="15.75" customHeight="1">
      <c r="A862" s="8"/>
      <c r="B862" s="8"/>
      <c r="C862" s="8"/>
    </row>
    <row r="863" ht="15.75" customHeight="1">
      <c r="A863" s="8"/>
      <c r="B863" s="8"/>
      <c r="C863" s="8"/>
    </row>
    <row r="864" ht="15.75" customHeight="1">
      <c r="A864" s="8"/>
      <c r="B864" s="8"/>
      <c r="C864" s="8"/>
    </row>
    <row r="865" ht="15.75" customHeight="1">
      <c r="A865" s="8"/>
      <c r="B865" s="8"/>
      <c r="C865" s="8"/>
    </row>
    <row r="866" ht="15.75" customHeight="1">
      <c r="A866" s="8"/>
      <c r="B866" s="8"/>
      <c r="C866" s="8"/>
    </row>
    <row r="867" ht="15.75" customHeight="1">
      <c r="A867" s="8"/>
      <c r="B867" s="8"/>
      <c r="C867" s="8"/>
    </row>
    <row r="868" ht="15.75" customHeight="1">
      <c r="A868" s="8"/>
      <c r="B868" s="8"/>
      <c r="C868" s="8"/>
    </row>
    <row r="869" ht="15.75" customHeight="1">
      <c r="A869" s="8"/>
      <c r="B869" s="8"/>
      <c r="C869" s="8"/>
    </row>
    <row r="870" ht="15.75" customHeight="1">
      <c r="A870" s="8"/>
      <c r="B870" s="8"/>
      <c r="C870" s="8"/>
    </row>
    <row r="871" ht="15.75" customHeight="1">
      <c r="A871" s="8"/>
      <c r="B871" s="8"/>
      <c r="C871" s="8"/>
    </row>
    <row r="872" ht="15.75" customHeight="1">
      <c r="A872" s="8"/>
      <c r="B872" s="8"/>
      <c r="C872" s="8"/>
    </row>
    <row r="873" ht="15.75" customHeight="1">
      <c r="A873" s="8"/>
      <c r="B873" s="8"/>
      <c r="C873" s="8"/>
    </row>
    <row r="874" ht="15.75" customHeight="1">
      <c r="A874" s="8"/>
      <c r="B874" s="8"/>
      <c r="C874" s="8"/>
    </row>
    <row r="875" ht="15.75" customHeight="1">
      <c r="A875" s="8"/>
      <c r="B875" s="8"/>
      <c r="C875" s="8"/>
    </row>
    <row r="876" ht="15.75" customHeight="1">
      <c r="A876" s="8"/>
      <c r="B876" s="8"/>
      <c r="C876" s="8"/>
    </row>
    <row r="877" ht="15.75" customHeight="1">
      <c r="A877" s="8"/>
      <c r="B877" s="8"/>
      <c r="C877" s="8"/>
    </row>
    <row r="878" ht="15.75" customHeight="1">
      <c r="A878" s="8"/>
      <c r="B878" s="8"/>
      <c r="C878" s="8"/>
    </row>
    <row r="879" ht="15.75" customHeight="1">
      <c r="A879" s="8"/>
      <c r="B879" s="8"/>
      <c r="C879" s="8"/>
    </row>
    <row r="880" ht="15.75" customHeight="1">
      <c r="A880" s="8"/>
      <c r="B880" s="8"/>
      <c r="C880" s="8"/>
    </row>
    <row r="881" ht="15.75" customHeight="1">
      <c r="A881" s="8"/>
      <c r="B881" s="8"/>
      <c r="C881" s="8"/>
    </row>
    <row r="882" ht="15.75" customHeight="1">
      <c r="A882" s="8"/>
      <c r="B882" s="8"/>
      <c r="C882" s="8"/>
    </row>
    <row r="883" ht="15.75" customHeight="1">
      <c r="A883" s="8"/>
      <c r="B883" s="8"/>
      <c r="C883" s="8"/>
    </row>
    <row r="884" ht="15.75" customHeight="1">
      <c r="A884" s="8"/>
      <c r="B884" s="8"/>
      <c r="C884" s="8"/>
    </row>
    <row r="885" ht="15.75" customHeight="1">
      <c r="A885" s="8"/>
      <c r="B885" s="8"/>
      <c r="C885" s="8"/>
    </row>
    <row r="886" ht="15.75" customHeight="1">
      <c r="A886" s="8"/>
      <c r="B886" s="8"/>
      <c r="C886" s="8"/>
    </row>
    <row r="887" ht="15.75" customHeight="1">
      <c r="A887" s="8"/>
      <c r="B887" s="8"/>
      <c r="C887" s="8"/>
    </row>
    <row r="888" ht="15.75" customHeight="1">
      <c r="A888" s="8"/>
      <c r="B888" s="8"/>
      <c r="C888" s="8"/>
    </row>
    <row r="889" ht="15.75" customHeight="1">
      <c r="A889" s="8"/>
      <c r="B889" s="8"/>
      <c r="C889" s="8"/>
    </row>
    <row r="890" ht="15.75" customHeight="1">
      <c r="A890" s="8"/>
      <c r="B890" s="8"/>
      <c r="C890" s="8"/>
    </row>
    <row r="891" ht="15.75" customHeight="1">
      <c r="A891" s="8"/>
      <c r="B891" s="8"/>
      <c r="C891" s="8"/>
    </row>
    <row r="892" ht="15.75" customHeight="1">
      <c r="A892" s="8"/>
      <c r="B892" s="8"/>
      <c r="C892" s="8"/>
    </row>
    <row r="893" ht="15.75" customHeight="1">
      <c r="A893" s="8"/>
      <c r="B893" s="8"/>
      <c r="C893" s="8"/>
    </row>
    <row r="894" ht="15.75" customHeight="1">
      <c r="A894" s="8"/>
      <c r="B894" s="8"/>
      <c r="C894" s="8"/>
    </row>
    <row r="895" ht="15.75" customHeight="1">
      <c r="A895" s="8"/>
      <c r="B895" s="8"/>
      <c r="C895" s="8"/>
    </row>
    <row r="896" ht="15.75" customHeight="1">
      <c r="A896" s="8"/>
      <c r="B896" s="8"/>
      <c r="C896" s="8"/>
    </row>
    <row r="897" ht="15.75" customHeight="1">
      <c r="A897" s="8"/>
      <c r="B897" s="8"/>
      <c r="C897" s="8"/>
    </row>
    <row r="898" ht="15.75" customHeight="1">
      <c r="A898" s="8"/>
      <c r="B898" s="8"/>
      <c r="C898" s="8"/>
    </row>
    <row r="899" ht="15.75" customHeight="1">
      <c r="A899" s="8"/>
      <c r="B899" s="8"/>
      <c r="C899" s="8"/>
    </row>
    <row r="900" ht="15.75" customHeight="1">
      <c r="A900" s="8"/>
      <c r="B900" s="8"/>
      <c r="C900" s="8"/>
    </row>
    <row r="901" ht="15.75" customHeight="1">
      <c r="A901" s="8"/>
      <c r="B901" s="8"/>
      <c r="C901" s="8"/>
    </row>
    <row r="902" ht="15.75" customHeight="1">
      <c r="A902" s="8"/>
      <c r="B902" s="8"/>
      <c r="C902" s="8"/>
    </row>
    <row r="903" ht="15.75" customHeight="1">
      <c r="A903" s="8"/>
      <c r="B903" s="8"/>
      <c r="C903" s="8"/>
    </row>
    <row r="904" ht="15.75" customHeight="1">
      <c r="A904" s="8"/>
      <c r="B904" s="8"/>
      <c r="C904" s="8"/>
    </row>
    <row r="905" ht="15.75" customHeight="1">
      <c r="A905" s="8"/>
      <c r="B905" s="8"/>
      <c r="C905" s="8"/>
    </row>
    <row r="906" ht="15.75" customHeight="1">
      <c r="A906" s="8"/>
      <c r="B906" s="8"/>
      <c r="C906" s="8"/>
    </row>
    <row r="907" ht="15.75" customHeight="1">
      <c r="A907" s="8"/>
      <c r="B907" s="8"/>
      <c r="C907" s="8"/>
    </row>
    <row r="908" ht="15.75" customHeight="1">
      <c r="A908" s="8"/>
      <c r="B908" s="8"/>
      <c r="C908" s="8"/>
    </row>
    <row r="909" ht="15.75" customHeight="1">
      <c r="A909" s="8"/>
      <c r="B909" s="8"/>
      <c r="C909" s="8"/>
    </row>
    <row r="910" ht="15.75" customHeight="1">
      <c r="A910" s="8"/>
      <c r="B910" s="8"/>
      <c r="C910" s="8"/>
    </row>
    <row r="911" ht="15.75" customHeight="1">
      <c r="A911" s="8"/>
      <c r="B911" s="8"/>
      <c r="C911" s="8"/>
    </row>
    <row r="912" ht="15.75" customHeight="1">
      <c r="A912" s="8"/>
      <c r="B912" s="8"/>
      <c r="C912" s="8"/>
    </row>
    <row r="913" ht="15.75" customHeight="1">
      <c r="A913" s="8"/>
      <c r="B913" s="8"/>
      <c r="C913" s="8"/>
    </row>
    <row r="914" ht="15.75" customHeight="1">
      <c r="A914" s="8"/>
      <c r="B914" s="8"/>
      <c r="C914" s="8"/>
    </row>
    <row r="915" ht="15.75" customHeight="1">
      <c r="A915" s="8"/>
      <c r="B915" s="8"/>
      <c r="C915" s="8"/>
    </row>
    <row r="916" ht="15.75" customHeight="1">
      <c r="A916" s="8"/>
      <c r="B916" s="8"/>
      <c r="C916" s="8"/>
    </row>
    <row r="917" ht="15.75" customHeight="1">
      <c r="A917" s="8"/>
      <c r="B917" s="8"/>
      <c r="C917" s="8"/>
    </row>
    <row r="918" ht="15.75" customHeight="1">
      <c r="A918" s="8"/>
      <c r="B918" s="8"/>
      <c r="C918" s="8"/>
    </row>
    <row r="919" ht="15.75" customHeight="1">
      <c r="A919" s="8"/>
      <c r="B919" s="8"/>
      <c r="C919" s="8"/>
    </row>
    <row r="920" ht="15.75" customHeight="1">
      <c r="A920" s="8"/>
      <c r="B920" s="8"/>
      <c r="C920" s="8"/>
    </row>
    <row r="921" ht="15.75" customHeight="1">
      <c r="A921" s="8"/>
      <c r="B921" s="8"/>
      <c r="C921" s="8"/>
    </row>
    <row r="922" ht="15.75" customHeight="1">
      <c r="A922" s="8"/>
      <c r="B922" s="8"/>
      <c r="C922" s="8"/>
    </row>
    <row r="923" ht="15.75" customHeight="1">
      <c r="A923" s="8"/>
      <c r="B923" s="8"/>
      <c r="C923" s="8"/>
    </row>
    <row r="924" ht="15.75" customHeight="1">
      <c r="A924" s="8"/>
      <c r="B924" s="8"/>
      <c r="C924" s="8"/>
    </row>
    <row r="925" ht="15.75" customHeight="1">
      <c r="A925" s="8"/>
      <c r="B925" s="8"/>
      <c r="C925" s="8"/>
    </row>
    <row r="926" ht="15.75" customHeight="1">
      <c r="A926" s="8"/>
      <c r="B926" s="8"/>
      <c r="C926" s="8"/>
    </row>
    <row r="927" ht="15.75" customHeight="1">
      <c r="A927" s="8"/>
      <c r="B927" s="8"/>
      <c r="C927" s="8"/>
    </row>
    <row r="928" ht="15.75" customHeight="1">
      <c r="A928" s="8"/>
      <c r="B928" s="8"/>
      <c r="C928" s="8"/>
    </row>
    <row r="929" ht="15.75" customHeight="1">
      <c r="A929" s="8"/>
      <c r="B929" s="8"/>
      <c r="C929" s="8"/>
    </row>
    <row r="930" ht="15.75" customHeight="1">
      <c r="A930" s="8"/>
      <c r="B930" s="8"/>
      <c r="C930" s="8"/>
    </row>
    <row r="931" ht="15.75" customHeight="1">
      <c r="A931" s="8"/>
      <c r="B931" s="8"/>
      <c r="C931" s="8"/>
    </row>
    <row r="932" ht="15.75" customHeight="1">
      <c r="A932" s="8"/>
      <c r="B932" s="8"/>
      <c r="C932" s="8"/>
    </row>
    <row r="933" ht="15.75" customHeight="1">
      <c r="A933" s="8"/>
      <c r="B933" s="8"/>
      <c r="C933" s="8"/>
    </row>
    <row r="934" ht="15.75" customHeight="1">
      <c r="A934" s="8"/>
      <c r="B934" s="8"/>
      <c r="C934" s="8"/>
    </row>
    <row r="935" ht="15.75" customHeight="1">
      <c r="A935" s="8"/>
      <c r="B935" s="8"/>
      <c r="C935" s="8"/>
    </row>
    <row r="936" ht="15.75" customHeight="1">
      <c r="A936" s="8"/>
      <c r="B936" s="8"/>
      <c r="C936" s="8"/>
    </row>
    <row r="937" ht="15.75" customHeight="1">
      <c r="A937" s="8"/>
      <c r="B937" s="8"/>
      <c r="C937" s="8"/>
    </row>
    <row r="938" ht="15.75" customHeight="1">
      <c r="A938" s="8"/>
      <c r="B938" s="8"/>
      <c r="C938" s="8"/>
    </row>
    <row r="939" ht="15.75" customHeight="1">
      <c r="A939" s="8"/>
      <c r="B939" s="8"/>
      <c r="C939" s="8"/>
    </row>
    <row r="940" ht="15.75" customHeight="1">
      <c r="A940" s="8"/>
      <c r="B940" s="8"/>
      <c r="C940" s="8"/>
    </row>
    <row r="941" ht="15.75" customHeight="1">
      <c r="A941" s="8"/>
      <c r="B941" s="8"/>
      <c r="C941" s="8"/>
    </row>
    <row r="942" ht="15.75" customHeight="1">
      <c r="A942" s="8"/>
      <c r="B942" s="8"/>
      <c r="C942" s="8"/>
    </row>
    <row r="943" ht="15.75" customHeight="1">
      <c r="A943" s="8"/>
      <c r="B943" s="8"/>
      <c r="C943" s="8"/>
    </row>
    <row r="944" ht="15.75" customHeight="1">
      <c r="A944" s="8"/>
      <c r="B944" s="8"/>
      <c r="C944" s="8"/>
    </row>
    <row r="945" ht="15.75" customHeight="1">
      <c r="A945" s="8"/>
      <c r="B945" s="8"/>
      <c r="C945" s="8"/>
    </row>
    <row r="946" ht="15.75" customHeight="1">
      <c r="A946" s="8"/>
      <c r="B946" s="8"/>
      <c r="C946" s="8"/>
    </row>
    <row r="947" ht="15.75" customHeight="1">
      <c r="A947" s="8"/>
      <c r="B947" s="8"/>
      <c r="C947" s="8"/>
    </row>
    <row r="948" ht="15.75" customHeight="1">
      <c r="A948" s="8"/>
      <c r="B948" s="8"/>
      <c r="C948" s="8"/>
    </row>
    <row r="949" ht="15.75" customHeight="1">
      <c r="A949" s="8"/>
      <c r="B949" s="8"/>
      <c r="C949" s="8"/>
    </row>
    <row r="950" ht="15.75" customHeight="1">
      <c r="A950" s="8"/>
      <c r="B950" s="8"/>
      <c r="C950" s="8"/>
    </row>
    <row r="951" ht="15.75" customHeight="1">
      <c r="A951" s="8"/>
      <c r="B951" s="8"/>
      <c r="C951" s="8"/>
    </row>
    <row r="952" ht="15.75" customHeight="1">
      <c r="A952" s="8"/>
      <c r="B952" s="8"/>
      <c r="C952" s="8"/>
    </row>
    <row r="953" ht="15.75" customHeight="1">
      <c r="A953" s="8"/>
      <c r="B953" s="8"/>
      <c r="C953" s="8"/>
    </row>
    <row r="954" ht="15.75" customHeight="1">
      <c r="A954" s="8"/>
      <c r="B954" s="8"/>
      <c r="C954" s="8"/>
    </row>
    <row r="955" ht="15.75" customHeight="1">
      <c r="A955" s="8"/>
      <c r="B955" s="8"/>
      <c r="C955" s="8"/>
    </row>
    <row r="956" ht="15.75" customHeight="1">
      <c r="A956" s="8"/>
      <c r="B956" s="8"/>
      <c r="C956" s="8"/>
    </row>
    <row r="957" ht="15.75" customHeight="1">
      <c r="A957" s="8"/>
      <c r="B957" s="8"/>
      <c r="C957" s="8"/>
    </row>
    <row r="958" ht="15.75" customHeight="1">
      <c r="A958" s="8"/>
      <c r="B958" s="8"/>
      <c r="C958" s="8"/>
    </row>
    <row r="959" ht="15.75" customHeight="1">
      <c r="A959" s="8"/>
      <c r="B959" s="8"/>
      <c r="C959" s="8"/>
    </row>
    <row r="960" ht="15.75" customHeight="1">
      <c r="A960" s="8"/>
      <c r="B960" s="8"/>
      <c r="C960" s="8"/>
    </row>
    <row r="961" ht="15.75" customHeight="1">
      <c r="A961" s="8"/>
      <c r="B961" s="8"/>
      <c r="C961" s="8"/>
    </row>
    <row r="962" ht="15.75" customHeight="1">
      <c r="A962" s="8"/>
      <c r="B962" s="8"/>
      <c r="C962" s="8"/>
    </row>
    <row r="963" ht="15.75" customHeight="1">
      <c r="A963" s="8"/>
      <c r="B963" s="8"/>
      <c r="C963" s="8"/>
    </row>
    <row r="964" ht="15.75" customHeight="1">
      <c r="A964" s="8"/>
      <c r="B964" s="8"/>
      <c r="C964" s="8"/>
    </row>
    <row r="965" ht="15.75" customHeight="1">
      <c r="A965" s="8"/>
      <c r="B965" s="8"/>
      <c r="C965" s="8"/>
    </row>
    <row r="966" ht="15.75" customHeight="1">
      <c r="A966" s="8"/>
      <c r="B966" s="8"/>
      <c r="C966" s="8"/>
    </row>
    <row r="967" ht="15.75" customHeight="1">
      <c r="A967" s="8"/>
      <c r="B967" s="8"/>
      <c r="C967" s="8"/>
    </row>
    <row r="968" ht="15.75" customHeight="1">
      <c r="A968" s="8"/>
      <c r="B968" s="8"/>
      <c r="C968" s="8"/>
    </row>
    <row r="969" ht="15.75" customHeight="1">
      <c r="A969" s="8"/>
      <c r="B969" s="8"/>
      <c r="C969" s="8"/>
    </row>
    <row r="970" ht="15.75" customHeight="1">
      <c r="A970" s="8"/>
      <c r="B970" s="8"/>
      <c r="C970" s="8"/>
    </row>
    <row r="971" ht="15.75" customHeight="1">
      <c r="A971" s="8"/>
      <c r="B971" s="8"/>
      <c r="C971" s="8"/>
    </row>
    <row r="972" ht="15.75" customHeight="1">
      <c r="A972" s="8"/>
      <c r="B972" s="8"/>
      <c r="C972" s="8"/>
    </row>
    <row r="973" ht="15.75" customHeight="1">
      <c r="A973" s="8"/>
      <c r="B973" s="8"/>
      <c r="C973" s="8"/>
    </row>
    <row r="974" ht="15.75" customHeight="1">
      <c r="A974" s="8"/>
      <c r="B974" s="8"/>
      <c r="C974" s="8"/>
    </row>
    <row r="975" ht="15.75" customHeight="1">
      <c r="A975" s="8"/>
      <c r="B975" s="8"/>
      <c r="C975" s="8"/>
    </row>
    <row r="976" ht="15.75" customHeight="1">
      <c r="A976" s="8"/>
      <c r="B976" s="8"/>
      <c r="C976" s="8"/>
    </row>
    <row r="977" ht="15.75" customHeight="1">
      <c r="A977" s="8"/>
      <c r="B977" s="8"/>
      <c r="C977" s="8"/>
    </row>
    <row r="978" ht="15.75" customHeight="1">
      <c r="A978" s="8"/>
      <c r="B978" s="8"/>
      <c r="C978" s="8"/>
    </row>
    <row r="979" ht="15.75" customHeight="1">
      <c r="A979" s="8"/>
      <c r="B979" s="8"/>
      <c r="C979" s="8"/>
    </row>
    <row r="980" ht="15.75" customHeight="1">
      <c r="A980" s="8"/>
      <c r="B980" s="8"/>
      <c r="C980" s="8"/>
    </row>
    <row r="981" ht="15.75" customHeight="1">
      <c r="A981" s="8"/>
      <c r="B981" s="8"/>
      <c r="C981" s="8"/>
    </row>
    <row r="982" ht="15.75" customHeight="1">
      <c r="A982" s="8"/>
      <c r="B982" s="8"/>
      <c r="C982" s="8"/>
    </row>
    <row r="983" ht="15.75" customHeight="1">
      <c r="A983" s="8"/>
      <c r="B983" s="8"/>
      <c r="C983" s="8"/>
    </row>
    <row r="984" ht="15.75" customHeight="1">
      <c r="A984" s="8"/>
      <c r="B984" s="8"/>
      <c r="C984" s="8"/>
    </row>
    <row r="985" ht="15.75" customHeight="1">
      <c r="A985" s="8"/>
      <c r="B985" s="8"/>
      <c r="C985" s="8"/>
    </row>
    <row r="986" ht="15.75" customHeight="1">
      <c r="A986" s="8"/>
      <c r="B986" s="8"/>
      <c r="C986" s="8"/>
    </row>
    <row r="987" ht="15.75" customHeight="1">
      <c r="A987" s="8"/>
      <c r="B987" s="8"/>
      <c r="C987" s="8"/>
    </row>
    <row r="988" ht="15.75" customHeight="1">
      <c r="A988" s="8"/>
      <c r="B988" s="8"/>
      <c r="C988" s="8"/>
    </row>
    <row r="989" ht="15.75" customHeight="1">
      <c r="A989" s="8"/>
      <c r="B989" s="8"/>
      <c r="C989" s="8"/>
    </row>
    <row r="990" ht="15.75" customHeight="1">
      <c r="A990" s="8"/>
      <c r="B990" s="8"/>
      <c r="C990" s="8"/>
    </row>
    <row r="991" ht="15.75" customHeight="1">
      <c r="A991" s="8"/>
      <c r="B991" s="8"/>
      <c r="C991" s="8"/>
    </row>
    <row r="992" ht="15.75" customHeight="1">
      <c r="A992" s="8"/>
      <c r="B992" s="8"/>
      <c r="C992" s="8"/>
    </row>
    <row r="993" ht="15.75" customHeight="1">
      <c r="A993" s="8"/>
      <c r="B993" s="8"/>
      <c r="C993" s="8"/>
    </row>
    <row r="994" ht="15.75" customHeight="1">
      <c r="A994" s="8"/>
      <c r="B994" s="8"/>
      <c r="C994" s="8"/>
    </row>
    <row r="995" ht="15.75" customHeight="1">
      <c r="A995" s="8"/>
      <c r="B995" s="8"/>
      <c r="C995" s="8"/>
    </row>
    <row r="996" ht="15.75" customHeight="1">
      <c r="A996" s="8"/>
      <c r="B996" s="8"/>
      <c r="C996" s="8"/>
    </row>
    <row r="997" ht="15.75" customHeight="1">
      <c r="A997" s="8"/>
      <c r="B997" s="8"/>
      <c r="C997" s="8"/>
    </row>
    <row r="998" ht="15.75" customHeight="1">
      <c r="A998" s="8"/>
      <c r="B998" s="8"/>
      <c r="C998" s="8"/>
    </row>
    <row r="999" ht="15.75" customHeight="1">
      <c r="A999" s="8"/>
      <c r="B999" s="8"/>
      <c r="C999" s="8"/>
    </row>
    <row r="1000" ht="15.75" customHeight="1">
      <c r="A1000" s="8"/>
      <c r="B1000" s="8"/>
      <c r="C1000" s="8"/>
    </row>
  </sheetData>
  <mergeCells count="2">
    <mergeCell ref="A1:C1"/>
    <mergeCell ref="A22:C2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52.0"/>
    <col customWidth="1" min="3" max="3" width="14.0"/>
    <col customWidth="1" min="4" max="4" width="8.0"/>
    <col customWidth="1" min="5" max="5" width="13.0"/>
    <col customWidth="1" min="6" max="6" width="45.0"/>
    <col customWidth="1" min="7" max="7" width="40.0"/>
    <col customWidth="1" min="8" max="26" width="8.71"/>
  </cols>
  <sheetData>
    <row r="1" ht="30.0" customHeight="1">
      <c r="A1" s="124" t="s">
        <v>569</v>
      </c>
      <c r="B1" s="125"/>
      <c r="C1" s="125"/>
      <c r="D1" s="125"/>
      <c r="E1" s="125"/>
      <c r="F1" s="125"/>
      <c r="G1" s="126"/>
    </row>
    <row r="2" ht="15.75" customHeight="1">
      <c r="A2" s="127" t="s">
        <v>570</v>
      </c>
      <c r="B2" s="10"/>
      <c r="C2" s="10"/>
      <c r="D2" s="10"/>
      <c r="E2" s="10"/>
      <c r="F2" s="10"/>
      <c r="G2" s="11"/>
    </row>
    <row r="3" ht="9.75" customHeight="1">
      <c r="A3" s="128"/>
      <c r="B3" s="121"/>
      <c r="C3" s="121"/>
      <c r="D3" s="121"/>
      <c r="E3" s="121"/>
      <c r="F3" s="121"/>
      <c r="G3" s="122"/>
    </row>
    <row r="4" ht="25.5" customHeight="1">
      <c r="A4" s="129" t="s">
        <v>571</v>
      </c>
      <c r="B4" s="125"/>
      <c r="C4" s="125"/>
      <c r="D4" s="125"/>
      <c r="E4" s="125"/>
      <c r="F4" s="125"/>
      <c r="G4" s="126"/>
    </row>
    <row r="5" ht="18.0" customHeight="1">
      <c r="A5" s="130" t="s">
        <v>572</v>
      </c>
      <c r="B5" s="10"/>
      <c r="C5" s="10"/>
      <c r="D5" s="10"/>
      <c r="E5" s="10"/>
      <c r="F5" s="10"/>
      <c r="G5" s="11"/>
    </row>
    <row r="6" ht="15.75" customHeight="1">
      <c r="A6" s="59" t="s">
        <v>463</v>
      </c>
      <c r="B6" s="59" t="s">
        <v>573</v>
      </c>
      <c r="C6" s="59" t="s">
        <v>423</v>
      </c>
      <c r="D6" s="59" t="s">
        <v>574</v>
      </c>
      <c r="E6" s="59" t="s">
        <v>75</v>
      </c>
      <c r="F6" s="59" t="s">
        <v>575</v>
      </c>
      <c r="G6" s="59" t="s">
        <v>576</v>
      </c>
    </row>
    <row r="7" ht="18.0" customHeight="1">
      <c r="A7" s="131" t="s">
        <v>577</v>
      </c>
      <c r="B7" s="10"/>
      <c r="C7" s="10"/>
      <c r="D7" s="10"/>
      <c r="E7" s="10"/>
      <c r="F7" s="10"/>
      <c r="G7" s="11"/>
    </row>
    <row r="8" ht="42.0" customHeight="1">
      <c r="A8" s="132" t="s">
        <v>578</v>
      </c>
      <c r="B8" s="133" t="s">
        <v>579</v>
      </c>
      <c r="C8" s="134" t="s">
        <v>84</v>
      </c>
      <c r="D8" s="132">
        <v>2.0</v>
      </c>
      <c r="E8" s="135" t="s">
        <v>85</v>
      </c>
      <c r="F8" s="133" t="s">
        <v>580</v>
      </c>
      <c r="G8" s="133"/>
    </row>
    <row r="9" ht="42.0" customHeight="1">
      <c r="A9" s="132" t="s">
        <v>578</v>
      </c>
      <c r="B9" s="133" t="s">
        <v>581</v>
      </c>
      <c r="C9" s="134" t="s">
        <v>91</v>
      </c>
      <c r="D9" s="132">
        <v>2.0</v>
      </c>
      <c r="E9" s="135" t="s">
        <v>85</v>
      </c>
      <c r="F9" s="133" t="s">
        <v>582</v>
      </c>
      <c r="G9" s="133"/>
    </row>
    <row r="10" ht="42.0" customHeight="1">
      <c r="A10" s="132" t="s">
        <v>578</v>
      </c>
      <c r="B10" s="133" t="s">
        <v>583</v>
      </c>
      <c r="C10" s="134" t="s">
        <v>96</v>
      </c>
      <c r="D10" s="132">
        <v>2.0</v>
      </c>
      <c r="E10" s="135" t="s">
        <v>85</v>
      </c>
      <c r="F10" s="133" t="s">
        <v>584</v>
      </c>
      <c r="G10" s="133"/>
    </row>
    <row r="11" ht="42.0" customHeight="1">
      <c r="A11" s="132" t="s">
        <v>578</v>
      </c>
      <c r="B11" s="133" t="s">
        <v>585</v>
      </c>
      <c r="C11" s="134" t="s">
        <v>91</v>
      </c>
      <c r="D11" s="132">
        <v>2.0</v>
      </c>
      <c r="E11" s="135" t="s">
        <v>85</v>
      </c>
      <c r="F11" s="133" t="s">
        <v>586</v>
      </c>
      <c r="G11" s="133"/>
    </row>
    <row r="12" ht="42.0" customHeight="1">
      <c r="A12" s="132" t="s">
        <v>578</v>
      </c>
      <c r="B12" s="133" t="s">
        <v>587</v>
      </c>
      <c r="C12" s="134" t="s">
        <v>91</v>
      </c>
      <c r="D12" s="132">
        <v>2.0</v>
      </c>
      <c r="E12" s="135" t="s">
        <v>85</v>
      </c>
      <c r="F12" s="133" t="s">
        <v>588</v>
      </c>
      <c r="G12" s="133"/>
    </row>
    <row r="13" ht="42.0" customHeight="1">
      <c r="A13" s="132" t="s">
        <v>578</v>
      </c>
      <c r="B13" s="133" t="s">
        <v>589</v>
      </c>
      <c r="C13" s="134" t="s">
        <v>91</v>
      </c>
      <c r="D13" s="132">
        <v>2.0</v>
      </c>
      <c r="E13" s="135" t="s">
        <v>85</v>
      </c>
      <c r="F13" s="133" t="s">
        <v>590</v>
      </c>
      <c r="G13" s="133"/>
    </row>
    <row r="14" ht="42.0" customHeight="1">
      <c r="A14" s="132" t="s">
        <v>578</v>
      </c>
      <c r="B14" s="133" t="s">
        <v>591</v>
      </c>
      <c r="C14" s="134" t="s">
        <v>91</v>
      </c>
      <c r="D14" s="132">
        <v>2.0</v>
      </c>
      <c r="E14" s="135" t="s">
        <v>85</v>
      </c>
      <c r="F14" s="133" t="s">
        <v>592</v>
      </c>
      <c r="G14" s="133"/>
    </row>
    <row r="15" ht="42.0" customHeight="1">
      <c r="A15" s="132" t="s">
        <v>578</v>
      </c>
      <c r="B15" s="133" t="s">
        <v>593</v>
      </c>
      <c r="C15" s="134" t="s">
        <v>84</v>
      </c>
      <c r="D15" s="132">
        <v>2.0</v>
      </c>
      <c r="E15" s="135" t="s">
        <v>85</v>
      </c>
      <c r="F15" s="133" t="s">
        <v>594</v>
      </c>
      <c r="G15" s="133"/>
    </row>
    <row r="16" ht="42.0" customHeight="1">
      <c r="A16" s="132" t="s">
        <v>578</v>
      </c>
      <c r="B16" s="133" t="s">
        <v>595</v>
      </c>
      <c r="C16" s="134" t="s">
        <v>91</v>
      </c>
      <c r="D16" s="132">
        <v>2.0</v>
      </c>
      <c r="E16" s="135" t="s">
        <v>85</v>
      </c>
      <c r="F16" s="133" t="s">
        <v>596</v>
      </c>
      <c r="G16" s="133"/>
    </row>
    <row r="17" ht="42.0" customHeight="1">
      <c r="A17" s="132" t="s">
        <v>578</v>
      </c>
      <c r="B17" s="133" t="s">
        <v>597</v>
      </c>
      <c r="C17" s="134" t="s">
        <v>84</v>
      </c>
      <c r="D17" s="132">
        <v>2.0</v>
      </c>
      <c r="E17" s="135" t="s">
        <v>85</v>
      </c>
      <c r="F17" s="133" t="s">
        <v>598</v>
      </c>
      <c r="G17" s="133"/>
    </row>
    <row r="18" ht="42.0" customHeight="1">
      <c r="A18" s="132" t="s">
        <v>578</v>
      </c>
      <c r="B18" s="133" t="s">
        <v>599</v>
      </c>
      <c r="C18" s="134" t="s">
        <v>96</v>
      </c>
      <c r="D18" s="132">
        <v>2.0</v>
      </c>
      <c r="E18" s="135" t="s">
        <v>85</v>
      </c>
      <c r="F18" s="133" t="s">
        <v>600</v>
      </c>
      <c r="G18" s="133"/>
    </row>
    <row r="19" ht="42.0" customHeight="1">
      <c r="A19" s="132" t="s">
        <v>578</v>
      </c>
      <c r="B19" s="133" t="s">
        <v>601</v>
      </c>
      <c r="C19" s="134" t="s">
        <v>96</v>
      </c>
      <c r="D19" s="132">
        <v>2.0</v>
      </c>
      <c r="E19" s="135" t="s">
        <v>85</v>
      </c>
      <c r="F19" s="133" t="s">
        <v>602</v>
      </c>
      <c r="G19" s="133"/>
    </row>
    <row r="20" ht="42.0" customHeight="1">
      <c r="A20" s="132" t="s">
        <v>578</v>
      </c>
      <c r="B20" s="133" t="s">
        <v>603</v>
      </c>
      <c r="C20" s="134" t="s">
        <v>96</v>
      </c>
      <c r="D20" s="132">
        <v>2.0</v>
      </c>
      <c r="E20" s="135" t="s">
        <v>85</v>
      </c>
      <c r="F20" s="133" t="s">
        <v>604</v>
      </c>
      <c r="G20" s="133"/>
    </row>
    <row r="21" ht="42.0" customHeight="1">
      <c r="A21" s="132" t="s">
        <v>578</v>
      </c>
      <c r="B21" s="133" t="s">
        <v>605</v>
      </c>
      <c r="C21" s="134" t="s">
        <v>412</v>
      </c>
      <c r="D21" s="132">
        <v>2.0</v>
      </c>
      <c r="E21" s="136" t="s">
        <v>125</v>
      </c>
      <c r="F21" s="133" t="s">
        <v>606</v>
      </c>
      <c r="G21" s="133"/>
    </row>
    <row r="22" ht="18.0" customHeight="1">
      <c r="A22" s="137" t="s">
        <v>607</v>
      </c>
      <c r="B22" s="10"/>
      <c r="C22" s="10"/>
      <c r="D22" s="10"/>
      <c r="E22" s="10"/>
      <c r="F22" s="10"/>
      <c r="G22" s="11"/>
    </row>
    <row r="23" ht="42.0" customHeight="1">
      <c r="A23" s="138" t="s">
        <v>608</v>
      </c>
      <c r="B23" s="139" t="s">
        <v>609</v>
      </c>
      <c r="C23" s="140" t="s">
        <v>610</v>
      </c>
      <c r="D23" s="138">
        <v>1.0</v>
      </c>
      <c r="E23" s="141" t="s">
        <v>131</v>
      </c>
      <c r="F23" s="139" t="s">
        <v>611</v>
      </c>
      <c r="G23" s="139" t="s">
        <v>612</v>
      </c>
    </row>
    <row r="24" ht="42.0" customHeight="1">
      <c r="A24" s="138" t="s">
        <v>608</v>
      </c>
      <c r="B24" s="139" t="s">
        <v>613</v>
      </c>
      <c r="C24" s="140" t="s">
        <v>614</v>
      </c>
      <c r="D24" s="138">
        <v>1.0</v>
      </c>
      <c r="E24" s="141" t="s">
        <v>131</v>
      </c>
      <c r="F24" s="139" t="s">
        <v>615</v>
      </c>
      <c r="G24" s="139" t="s">
        <v>616</v>
      </c>
    </row>
    <row r="25" ht="42.0" customHeight="1">
      <c r="A25" s="138" t="s">
        <v>608</v>
      </c>
      <c r="B25" s="139" t="s">
        <v>617</v>
      </c>
      <c r="C25" s="140" t="s">
        <v>618</v>
      </c>
      <c r="D25" s="138">
        <v>1.0</v>
      </c>
      <c r="E25" s="141" t="s">
        <v>131</v>
      </c>
      <c r="F25" s="139" t="s">
        <v>619</v>
      </c>
      <c r="G25" s="139" t="s">
        <v>620</v>
      </c>
    </row>
    <row r="26" ht="42.0" customHeight="1">
      <c r="A26" s="138" t="s">
        <v>608</v>
      </c>
      <c r="B26" s="139" t="s">
        <v>621</v>
      </c>
      <c r="C26" s="140" t="s">
        <v>618</v>
      </c>
      <c r="D26" s="138">
        <v>1.0</v>
      </c>
      <c r="E26" s="141" t="s">
        <v>131</v>
      </c>
      <c r="F26" s="139" t="s">
        <v>622</v>
      </c>
      <c r="G26" s="139" t="s">
        <v>623</v>
      </c>
    </row>
    <row r="27" ht="42.0" customHeight="1">
      <c r="A27" s="138" t="s">
        <v>608</v>
      </c>
      <c r="B27" s="139" t="s">
        <v>624</v>
      </c>
      <c r="C27" s="140" t="s">
        <v>429</v>
      </c>
      <c r="D27" s="138">
        <v>1.0</v>
      </c>
      <c r="E27" s="141" t="s">
        <v>131</v>
      </c>
      <c r="F27" s="139" t="s">
        <v>625</v>
      </c>
      <c r="G27" s="139" t="s">
        <v>626</v>
      </c>
    </row>
    <row r="28" ht="18.0" customHeight="1">
      <c r="A28" s="142" t="s">
        <v>627</v>
      </c>
      <c r="B28" s="10"/>
      <c r="C28" s="10"/>
      <c r="D28" s="10"/>
      <c r="E28" s="10"/>
      <c r="F28" s="10"/>
      <c r="G28" s="11"/>
    </row>
    <row r="29" ht="42.0" customHeight="1">
      <c r="A29" s="143" t="s">
        <v>628</v>
      </c>
      <c r="B29" s="144" t="s">
        <v>629</v>
      </c>
      <c r="C29" s="145" t="s">
        <v>412</v>
      </c>
      <c r="D29" s="143">
        <v>1.0</v>
      </c>
      <c r="E29" s="141" t="s">
        <v>131</v>
      </c>
      <c r="F29" s="144" t="s">
        <v>630</v>
      </c>
      <c r="G29" s="144" t="s">
        <v>631</v>
      </c>
    </row>
    <row r="30" ht="42.0" customHeight="1">
      <c r="A30" s="143" t="s">
        <v>628</v>
      </c>
      <c r="B30" s="144" t="s">
        <v>632</v>
      </c>
      <c r="C30" s="145" t="s">
        <v>91</v>
      </c>
      <c r="D30" s="143">
        <v>1.0</v>
      </c>
      <c r="E30" s="141" t="s">
        <v>131</v>
      </c>
      <c r="F30" s="144" t="s">
        <v>633</v>
      </c>
      <c r="G30" s="144" t="s">
        <v>634</v>
      </c>
    </row>
    <row r="31" ht="42.0" customHeight="1">
      <c r="A31" s="143" t="s">
        <v>628</v>
      </c>
      <c r="B31" s="144" t="s">
        <v>635</v>
      </c>
      <c r="C31" s="145" t="s">
        <v>91</v>
      </c>
      <c r="D31" s="143">
        <v>1.0</v>
      </c>
      <c r="E31" s="141" t="s">
        <v>131</v>
      </c>
      <c r="F31" s="144" t="s">
        <v>636</v>
      </c>
      <c r="G31" s="144" t="s">
        <v>637</v>
      </c>
    </row>
    <row r="32" ht="42.0" customHeight="1">
      <c r="A32" s="143" t="s">
        <v>628</v>
      </c>
      <c r="B32" s="144" t="s">
        <v>638</v>
      </c>
      <c r="C32" s="145" t="s">
        <v>96</v>
      </c>
      <c r="D32" s="143">
        <v>1.0</v>
      </c>
      <c r="E32" s="141" t="s">
        <v>131</v>
      </c>
      <c r="F32" s="144" t="s">
        <v>639</v>
      </c>
      <c r="G32" s="144" t="s">
        <v>640</v>
      </c>
    </row>
    <row r="33" ht="18.0" customHeight="1">
      <c r="A33" s="146" t="s">
        <v>641</v>
      </c>
      <c r="B33" s="10"/>
      <c r="C33" s="10"/>
      <c r="D33" s="10"/>
      <c r="E33" s="10"/>
      <c r="F33" s="10"/>
      <c r="G33" s="11"/>
    </row>
    <row r="34" ht="21.75" customHeight="1">
      <c r="A34" s="147" t="s">
        <v>642</v>
      </c>
      <c r="B34" s="10"/>
      <c r="C34" s="10"/>
      <c r="D34" s="10"/>
      <c r="E34" s="10"/>
      <c r="F34" s="10"/>
      <c r="G34" s="11"/>
    </row>
    <row r="35" ht="21.75" customHeight="1">
      <c r="A35" s="147" t="s">
        <v>643</v>
      </c>
      <c r="B35" s="10"/>
      <c r="C35" s="10"/>
      <c r="D35" s="10"/>
      <c r="E35" s="10"/>
      <c r="F35" s="10"/>
      <c r="G35" s="11"/>
    </row>
    <row r="36" ht="21.75" customHeight="1">
      <c r="A36" s="147" t="s">
        <v>644</v>
      </c>
      <c r="B36" s="10"/>
      <c r="C36" s="10"/>
      <c r="D36" s="10"/>
      <c r="E36" s="10"/>
      <c r="F36" s="10"/>
      <c r="G36" s="11"/>
    </row>
    <row r="37" ht="21.75" customHeight="1">
      <c r="A37" s="147" t="s">
        <v>645</v>
      </c>
      <c r="B37" s="10"/>
      <c r="C37" s="10"/>
      <c r="D37" s="10"/>
      <c r="E37" s="10"/>
      <c r="F37" s="10"/>
      <c r="G37" s="11"/>
    </row>
    <row r="38" ht="18.0" customHeight="1">
      <c r="A38" s="148" t="s">
        <v>646</v>
      </c>
      <c r="B38" s="10"/>
      <c r="C38" s="10"/>
      <c r="D38" s="10"/>
      <c r="E38" s="10"/>
      <c r="F38" s="10"/>
      <c r="G38" s="11"/>
    </row>
    <row r="39" ht="21.75" customHeight="1">
      <c r="A39" s="149" t="s">
        <v>647</v>
      </c>
      <c r="B39" s="10"/>
      <c r="C39" s="10"/>
      <c r="D39" s="10"/>
      <c r="E39" s="10"/>
      <c r="F39" s="10"/>
      <c r="G39" s="11"/>
    </row>
    <row r="40" ht="21.75" customHeight="1">
      <c r="A40" s="149" t="s">
        <v>648</v>
      </c>
      <c r="B40" s="10"/>
      <c r="C40" s="10"/>
      <c r="D40" s="10"/>
      <c r="E40" s="10"/>
      <c r="F40" s="10"/>
      <c r="G40" s="11"/>
    </row>
    <row r="41" ht="21.75" customHeight="1">
      <c r="A41" s="149" t="s">
        <v>649</v>
      </c>
      <c r="B41" s="10"/>
      <c r="C41" s="10"/>
      <c r="D41" s="10"/>
      <c r="E41" s="10"/>
      <c r="F41" s="10"/>
      <c r="G41" s="11"/>
    </row>
    <row r="42" ht="21.75" customHeight="1">
      <c r="A42" s="149" t="s">
        <v>650</v>
      </c>
      <c r="B42" s="10"/>
      <c r="C42" s="10"/>
      <c r="D42" s="10"/>
      <c r="E42" s="10"/>
      <c r="F42" s="10"/>
      <c r="G42" s="11"/>
    </row>
    <row r="43" ht="21.75" customHeight="1">
      <c r="A43" s="149" t="s">
        <v>651</v>
      </c>
      <c r="B43" s="10"/>
      <c r="C43" s="10"/>
      <c r="D43" s="10"/>
      <c r="E43" s="10"/>
      <c r="F43" s="10"/>
      <c r="G43" s="11"/>
    </row>
    <row r="44" ht="21.75" customHeight="1">
      <c r="A44" s="150" t="s">
        <v>652</v>
      </c>
      <c r="B44" s="10"/>
      <c r="C44" s="11"/>
      <c r="D44" s="151">
        <f>IFERROR((SUMPRODUCT((E8:E43="Done")*(D8:D43))+SUMPRODUCT((E8:E43="In Progress")*(D8:D43)*0.5))/SUMPRODUCT((D8:D43&gt;0)*(D8:D43)),0)</f>
        <v>0.7297297297</v>
      </c>
      <c r="E44" s="152" t="s">
        <v>653</v>
      </c>
      <c r="F44" s="10"/>
      <c r="G44" s="11"/>
    </row>
    <row r="45" ht="9.75" customHeight="1">
      <c r="A45" s="128"/>
      <c r="B45" s="121"/>
      <c r="C45" s="121"/>
      <c r="D45" s="121"/>
      <c r="E45" s="121"/>
      <c r="F45" s="121"/>
      <c r="G45" s="122"/>
    </row>
    <row r="46" ht="9.75" customHeight="1">
      <c r="A46" s="128"/>
      <c r="B46" s="121"/>
      <c r="C46" s="121"/>
      <c r="D46" s="121"/>
      <c r="E46" s="121"/>
      <c r="F46" s="121"/>
      <c r="G46" s="122"/>
    </row>
    <row r="47" ht="25.5" customHeight="1">
      <c r="A47" s="129" t="s">
        <v>654</v>
      </c>
      <c r="B47" s="125"/>
      <c r="C47" s="125"/>
      <c r="D47" s="125"/>
      <c r="E47" s="125"/>
      <c r="F47" s="125"/>
      <c r="G47" s="126"/>
    </row>
    <row r="48" ht="18.0" customHeight="1">
      <c r="A48" s="130" t="s">
        <v>655</v>
      </c>
      <c r="B48" s="10"/>
      <c r="C48" s="10"/>
      <c r="D48" s="10"/>
      <c r="E48" s="10"/>
      <c r="F48" s="10"/>
      <c r="G48" s="11"/>
    </row>
    <row r="49" ht="15.75" customHeight="1">
      <c r="A49" s="59" t="s">
        <v>463</v>
      </c>
      <c r="B49" s="59" t="s">
        <v>573</v>
      </c>
      <c r="C49" s="59" t="s">
        <v>423</v>
      </c>
      <c r="D49" s="59" t="s">
        <v>574</v>
      </c>
      <c r="E49" s="59" t="s">
        <v>75</v>
      </c>
      <c r="F49" s="59" t="s">
        <v>575</v>
      </c>
      <c r="G49" s="59" t="s">
        <v>576</v>
      </c>
    </row>
    <row r="50" ht="18.0" customHeight="1">
      <c r="A50" s="131" t="s">
        <v>656</v>
      </c>
      <c r="B50" s="10"/>
      <c r="C50" s="10"/>
      <c r="D50" s="10"/>
      <c r="E50" s="10"/>
      <c r="F50" s="10"/>
      <c r="G50" s="11"/>
    </row>
    <row r="51" ht="42.0" customHeight="1">
      <c r="A51" s="132" t="s">
        <v>578</v>
      </c>
      <c r="B51" s="133" t="s">
        <v>657</v>
      </c>
      <c r="C51" s="134" t="s">
        <v>91</v>
      </c>
      <c r="D51" s="132">
        <v>2.0</v>
      </c>
      <c r="E51" s="153" t="s">
        <v>85</v>
      </c>
      <c r="F51" s="133" t="s">
        <v>658</v>
      </c>
      <c r="G51" s="133" t="s">
        <v>659</v>
      </c>
    </row>
    <row r="52" ht="42.0" customHeight="1">
      <c r="A52" s="99" t="s">
        <v>578</v>
      </c>
      <c r="B52" s="22" t="s">
        <v>660</v>
      </c>
      <c r="C52" s="135" t="s">
        <v>91</v>
      </c>
      <c r="D52" s="99">
        <v>2.0</v>
      </c>
      <c r="E52" s="21" t="s">
        <v>85</v>
      </c>
      <c r="F52" s="133" t="s">
        <v>661</v>
      </c>
      <c r="G52" s="22" t="s">
        <v>662</v>
      </c>
    </row>
    <row r="53" ht="42.0" customHeight="1">
      <c r="A53" s="99" t="s">
        <v>578</v>
      </c>
      <c r="B53" s="22" t="s">
        <v>663</v>
      </c>
      <c r="C53" s="135" t="s">
        <v>91</v>
      </c>
      <c r="D53" s="99">
        <v>2.0</v>
      </c>
      <c r="E53" s="21" t="s">
        <v>85</v>
      </c>
      <c r="F53" s="133" t="s">
        <v>664</v>
      </c>
      <c r="G53" s="22" t="s">
        <v>665</v>
      </c>
    </row>
    <row r="54" ht="42.0" customHeight="1">
      <c r="A54" s="99" t="s">
        <v>578</v>
      </c>
      <c r="B54" s="22" t="s">
        <v>666</v>
      </c>
      <c r="C54" s="135" t="s">
        <v>91</v>
      </c>
      <c r="D54" s="99">
        <v>2.0</v>
      </c>
      <c r="E54" s="21" t="s">
        <v>85</v>
      </c>
      <c r="F54" s="154" t="s">
        <v>667</v>
      </c>
      <c r="G54" s="22" t="s">
        <v>668</v>
      </c>
    </row>
    <row r="55" ht="42.0" customHeight="1">
      <c r="A55" s="132" t="s">
        <v>578</v>
      </c>
      <c r="B55" s="133" t="s">
        <v>669</v>
      </c>
      <c r="C55" s="134" t="s">
        <v>91</v>
      </c>
      <c r="D55" s="132">
        <v>2.0</v>
      </c>
      <c r="E55" s="141" t="s">
        <v>131</v>
      </c>
      <c r="F55" s="133" t="s">
        <v>670</v>
      </c>
      <c r="G55" s="133" t="s">
        <v>671</v>
      </c>
    </row>
    <row r="56" ht="42.0" customHeight="1">
      <c r="A56" s="132" t="s">
        <v>578</v>
      </c>
      <c r="B56" s="133" t="s">
        <v>672</v>
      </c>
      <c r="C56" s="134" t="s">
        <v>91</v>
      </c>
      <c r="D56" s="132">
        <v>2.0</v>
      </c>
      <c r="E56" s="141" t="s">
        <v>131</v>
      </c>
      <c r="F56" s="133" t="s">
        <v>673</v>
      </c>
      <c r="G56" s="133" t="s">
        <v>674</v>
      </c>
    </row>
    <row r="57" ht="42.0" customHeight="1">
      <c r="A57" s="132" t="s">
        <v>578</v>
      </c>
      <c r="B57" s="133" t="s">
        <v>675</v>
      </c>
      <c r="C57" s="134" t="s">
        <v>91</v>
      </c>
      <c r="D57" s="132">
        <v>2.0</v>
      </c>
      <c r="E57" s="141" t="s">
        <v>131</v>
      </c>
      <c r="F57" s="133" t="s">
        <v>676</v>
      </c>
      <c r="G57" s="133" t="s">
        <v>677</v>
      </c>
    </row>
    <row r="58" ht="42.0" customHeight="1">
      <c r="A58" s="132" t="s">
        <v>578</v>
      </c>
      <c r="B58" s="133" t="s">
        <v>678</v>
      </c>
      <c r="C58" s="134" t="s">
        <v>91</v>
      </c>
      <c r="D58" s="132">
        <v>2.0</v>
      </c>
      <c r="E58" s="141" t="s">
        <v>131</v>
      </c>
      <c r="F58" s="133" t="s">
        <v>679</v>
      </c>
      <c r="G58" s="133" t="s">
        <v>680</v>
      </c>
    </row>
    <row r="59" ht="42.0" customHeight="1">
      <c r="A59" s="132" t="s">
        <v>578</v>
      </c>
      <c r="B59" s="133" t="s">
        <v>681</v>
      </c>
      <c r="C59" s="134" t="s">
        <v>84</v>
      </c>
      <c r="D59" s="132">
        <v>2.0</v>
      </c>
      <c r="E59" s="141" t="s">
        <v>131</v>
      </c>
      <c r="F59" s="133" t="s">
        <v>682</v>
      </c>
      <c r="G59" s="133" t="s">
        <v>683</v>
      </c>
    </row>
    <row r="60" ht="42.0" customHeight="1">
      <c r="A60" s="132" t="s">
        <v>578</v>
      </c>
      <c r="B60" s="133" t="s">
        <v>684</v>
      </c>
      <c r="C60" s="134" t="s">
        <v>84</v>
      </c>
      <c r="D60" s="132">
        <v>2.0</v>
      </c>
      <c r="E60" s="141" t="s">
        <v>131</v>
      </c>
      <c r="F60" s="133" t="s">
        <v>685</v>
      </c>
      <c r="G60" s="133" t="s">
        <v>686</v>
      </c>
    </row>
    <row r="61" ht="42.0" customHeight="1">
      <c r="A61" s="132" t="s">
        <v>578</v>
      </c>
      <c r="B61" s="133" t="s">
        <v>687</v>
      </c>
      <c r="C61" s="134" t="s">
        <v>91</v>
      </c>
      <c r="D61" s="132">
        <v>2.0</v>
      </c>
      <c r="E61" s="141" t="s">
        <v>131</v>
      </c>
      <c r="F61" s="133" t="s">
        <v>688</v>
      </c>
      <c r="G61" s="133" t="s">
        <v>689</v>
      </c>
    </row>
    <row r="62" ht="42.0" customHeight="1">
      <c r="A62" s="132" t="s">
        <v>578</v>
      </c>
      <c r="B62" s="133" t="s">
        <v>690</v>
      </c>
      <c r="C62" s="134" t="s">
        <v>84</v>
      </c>
      <c r="D62" s="132">
        <v>2.0</v>
      </c>
      <c r="E62" s="141" t="s">
        <v>131</v>
      </c>
      <c r="F62" s="133" t="s">
        <v>691</v>
      </c>
      <c r="G62" s="133" t="s">
        <v>692</v>
      </c>
    </row>
    <row r="63" ht="42.0" customHeight="1">
      <c r="A63" s="132" t="s">
        <v>578</v>
      </c>
      <c r="B63" s="133" t="s">
        <v>693</v>
      </c>
      <c r="C63" s="134" t="s">
        <v>96</v>
      </c>
      <c r="D63" s="132">
        <v>2.0</v>
      </c>
      <c r="E63" s="141" t="s">
        <v>131</v>
      </c>
      <c r="F63" s="133" t="s">
        <v>694</v>
      </c>
      <c r="G63" s="133" t="s">
        <v>695</v>
      </c>
    </row>
    <row r="64" ht="42.0" customHeight="1">
      <c r="A64" s="132" t="s">
        <v>578</v>
      </c>
      <c r="B64" s="133" t="s">
        <v>696</v>
      </c>
      <c r="C64" s="134" t="s">
        <v>96</v>
      </c>
      <c r="D64" s="132">
        <v>2.0</v>
      </c>
      <c r="E64" s="141" t="s">
        <v>131</v>
      </c>
      <c r="F64" s="133" t="s">
        <v>697</v>
      </c>
      <c r="G64" s="133" t="s">
        <v>698</v>
      </c>
    </row>
    <row r="65" ht="42.0" customHeight="1">
      <c r="A65" s="132" t="s">
        <v>578</v>
      </c>
      <c r="B65" s="133" t="s">
        <v>699</v>
      </c>
      <c r="C65" s="134" t="s">
        <v>84</v>
      </c>
      <c r="D65" s="132">
        <v>2.0</v>
      </c>
      <c r="E65" s="136" t="s">
        <v>125</v>
      </c>
      <c r="F65" s="133" t="s">
        <v>700</v>
      </c>
      <c r="G65" s="133" t="s">
        <v>701</v>
      </c>
    </row>
    <row r="66" ht="42.0" customHeight="1">
      <c r="A66" s="132" t="s">
        <v>578</v>
      </c>
      <c r="B66" s="133" t="s">
        <v>702</v>
      </c>
      <c r="C66" s="134" t="s">
        <v>84</v>
      </c>
      <c r="D66" s="132">
        <v>2.0</v>
      </c>
      <c r="E66" s="141" t="s">
        <v>131</v>
      </c>
      <c r="F66" s="133" t="s">
        <v>703</v>
      </c>
      <c r="G66" s="133" t="s">
        <v>704</v>
      </c>
    </row>
    <row r="67" ht="42.0" customHeight="1">
      <c r="A67" s="132" t="s">
        <v>578</v>
      </c>
      <c r="B67" s="133" t="s">
        <v>705</v>
      </c>
      <c r="C67" s="134" t="s">
        <v>96</v>
      </c>
      <c r="D67" s="132">
        <v>2.0</v>
      </c>
      <c r="E67" s="141" t="s">
        <v>131</v>
      </c>
      <c r="F67" s="133" t="s">
        <v>706</v>
      </c>
      <c r="G67" s="133" t="s">
        <v>707</v>
      </c>
    </row>
    <row r="68" ht="42.0" customHeight="1">
      <c r="A68" s="132" t="s">
        <v>578</v>
      </c>
      <c r="B68" s="133" t="s">
        <v>708</v>
      </c>
      <c r="C68" s="134" t="s">
        <v>412</v>
      </c>
      <c r="D68" s="132">
        <v>2.0</v>
      </c>
      <c r="E68" s="136" t="s">
        <v>125</v>
      </c>
      <c r="F68" s="133" t="s">
        <v>606</v>
      </c>
      <c r="G68" s="133" t="s">
        <v>709</v>
      </c>
    </row>
    <row r="69" ht="42.0" customHeight="1">
      <c r="A69" s="132" t="s">
        <v>578</v>
      </c>
      <c r="B69" s="133" t="s">
        <v>710</v>
      </c>
      <c r="C69" s="134" t="s">
        <v>412</v>
      </c>
      <c r="D69" s="132">
        <v>2.0</v>
      </c>
      <c r="E69" s="141" t="s">
        <v>131</v>
      </c>
      <c r="F69" s="133" t="s">
        <v>711</v>
      </c>
      <c r="G69" s="133" t="s">
        <v>712</v>
      </c>
    </row>
    <row r="70" ht="42.0" customHeight="1">
      <c r="A70" s="132" t="s">
        <v>578</v>
      </c>
      <c r="B70" s="133" t="s">
        <v>713</v>
      </c>
      <c r="C70" s="134" t="s">
        <v>96</v>
      </c>
      <c r="D70" s="132">
        <v>2.0</v>
      </c>
      <c r="E70" s="141" t="s">
        <v>131</v>
      </c>
      <c r="F70" s="133" t="s">
        <v>714</v>
      </c>
      <c r="G70" s="133" t="s">
        <v>715</v>
      </c>
    </row>
    <row r="71" ht="18.0" customHeight="1">
      <c r="A71" s="137" t="s">
        <v>716</v>
      </c>
      <c r="B71" s="10"/>
      <c r="C71" s="10"/>
      <c r="D71" s="10"/>
      <c r="E71" s="10"/>
      <c r="F71" s="10"/>
      <c r="G71" s="11"/>
    </row>
    <row r="72" ht="42.0" customHeight="1">
      <c r="A72" s="138" t="s">
        <v>608</v>
      </c>
      <c r="B72" s="139" t="s">
        <v>717</v>
      </c>
      <c r="C72" s="140" t="s">
        <v>610</v>
      </c>
      <c r="D72" s="138">
        <v>1.0</v>
      </c>
      <c r="E72" s="141" t="s">
        <v>131</v>
      </c>
      <c r="F72" s="139" t="s">
        <v>718</v>
      </c>
      <c r="G72" s="139" t="s">
        <v>719</v>
      </c>
    </row>
    <row r="73" ht="42.0" customHeight="1">
      <c r="A73" s="138" t="s">
        <v>608</v>
      </c>
      <c r="B73" s="139" t="s">
        <v>720</v>
      </c>
      <c r="C73" s="140" t="s">
        <v>429</v>
      </c>
      <c r="D73" s="138">
        <v>1.0</v>
      </c>
      <c r="E73" s="141" t="s">
        <v>131</v>
      </c>
      <c r="F73" s="139" t="s">
        <v>721</v>
      </c>
      <c r="G73" s="139" t="s">
        <v>722</v>
      </c>
    </row>
    <row r="74" ht="42.0" customHeight="1">
      <c r="A74" s="138" t="s">
        <v>608</v>
      </c>
      <c r="B74" s="139" t="s">
        <v>723</v>
      </c>
      <c r="C74" s="140" t="s">
        <v>724</v>
      </c>
      <c r="D74" s="138">
        <v>1.0</v>
      </c>
      <c r="E74" s="141" t="s">
        <v>131</v>
      </c>
      <c r="F74" s="139" t="s">
        <v>725</v>
      </c>
      <c r="G74" s="139" t="s">
        <v>726</v>
      </c>
    </row>
    <row r="75" ht="42.0" customHeight="1">
      <c r="A75" s="138" t="s">
        <v>608</v>
      </c>
      <c r="B75" s="139" t="s">
        <v>727</v>
      </c>
      <c r="C75" s="140" t="s">
        <v>618</v>
      </c>
      <c r="D75" s="138">
        <v>1.0</v>
      </c>
      <c r="E75" s="141" t="s">
        <v>131</v>
      </c>
      <c r="F75" s="139" t="s">
        <v>728</v>
      </c>
      <c r="G75" s="139" t="s">
        <v>729</v>
      </c>
    </row>
    <row r="76" ht="42.0" customHeight="1">
      <c r="A76" s="138" t="s">
        <v>608</v>
      </c>
      <c r="B76" s="139" t="s">
        <v>730</v>
      </c>
      <c r="C76" s="140" t="s">
        <v>429</v>
      </c>
      <c r="D76" s="138">
        <v>1.0</v>
      </c>
      <c r="E76" s="141" t="s">
        <v>131</v>
      </c>
      <c r="F76" s="139" t="s">
        <v>731</v>
      </c>
      <c r="G76" s="139" t="s">
        <v>732</v>
      </c>
    </row>
    <row r="77" ht="42.0" customHeight="1">
      <c r="A77" s="138" t="s">
        <v>608</v>
      </c>
      <c r="B77" s="139" t="s">
        <v>733</v>
      </c>
      <c r="C77" s="140" t="s">
        <v>429</v>
      </c>
      <c r="D77" s="138">
        <v>1.0</v>
      </c>
      <c r="E77" s="141" t="s">
        <v>131</v>
      </c>
      <c r="F77" s="139" t="s">
        <v>734</v>
      </c>
      <c r="G77" s="139" t="s">
        <v>735</v>
      </c>
    </row>
    <row r="78" ht="42.0" customHeight="1">
      <c r="A78" s="138" t="s">
        <v>608</v>
      </c>
      <c r="B78" s="139" t="s">
        <v>736</v>
      </c>
      <c r="C78" s="140" t="s">
        <v>429</v>
      </c>
      <c r="D78" s="138">
        <v>1.0</v>
      </c>
      <c r="E78" s="141" t="s">
        <v>131</v>
      </c>
      <c r="F78" s="139" t="s">
        <v>737</v>
      </c>
      <c r="G78" s="139" t="s">
        <v>738</v>
      </c>
    </row>
    <row r="79" ht="18.0" customHeight="1">
      <c r="A79" s="142" t="s">
        <v>739</v>
      </c>
      <c r="B79" s="10"/>
      <c r="C79" s="10"/>
      <c r="D79" s="10"/>
      <c r="E79" s="10"/>
      <c r="F79" s="10"/>
      <c r="G79" s="11"/>
    </row>
    <row r="80" ht="42.0" customHeight="1">
      <c r="A80" s="143" t="s">
        <v>628</v>
      </c>
      <c r="B80" s="144" t="s">
        <v>740</v>
      </c>
      <c r="C80" s="145" t="s">
        <v>91</v>
      </c>
      <c r="D80" s="143">
        <v>1.0</v>
      </c>
      <c r="E80" s="141" t="s">
        <v>131</v>
      </c>
      <c r="F80" s="144" t="s">
        <v>741</v>
      </c>
      <c r="G80" s="144" t="s">
        <v>742</v>
      </c>
    </row>
    <row r="81" ht="42.0" customHeight="1">
      <c r="A81" s="143" t="s">
        <v>628</v>
      </c>
      <c r="B81" s="144" t="s">
        <v>743</v>
      </c>
      <c r="C81" s="145" t="s">
        <v>96</v>
      </c>
      <c r="D81" s="143">
        <v>1.0</v>
      </c>
      <c r="E81" s="141" t="s">
        <v>131</v>
      </c>
      <c r="F81" s="144" t="s">
        <v>744</v>
      </c>
      <c r="G81" s="144" t="s">
        <v>745</v>
      </c>
    </row>
    <row r="82" ht="42.0" customHeight="1">
      <c r="A82" s="143" t="s">
        <v>628</v>
      </c>
      <c r="B82" s="144" t="s">
        <v>746</v>
      </c>
      <c r="C82" s="145" t="s">
        <v>91</v>
      </c>
      <c r="D82" s="143">
        <v>1.0</v>
      </c>
      <c r="E82" s="141" t="s">
        <v>131</v>
      </c>
      <c r="F82" s="144" t="s">
        <v>747</v>
      </c>
      <c r="G82" s="144" t="s">
        <v>748</v>
      </c>
    </row>
    <row r="83" ht="42.0" customHeight="1">
      <c r="A83" s="143" t="s">
        <v>628</v>
      </c>
      <c r="B83" s="144" t="s">
        <v>749</v>
      </c>
      <c r="C83" s="145" t="s">
        <v>96</v>
      </c>
      <c r="D83" s="143">
        <v>1.0</v>
      </c>
      <c r="E83" s="141" t="s">
        <v>131</v>
      </c>
      <c r="F83" s="144" t="s">
        <v>750</v>
      </c>
      <c r="G83" s="144" t="s">
        <v>751</v>
      </c>
    </row>
    <row r="84" ht="42.0" customHeight="1">
      <c r="A84" s="99" t="s">
        <v>628</v>
      </c>
      <c r="B84" s="22" t="s">
        <v>752</v>
      </c>
      <c r="C84" s="135" t="s">
        <v>753</v>
      </c>
      <c r="D84" s="99">
        <v>1.0</v>
      </c>
      <c r="E84" s="21" t="s">
        <v>85</v>
      </c>
      <c r="F84" s="154" t="s">
        <v>754</v>
      </c>
      <c r="G84" s="22" t="s">
        <v>755</v>
      </c>
    </row>
    <row r="85" ht="42.0" customHeight="1">
      <c r="A85" s="143" t="s">
        <v>628</v>
      </c>
      <c r="B85" s="144" t="s">
        <v>756</v>
      </c>
      <c r="C85" s="145" t="s">
        <v>412</v>
      </c>
      <c r="D85" s="143">
        <v>1.0</v>
      </c>
      <c r="E85" s="136" t="s">
        <v>125</v>
      </c>
      <c r="F85" s="144" t="s">
        <v>757</v>
      </c>
      <c r="G85" s="144" t="s">
        <v>758</v>
      </c>
    </row>
    <row r="86" ht="42.0" customHeight="1">
      <c r="A86" s="143" t="s">
        <v>628</v>
      </c>
      <c r="B86" s="144" t="s">
        <v>759</v>
      </c>
      <c r="C86" s="145" t="s">
        <v>91</v>
      </c>
      <c r="D86" s="143">
        <v>1.0</v>
      </c>
      <c r="E86" s="141" t="s">
        <v>131</v>
      </c>
      <c r="F86" s="144" t="s">
        <v>760</v>
      </c>
      <c r="G86" s="144" t="s">
        <v>761</v>
      </c>
    </row>
    <row r="87" ht="42.0" customHeight="1">
      <c r="A87" s="143" t="s">
        <v>628</v>
      </c>
      <c r="B87" s="144" t="s">
        <v>762</v>
      </c>
      <c r="C87" s="145" t="s">
        <v>91</v>
      </c>
      <c r="D87" s="143">
        <v>1.0</v>
      </c>
      <c r="E87" s="141" t="s">
        <v>131</v>
      </c>
      <c r="F87" s="144" t="s">
        <v>763</v>
      </c>
      <c r="G87" s="144" t="s">
        <v>764</v>
      </c>
    </row>
    <row r="88" ht="42.0" customHeight="1">
      <c r="A88" s="143" t="s">
        <v>628</v>
      </c>
      <c r="B88" s="144" t="s">
        <v>765</v>
      </c>
      <c r="C88" s="145" t="s">
        <v>91</v>
      </c>
      <c r="D88" s="143">
        <v>1.0</v>
      </c>
      <c r="E88" s="141" t="s">
        <v>131</v>
      </c>
      <c r="F88" s="144" t="s">
        <v>766</v>
      </c>
      <c r="G88" s="144" t="s">
        <v>767</v>
      </c>
    </row>
    <row r="89" ht="18.0" customHeight="1">
      <c r="A89" s="137" t="s">
        <v>768</v>
      </c>
      <c r="B89" s="10"/>
      <c r="C89" s="10"/>
      <c r="D89" s="10"/>
      <c r="E89" s="10"/>
      <c r="F89" s="10"/>
      <c r="G89" s="11"/>
    </row>
    <row r="90" ht="42.0" customHeight="1">
      <c r="A90" s="155" t="s">
        <v>769</v>
      </c>
      <c r="B90" s="156" t="s">
        <v>770</v>
      </c>
      <c r="C90" s="157" t="s">
        <v>412</v>
      </c>
      <c r="D90" s="155">
        <v>1.0</v>
      </c>
      <c r="E90" s="141" t="s">
        <v>131</v>
      </c>
      <c r="F90" s="156" t="s">
        <v>771</v>
      </c>
      <c r="G90" s="156" t="s">
        <v>772</v>
      </c>
    </row>
    <row r="91" ht="42.0" customHeight="1">
      <c r="A91" s="155" t="s">
        <v>769</v>
      </c>
      <c r="B91" s="156" t="s">
        <v>773</v>
      </c>
      <c r="C91" s="157" t="s">
        <v>91</v>
      </c>
      <c r="D91" s="155">
        <v>1.0</v>
      </c>
      <c r="E91" s="141" t="s">
        <v>131</v>
      </c>
      <c r="F91" s="156" t="s">
        <v>774</v>
      </c>
      <c r="G91" s="156" t="s">
        <v>775</v>
      </c>
    </row>
    <row r="92" ht="42.0" customHeight="1">
      <c r="A92" s="155" t="s">
        <v>769</v>
      </c>
      <c r="B92" s="156" t="s">
        <v>776</v>
      </c>
      <c r="C92" s="157" t="s">
        <v>84</v>
      </c>
      <c r="D92" s="155">
        <v>1.0</v>
      </c>
      <c r="E92" s="141" t="s">
        <v>131</v>
      </c>
      <c r="F92" s="156" t="s">
        <v>777</v>
      </c>
      <c r="G92" s="156" t="s">
        <v>778</v>
      </c>
    </row>
    <row r="93" ht="42.0" customHeight="1">
      <c r="A93" s="155" t="s">
        <v>769</v>
      </c>
      <c r="B93" s="156" t="s">
        <v>779</v>
      </c>
      <c r="C93" s="157" t="s">
        <v>96</v>
      </c>
      <c r="D93" s="155">
        <v>1.0</v>
      </c>
      <c r="E93" s="141" t="s">
        <v>131</v>
      </c>
      <c r="F93" s="156" t="s">
        <v>780</v>
      </c>
      <c r="G93" s="156" t="s">
        <v>781</v>
      </c>
    </row>
    <row r="94" ht="18.0" customHeight="1">
      <c r="A94" s="146" t="s">
        <v>782</v>
      </c>
      <c r="B94" s="10"/>
      <c r="C94" s="10"/>
      <c r="D94" s="10"/>
      <c r="E94" s="10"/>
      <c r="F94" s="10"/>
      <c r="G94" s="11"/>
    </row>
    <row r="95" ht="21.75" customHeight="1">
      <c r="A95" s="147" t="s">
        <v>783</v>
      </c>
      <c r="B95" s="10"/>
      <c r="C95" s="10"/>
      <c r="D95" s="10"/>
      <c r="E95" s="10"/>
      <c r="F95" s="10"/>
      <c r="G95" s="11"/>
    </row>
    <row r="96" ht="21.75" customHeight="1">
      <c r="A96" s="147" t="s">
        <v>784</v>
      </c>
      <c r="B96" s="10"/>
      <c r="C96" s="10"/>
      <c r="D96" s="10"/>
      <c r="E96" s="10"/>
      <c r="F96" s="10"/>
      <c r="G96" s="11"/>
    </row>
    <row r="97" ht="21.75" customHeight="1">
      <c r="A97" s="147" t="s">
        <v>785</v>
      </c>
      <c r="B97" s="10"/>
      <c r="C97" s="10"/>
      <c r="D97" s="10"/>
      <c r="E97" s="10"/>
      <c r="F97" s="10"/>
      <c r="G97" s="11"/>
    </row>
    <row r="98" ht="21.75" customHeight="1">
      <c r="A98" s="147" t="s">
        <v>786</v>
      </c>
      <c r="B98" s="10"/>
      <c r="C98" s="10"/>
      <c r="D98" s="10"/>
      <c r="E98" s="10"/>
      <c r="F98" s="10"/>
      <c r="G98" s="11"/>
    </row>
    <row r="99" ht="21.75" customHeight="1">
      <c r="A99" s="147" t="s">
        <v>787</v>
      </c>
      <c r="B99" s="10"/>
      <c r="C99" s="10"/>
      <c r="D99" s="10"/>
      <c r="E99" s="10"/>
      <c r="F99" s="10"/>
      <c r="G99" s="11"/>
    </row>
    <row r="100" ht="21.75" customHeight="1">
      <c r="A100" s="158" t="s">
        <v>788</v>
      </c>
      <c r="B100" s="10"/>
      <c r="C100" s="10"/>
      <c r="D100" s="10"/>
      <c r="E100" s="10"/>
      <c r="F100" s="10"/>
      <c r="G100" s="159"/>
    </row>
    <row r="101" ht="21.75" customHeight="1">
      <c r="A101" s="147" t="s">
        <v>789</v>
      </c>
      <c r="B101" s="10"/>
      <c r="C101" s="10"/>
      <c r="D101" s="10"/>
      <c r="E101" s="10"/>
      <c r="F101" s="10"/>
      <c r="G101" s="11"/>
    </row>
    <row r="102" ht="18.0" customHeight="1">
      <c r="A102" s="148" t="s">
        <v>790</v>
      </c>
      <c r="B102" s="10"/>
      <c r="C102" s="10"/>
      <c r="D102" s="10"/>
      <c r="E102" s="10"/>
      <c r="F102" s="10"/>
      <c r="G102" s="11"/>
    </row>
    <row r="103" ht="21.75" customHeight="1">
      <c r="A103" s="149" t="s">
        <v>791</v>
      </c>
      <c r="B103" s="10"/>
      <c r="C103" s="10"/>
      <c r="D103" s="10"/>
      <c r="E103" s="10"/>
      <c r="F103" s="10"/>
      <c r="G103" s="11"/>
    </row>
    <row r="104" ht="21.75" customHeight="1">
      <c r="A104" s="149" t="s">
        <v>792</v>
      </c>
      <c r="B104" s="10"/>
      <c r="C104" s="10"/>
      <c r="D104" s="10"/>
      <c r="E104" s="10"/>
      <c r="F104" s="10"/>
      <c r="G104" s="11"/>
    </row>
    <row r="105" ht="21.75" customHeight="1">
      <c r="A105" s="149" t="s">
        <v>793</v>
      </c>
      <c r="B105" s="10"/>
      <c r="C105" s="10"/>
      <c r="D105" s="10"/>
      <c r="E105" s="10"/>
      <c r="F105" s="10"/>
      <c r="G105" s="11"/>
    </row>
    <row r="106" ht="21.75" customHeight="1">
      <c r="A106" s="149" t="s">
        <v>794</v>
      </c>
      <c r="B106" s="10"/>
      <c r="C106" s="10"/>
      <c r="D106" s="10"/>
      <c r="E106" s="10"/>
      <c r="F106" s="10"/>
      <c r="G106" s="11"/>
    </row>
    <row r="107" ht="21.75" customHeight="1">
      <c r="A107" s="149" t="s">
        <v>795</v>
      </c>
      <c r="B107" s="10"/>
      <c r="C107" s="10"/>
      <c r="D107" s="10"/>
      <c r="E107" s="10"/>
      <c r="F107" s="10"/>
      <c r="G107" s="11"/>
    </row>
    <row r="108" ht="21.75" customHeight="1">
      <c r="A108" s="149" t="s">
        <v>796</v>
      </c>
      <c r="B108" s="10"/>
      <c r="C108" s="10"/>
      <c r="D108" s="10"/>
      <c r="E108" s="10"/>
      <c r="F108" s="10"/>
      <c r="G108" s="11"/>
    </row>
    <row r="109" ht="21.75" customHeight="1">
      <c r="A109" s="149" t="s">
        <v>797</v>
      </c>
      <c r="B109" s="10"/>
      <c r="C109" s="10"/>
      <c r="D109" s="10"/>
      <c r="E109" s="10"/>
      <c r="F109" s="10"/>
      <c r="G109" s="11"/>
    </row>
    <row r="110" ht="21.75" customHeight="1">
      <c r="A110" s="149" t="s">
        <v>798</v>
      </c>
      <c r="B110" s="10"/>
      <c r="C110" s="10"/>
      <c r="D110" s="10"/>
      <c r="E110" s="10"/>
      <c r="F110" s="10"/>
      <c r="G110" s="11"/>
    </row>
    <row r="111" ht="21.75" customHeight="1">
      <c r="A111" s="149" t="s">
        <v>799</v>
      </c>
      <c r="B111" s="10"/>
      <c r="C111" s="10"/>
      <c r="D111" s="10"/>
      <c r="E111" s="10"/>
      <c r="F111" s="10"/>
      <c r="G111" s="11"/>
    </row>
    <row r="112" ht="21.75" customHeight="1">
      <c r="A112" s="160" t="s">
        <v>800</v>
      </c>
      <c r="B112" s="10"/>
      <c r="C112" s="11"/>
      <c r="D112" s="161">
        <f>IFERROR((SUMPRODUCT((E51:E111="Done")*(D51:D111))+SUMPRODUCT((E51:E111="In Progress")*(D51:D111)*0.5))/SUMPRODUCT((D51:D111&gt;0)*(D51:D111)),0)</f>
        <v>0.1916666667</v>
      </c>
      <c r="E112" s="162" t="s">
        <v>653</v>
      </c>
      <c r="F112" s="10"/>
      <c r="G112" s="11"/>
    </row>
    <row r="113" ht="9.75" customHeight="1">
      <c r="A113" s="128"/>
      <c r="B113" s="121"/>
      <c r="C113" s="121"/>
      <c r="D113" s="121"/>
      <c r="E113" s="121"/>
      <c r="F113" s="121"/>
      <c r="G113" s="122"/>
    </row>
    <row r="114" ht="9.75" customHeight="1">
      <c r="A114" s="128"/>
      <c r="B114" s="121"/>
      <c r="C114" s="121"/>
      <c r="D114" s="121"/>
      <c r="E114" s="121"/>
      <c r="F114" s="121"/>
      <c r="G114" s="122"/>
    </row>
    <row r="115" ht="25.5" customHeight="1">
      <c r="A115" s="129" t="s">
        <v>801</v>
      </c>
      <c r="B115" s="125"/>
      <c r="C115" s="125"/>
      <c r="D115" s="125"/>
      <c r="E115" s="125"/>
      <c r="F115" s="125"/>
      <c r="G115" s="126"/>
    </row>
    <row r="116" ht="18.0" customHeight="1">
      <c r="A116" s="130" t="s">
        <v>802</v>
      </c>
      <c r="B116" s="10"/>
      <c r="C116" s="10"/>
      <c r="D116" s="10"/>
      <c r="E116" s="10"/>
      <c r="F116" s="10"/>
      <c r="G116" s="11"/>
    </row>
    <row r="117" ht="15.75" customHeight="1">
      <c r="A117" s="59" t="s">
        <v>463</v>
      </c>
      <c r="B117" s="59" t="s">
        <v>573</v>
      </c>
      <c r="C117" s="59" t="s">
        <v>423</v>
      </c>
      <c r="D117" s="59" t="s">
        <v>574</v>
      </c>
      <c r="E117" s="59" t="s">
        <v>75</v>
      </c>
      <c r="F117" s="59" t="s">
        <v>575</v>
      </c>
      <c r="G117" s="59" t="s">
        <v>576</v>
      </c>
    </row>
    <row r="118" ht="18.0" customHeight="1">
      <c r="A118" s="146" t="s">
        <v>803</v>
      </c>
      <c r="B118" s="10"/>
      <c r="C118" s="10"/>
      <c r="D118" s="10"/>
      <c r="E118" s="10"/>
      <c r="F118" s="10"/>
      <c r="G118" s="11"/>
    </row>
    <row r="119" ht="42.0" customHeight="1">
      <c r="A119" s="103" t="s">
        <v>804</v>
      </c>
      <c r="B119" s="163" t="s">
        <v>805</v>
      </c>
      <c r="C119" s="164" t="s">
        <v>96</v>
      </c>
      <c r="D119" s="103">
        <v>1.0</v>
      </c>
      <c r="E119" s="141" t="s">
        <v>131</v>
      </c>
      <c r="F119" s="163" t="s">
        <v>806</v>
      </c>
      <c r="G119" s="163" t="s">
        <v>807</v>
      </c>
    </row>
    <row r="120" ht="42.0" customHeight="1">
      <c r="A120" s="103" t="s">
        <v>804</v>
      </c>
      <c r="B120" s="163" t="s">
        <v>808</v>
      </c>
      <c r="C120" s="164" t="s">
        <v>96</v>
      </c>
      <c r="D120" s="103">
        <v>1.0</v>
      </c>
      <c r="E120" s="141" t="s">
        <v>131</v>
      </c>
      <c r="F120" s="163" t="s">
        <v>809</v>
      </c>
      <c r="G120" s="163" t="s">
        <v>810</v>
      </c>
    </row>
    <row r="121" ht="42.0" customHeight="1">
      <c r="A121" s="103" t="s">
        <v>804</v>
      </c>
      <c r="B121" s="163" t="s">
        <v>811</v>
      </c>
      <c r="C121" s="164" t="s">
        <v>724</v>
      </c>
      <c r="D121" s="103">
        <v>1.0</v>
      </c>
      <c r="E121" s="141" t="s">
        <v>131</v>
      </c>
      <c r="F121" s="163" t="s">
        <v>812</v>
      </c>
      <c r="G121" s="163" t="s">
        <v>813</v>
      </c>
    </row>
    <row r="122" ht="42.0" customHeight="1">
      <c r="A122" s="103" t="s">
        <v>804</v>
      </c>
      <c r="B122" s="163" t="s">
        <v>814</v>
      </c>
      <c r="C122" s="164" t="s">
        <v>96</v>
      </c>
      <c r="D122" s="103">
        <v>1.0</v>
      </c>
      <c r="E122" s="141" t="s">
        <v>131</v>
      </c>
      <c r="F122" s="163" t="s">
        <v>815</v>
      </c>
      <c r="G122" s="163" t="s">
        <v>816</v>
      </c>
    </row>
    <row r="123" ht="42.0" customHeight="1">
      <c r="A123" s="103" t="s">
        <v>804</v>
      </c>
      <c r="B123" s="163" t="s">
        <v>817</v>
      </c>
      <c r="C123" s="164" t="s">
        <v>818</v>
      </c>
      <c r="D123" s="103">
        <v>1.0</v>
      </c>
      <c r="E123" s="141" t="s">
        <v>131</v>
      </c>
      <c r="F123" s="163" t="s">
        <v>819</v>
      </c>
      <c r="G123" s="163" t="s">
        <v>820</v>
      </c>
    </row>
    <row r="124" ht="18.0" customHeight="1">
      <c r="A124" s="131" t="s">
        <v>821</v>
      </c>
      <c r="B124" s="10"/>
      <c r="C124" s="10"/>
      <c r="D124" s="10"/>
      <c r="E124" s="10"/>
      <c r="F124" s="10"/>
      <c r="G124" s="11"/>
    </row>
    <row r="125" ht="42.0" customHeight="1">
      <c r="A125" s="132" t="s">
        <v>578</v>
      </c>
      <c r="B125" s="133" t="s">
        <v>822</v>
      </c>
      <c r="C125" s="134" t="s">
        <v>96</v>
      </c>
      <c r="D125" s="132">
        <v>2.0</v>
      </c>
      <c r="E125" s="141" t="s">
        <v>131</v>
      </c>
      <c r="F125" s="133" t="s">
        <v>823</v>
      </c>
      <c r="G125" s="133" t="s">
        <v>824</v>
      </c>
    </row>
    <row r="126" ht="42.0" customHeight="1">
      <c r="A126" s="132" t="s">
        <v>578</v>
      </c>
      <c r="B126" s="133" t="s">
        <v>825</v>
      </c>
      <c r="C126" s="134" t="s">
        <v>96</v>
      </c>
      <c r="D126" s="132">
        <v>2.0</v>
      </c>
      <c r="E126" s="141" t="s">
        <v>131</v>
      </c>
      <c r="F126" s="133" t="s">
        <v>826</v>
      </c>
      <c r="G126" s="133" t="s">
        <v>827</v>
      </c>
    </row>
    <row r="127" ht="42.0" customHeight="1">
      <c r="A127" s="132" t="s">
        <v>578</v>
      </c>
      <c r="B127" s="133" t="s">
        <v>828</v>
      </c>
      <c r="C127" s="134" t="s">
        <v>91</v>
      </c>
      <c r="D127" s="132">
        <v>2.0</v>
      </c>
      <c r="E127" s="141" t="s">
        <v>131</v>
      </c>
      <c r="F127" s="133" t="s">
        <v>829</v>
      </c>
      <c r="G127" s="133" t="s">
        <v>830</v>
      </c>
    </row>
    <row r="128" ht="42.0" customHeight="1">
      <c r="A128" s="132" t="s">
        <v>578</v>
      </c>
      <c r="B128" s="133" t="s">
        <v>831</v>
      </c>
      <c r="C128" s="134" t="s">
        <v>832</v>
      </c>
      <c r="D128" s="132">
        <v>2.0</v>
      </c>
      <c r="E128" s="141" t="s">
        <v>131</v>
      </c>
      <c r="F128" s="133" t="s">
        <v>833</v>
      </c>
      <c r="G128" s="133" t="s">
        <v>834</v>
      </c>
    </row>
    <row r="129" ht="42.0" customHeight="1">
      <c r="A129" s="132" t="s">
        <v>578</v>
      </c>
      <c r="B129" s="133" t="s">
        <v>835</v>
      </c>
      <c r="C129" s="134" t="s">
        <v>91</v>
      </c>
      <c r="D129" s="132">
        <v>2.0</v>
      </c>
      <c r="E129" s="141" t="s">
        <v>131</v>
      </c>
      <c r="F129" s="133" t="s">
        <v>836</v>
      </c>
      <c r="G129" s="133" t="s">
        <v>837</v>
      </c>
    </row>
    <row r="130" ht="42.0" customHeight="1">
      <c r="A130" s="132" t="s">
        <v>578</v>
      </c>
      <c r="B130" s="133" t="s">
        <v>838</v>
      </c>
      <c r="C130" s="134" t="s">
        <v>91</v>
      </c>
      <c r="D130" s="132">
        <v>2.0</v>
      </c>
      <c r="E130" s="141" t="s">
        <v>131</v>
      </c>
      <c r="F130" s="133" t="s">
        <v>839</v>
      </c>
      <c r="G130" s="133" t="s">
        <v>840</v>
      </c>
    </row>
    <row r="131" ht="42.0" customHeight="1">
      <c r="A131" s="132" t="s">
        <v>578</v>
      </c>
      <c r="B131" s="133" t="s">
        <v>841</v>
      </c>
      <c r="C131" s="134" t="s">
        <v>91</v>
      </c>
      <c r="D131" s="132">
        <v>2.0</v>
      </c>
      <c r="E131" s="141" t="s">
        <v>131</v>
      </c>
      <c r="F131" s="133" t="s">
        <v>842</v>
      </c>
      <c r="G131" s="133" t="s">
        <v>843</v>
      </c>
    </row>
    <row r="132" ht="42.0" customHeight="1">
      <c r="A132" s="132" t="s">
        <v>578</v>
      </c>
      <c r="B132" s="133" t="s">
        <v>844</v>
      </c>
      <c r="C132" s="134" t="s">
        <v>91</v>
      </c>
      <c r="D132" s="132">
        <v>2.0</v>
      </c>
      <c r="E132" s="141" t="s">
        <v>131</v>
      </c>
      <c r="F132" s="133" t="s">
        <v>845</v>
      </c>
      <c r="G132" s="133" t="s">
        <v>846</v>
      </c>
    </row>
    <row r="133" ht="42.0" customHeight="1">
      <c r="A133" s="132" t="s">
        <v>578</v>
      </c>
      <c r="B133" s="133" t="s">
        <v>847</v>
      </c>
      <c r="C133" s="134" t="s">
        <v>91</v>
      </c>
      <c r="D133" s="132">
        <v>2.0</v>
      </c>
      <c r="E133" s="141" t="s">
        <v>131</v>
      </c>
      <c r="F133" s="133" t="s">
        <v>848</v>
      </c>
      <c r="G133" s="133" t="s">
        <v>849</v>
      </c>
    </row>
    <row r="134" ht="42.0" customHeight="1">
      <c r="A134" s="132" t="s">
        <v>578</v>
      </c>
      <c r="B134" s="133" t="s">
        <v>850</v>
      </c>
      <c r="C134" s="134" t="s">
        <v>91</v>
      </c>
      <c r="D134" s="132">
        <v>2.0</v>
      </c>
      <c r="E134" s="141" t="s">
        <v>131</v>
      </c>
      <c r="F134" s="133" t="s">
        <v>851</v>
      </c>
      <c r="G134" s="133" t="s">
        <v>852</v>
      </c>
    </row>
    <row r="135" ht="42.0" customHeight="1">
      <c r="A135" s="132" t="s">
        <v>578</v>
      </c>
      <c r="B135" s="133" t="s">
        <v>853</v>
      </c>
      <c r="C135" s="134" t="s">
        <v>91</v>
      </c>
      <c r="D135" s="132">
        <v>2.0</v>
      </c>
      <c r="E135" s="141" t="s">
        <v>131</v>
      </c>
      <c r="F135" s="133" t="s">
        <v>854</v>
      </c>
      <c r="G135" s="133" t="s">
        <v>855</v>
      </c>
    </row>
    <row r="136" ht="42.0" customHeight="1">
      <c r="A136" s="132" t="s">
        <v>578</v>
      </c>
      <c r="B136" s="133" t="s">
        <v>856</v>
      </c>
      <c r="C136" s="134" t="s">
        <v>832</v>
      </c>
      <c r="D136" s="132">
        <v>2.0</v>
      </c>
      <c r="E136" s="141" t="s">
        <v>131</v>
      </c>
      <c r="F136" s="133" t="s">
        <v>857</v>
      </c>
      <c r="G136" s="133" t="s">
        <v>858</v>
      </c>
    </row>
    <row r="137" ht="42.0" customHeight="1">
      <c r="A137" s="132" t="s">
        <v>578</v>
      </c>
      <c r="B137" s="133" t="s">
        <v>859</v>
      </c>
      <c r="C137" s="134" t="s">
        <v>84</v>
      </c>
      <c r="D137" s="132">
        <v>2.0</v>
      </c>
      <c r="E137" s="141" t="s">
        <v>131</v>
      </c>
      <c r="F137" s="133" t="s">
        <v>860</v>
      </c>
      <c r="G137" s="133" t="s">
        <v>861</v>
      </c>
    </row>
    <row r="138" ht="42.0" customHeight="1">
      <c r="A138" s="132" t="s">
        <v>578</v>
      </c>
      <c r="B138" s="133" t="s">
        <v>862</v>
      </c>
      <c r="C138" s="134" t="s">
        <v>91</v>
      </c>
      <c r="D138" s="132">
        <v>2.0</v>
      </c>
      <c r="E138" s="141" t="s">
        <v>131</v>
      </c>
      <c r="F138" s="133" t="s">
        <v>863</v>
      </c>
      <c r="G138" s="133" t="s">
        <v>864</v>
      </c>
    </row>
    <row r="139" ht="42.0" customHeight="1">
      <c r="A139" s="132" t="s">
        <v>578</v>
      </c>
      <c r="B139" s="133" t="s">
        <v>865</v>
      </c>
      <c r="C139" s="134" t="s">
        <v>91</v>
      </c>
      <c r="D139" s="132">
        <v>2.0</v>
      </c>
      <c r="E139" s="141" t="s">
        <v>131</v>
      </c>
      <c r="F139" s="133" t="s">
        <v>866</v>
      </c>
      <c r="G139" s="133" t="s">
        <v>864</v>
      </c>
    </row>
    <row r="140" ht="42.0" customHeight="1">
      <c r="A140" s="132" t="s">
        <v>578</v>
      </c>
      <c r="B140" s="133" t="s">
        <v>867</v>
      </c>
      <c r="C140" s="134" t="s">
        <v>91</v>
      </c>
      <c r="D140" s="132">
        <v>2.0</v>
      </c>
      <c r="E140" s="141" t="s">
        <v>131</v>
      </c>
      <c r="F140" s="133" t="s">
        <v>868</v>
      </c>
      <c r="G140" s="133" t="s">
        <v>864</v>
      </c>
    </row>
    <row r="141" ht="42.0" customHeight="1">
      <c r="A141" s="132" t="s">
        <v>578</v>
      </c>
      <c r="B141" s="133" t="s">
        <v>869</v>
      </c>
      <c r="C141" s="134" t="s">
        <v>91</v>
      </c>
      <c r="D141" s="132">
        <v>2.0</v>
      </c>
      <c r="E141" s="141" t="s">
        <v>131</v>
      </c>
      <c r="F141" s="133" t="s">
        <v>870</v>
      </c>
      <c r="G141" s="133" t="s">
        <v>871</v>
      </c>
    </row>
    <row r="142" ht="42.0" customHeight="1">
      <c r="A142" s="132" t="s">
        <v>578</v>
      </c>
      <c r="B142" s="133" t="s">
        <v>872</v>
      </c>
      <c r="C142" s="134" t="s">
        <v>91</v>
      </c>
      <c r="D142" s="132">
        <v>2.0</v>
      </c>
      <c r="E142" s="141" t="s">
        <v>131</v>
      </c>
      <c r="F142" s="133" t="s">
        <v>873</v>
      </c>
      <c r="G142" s="133" t="s">
        <v>874</v>
      </c>
    </row>
    <row r="143" ht="42.0" customHeight="1">
      <c r="A143" s="132" t="s">
        <v>578</v>
      </c>
      <c r="B143" s="133" t="s">
        <v>875</v>
      </c>
      <c r="C143" s="134" t="s">
        <v>91</v>
      </c>
      <c r="D143" s="132">
        <v>2.0</v>
      </c>
      <c r="E143" s="136" t="s">
        <v>125</v>
      </c>
      <c r="F143" s="133" t="s">
        <v>876</v>
      </c>
      <c r="G143" s="133" t="s">
        <v>877</v>
      </c>
    </row>
    <row r="144" ht="42.0" customHeight="1">
      <c r="A144" s="132" t="s">
        <v>578</v>
      </c>
      <c r="B144" s="133" t="s">
        <v>878</v>
      </c>
      <c r="C144" s="134" t="s">
        <v>832</v>
      </c>
      <c r="D144" s="132">
        <v>2.0</v>
      </c>
      <c r="E144" s="141" t="s">
        <v>131</v>
      </c>
      <c r="F144" s="133" t="s">
        <v>879</v>
      </c>
      <c r="G144" s="133" t="s">
        <v>880</v>
      </c>
    </row>
    <row r="145" ht="42.0" customHeight="1">
      <c r="A145" s="132" t="s">
        <v>578</v>
      </c>
      <c r="B145" s="133" t="s">
        <v>881</v>
      </c>
      <c r="C145" s="134" t="s">
        <v>91</v>
      </c>
      <c r="D145" s="132">
        <v>2.0</v>
      </c>
      <c r="E145" s="141" t="s">
        <v>131</v>
      </c>
      <c r="F145" s="133" t="s">
        <v>882</v>
      </c>
      <c r="G145" s="133" t="s">
        <v>883</v>
      </c>
    </row>
    <row r="146" ht="42.0" customHeight="1">
      <c r="A146" s="132" t="s">
        <v>578</v>
      </c>
      <c r="B146" s="133" t="s">
        <v>884</v>
      </c>
      <c r="C146" s="134" t="s">
        <v>91</v>
      </c>
      <c r="D146" s="132">
        <v>2.0</v>
      </c>
      <c r="E146" s="141" t="s">
        <v>131</v>
      </c>
      <c r="F146" s="133" t="s">
        <v>885</v>
      </c>
      <c r="G146" s="133" t="s">
        <v>886</v>
      </c>
    </row>
    <row r="147" ht="42.0" customHeight="1">
      <c r="A147" s="132" t="s">
        <v>578</v>
      </c>
      <c r="B147" s="133" t="s">
        <v>887</v>
      </c>
      <c r="C147" s="134" t="s">
        <v>91</v>
      </c>
      <c r="D147" s="132">
        <v>2.0</v>
      </c>
      <c r="E147" s="141" t="s">
        <v>131</v>
      </c>
      <c r="F147" s="133" t="s">
        <v>888</v>
      </c>
      <c r="G147" s="133" t="s">
        <v>889</v>
      </c>
    </row>
    <row r="148" ht="42.0" customHeight="1">
      <c r="A148" s="132" t="s">
        <v>578</v>
      </c>
      <c r="B148" s="133" t="s">
        <v>890</v>
      </c>
      <c r="C148" s="134" t="s">
        <v>84</v>
      </c>
      <c r="D148" s="132">
        <v>2.0</v>
      </c>
      <c r="E148" s="136" t="s">
        <v>125</v>
      </c>
      <c r="F148" s="133" t="s">
        <v>891</v>
      </c>
      <c r="G148" s="133" t="s">
        <v>892</v>
      </c>
    </row>
    <row r="149" ht="42.0" customHeight="1">
      <c r="A149" s="132" t="s">
        <v>578</v>
      </c>
      <c r="B149" s="133" t="s">
        <v>893</v>
      </c>
      <c r="C149" s="134" t="s">
        <v>84</v>
      </c>
      <c r="D149" s="132">
        <v>2.0</v>
      </c>
      <c r="E149" s="141" t="s">
        <v>131</v>
      </c>
      <c r="F149" s="133" t="s">
        <v>894</v>
      </c>
      <c r="G149" s="133" t="s">
        <v>895</v>
      </c>
    </row>
    <row r="150" ht="42.0" customHeight="1">
      <c r="A150" s="132" t="s">
        <v>578</v>
      </c>
      <c r="B150" s="133" t="s">
        <v>896</v>
      </c>
      <c r="C150" s="134" t="s">
        <v>84</v>
      </c>
      <c r="D150" s="132">
        <v>2.0</v>
      </c>
      <c r="E150" s="141" t="s">
        <v>131</v>
      </c>
      <c r="F150" s="133" t="s">
        <v>897</v>
      </c>
      <c r="G150" s="133" t="s">
        <v>861</v>
      </c>
    </row>
    <row r="151" ht="42.0" customHeight="1">
      <c r="A151" s="132" t="s">
        <v>578</v>
      </c>
      <c r="B151" s="133" t="s">
        <v>898</v>
      </c>
      <c r="C151" s="134" t="s">
        <v>832</v>
      </c>
      <c r="D151" s="132">
        <v>2.0</v>
      </c>
      <c r="E151" s="141" t="s">
        <v>131</v>
      </c>
      <c r="F151" s="133" t="s">
        <v>899</v>
      </c>
      <c r="G151" s="133" t="s">
        <v>900</v>
      </c>
    </row>
    <row r="152" ht="42.0" customHeight="1">
      <c r="A152" s="132" t="s">
        <v>578</v>
      </c>
      <c r="B152" s="133" t="s">
        <v>901</v>
      </c>
      <c r="C152" s="134" t="s">
        <v>84</v>
      </c>
      <c r="D152" s="132">
        <v>2.0</v>
      </c>
      <c r="E152" s="141" t="s">
        <v>131</v>
      </c>
      <c r="F152" s="133" t="s">
        <v>902</v>
      </c>
      <c r="G152" s="133" t="s">
        <v>903</v>
      </c>
    </row>
    <row r="153" ht="42.0" customHeight="1">
      <c r="A153" s="132" t="s">
        <v>578</v>
      </c>
      <c r="B153" s="133" t="s">
        <v>904</v>
      </c>
      <c r="C153" s="134" t="s">
        <v>84</v>
      </c>
      <c r="D153" s="132">
        <v>2.0</v>
      </c>
      <c r="E153" s="141" t="s">
        <v>131</v>
      </c>
      <c r="F153" s="133" t="s">
        <v>905</v>
      </c>
      <c r="G153" s="133" t="s">
        <v>906</v>
      </c>
    </row>
    <row r="154" ht="42.0" customHeight="1">
      <c r="A154" s="132" t="s">
        <v>578</v>
      </c>
      <c r="B154" s="133" t="s">
        <v>907</v>
      </c>
      <c r="C154" s="134" t="s">
        <v>96</v>
      </c>
      <c r="D154" s="132">
        <v>2.0</v>
      </c>
      <c r="E154" s="141" t="s">
        <v>131</v>
      </c>
      <c r="F154" s="133" t="s">
        <v>908</v>
      </c>
      <c r="G154" s="133" t="s">
        <v>909</v>
      </c>
    </row>
    <row r="155" ht="42.0" customHeight="1">
      <c r="A155" s="132" t="s">
        <v>578</v>
      </c>
      <c r="B155" s="133" t="s">
        <v>910</v>
      </c>
      <c r="C155" s="134" t="s">
        <v>96</v>
      </c>
      <c r="D155" s="132">
        <v>2.0</v>
      </c>
      <c r="E155" s="141" t="s">
        <v>131</v>
      </c>
      <c r="F155" s="133" t="s">
        <v>911</v>
      </c>
      <c r="G155" s="133" t="s">
        <v>912</v>
      </c>
    </row>
    <row r="156" ht="42.0" customHeight="1">
      <c r="A156" s="132" t="s">
        <v>578</v>
      </c>
      <c r="B156" s="133" t="s">
        <v>913</v>
      </c>
      <c r="C156" s="134" t="s">
        <v>96</v>
      </c>
      <c r="D156" s="132">
        <v>2.0</v>
      </c>
      <c r="E156" s="141" t="s">
        <v>131</v>
      </c>
      <c r="F156" s="133" t="s">
        <v>914</v>
      </c>
      <c r="G156" s="133" t="s">
        <v>915</v>
      </c>
    </row>
    <row r="157" ht="42.0" customHeight="1">
      <c r="A157" s="132" t="s">
        <v>578</v>
      </c>
      <c r="B157" s="133" t="s">
        <v>916</v>
      </c>
      <c r="C157" s="134" t="s">
        <v>96</v>
      </c>
      <c r="D157" s="132">
        <v>2.0</v>
      </c>
      <c r="E157" s="141" t="s">
        <v>131</v>
      </c>
      <c r="F157" s="133" t="s">
        <v>917</v>
      </c>
      <c r="G157" s="133" t="s">
        <v>918</v>
      </c>
    </row>
    <row r="158" ht="18.0" customHeight="1">
      <c r="A158" s="137" t="s">
        <v>919</v>
      </c>
      <c r="B158" s="10"/>
      <c r="C158" s="10"/>
      <c r="D158" s="10"/>
      <c r="E158" s="10"/>
      <c r="F158" s="10"/>
      <c r="G158" s="11"/>
    </row>
    <row r="159" ht="42.0" customHeight="1">
      <c r="A159" s="138" t="s">
        <v>608</v>
      </c>
      <c r="B159" s="139" t="s">
        <v>920</v>
      </c>
      <c r="C159" s="140" t="s">
        <v>429</v>
      </c>
      <c r="D159" s="138">
        <v>1.0</v>
      </c>
      <c r="E159" s="141" t="s">
        <v>131</v>
      </c>
      <c r="F159" s="139" t="s">
        <v>921</v>
      </c>
      <c r="G159" s="139" t="s">
        <v>922</v>
      </c>
    </row>
    <row r="160" ht="42.0" customHeight="1">
      <c r="A160" s="138" t="s">
        <v>608</v>
      </c>
      <c r="B160" s="139" t="s">
        <v>923</v>
      </c>
      <c r="C160" s="140" t="s">
        <v>724</v>
      </c>
      <c r="D160" s="138">
        <v>1.0</v>
      </c>
      <c r="E160" s="141" t="s">
        <v>131</v>
      </c>
      <c r="F160" s="139" t="s">
        <v>924</v>
      </c>
      <c r="G160" s="139" t="s">
        <v>925</v>
      </c>
    </row>
    <row r="161" ht="42.0" customHeight="1">
      <c r="A161" s="138" t="s">
        <v>608</v>
      </c>
      <c r="B161" s="139" t="s">
        <v>926</v>
      </c>
      <c r="C161" s="140" t="s">
        <v>724</v>
      </c>
      <c r="D161" s="138">
        <v>1.0</v>
      </c>
      <c r="E161" s="141" t="s">
        <v>131</v>
      </c>
      <c r="F161" s="139" t="s">
        <v>927</v>
      </c>
      <c r="G161" s="139" t="s">
        <v>928</v>
      </c>
    </row>
    <row r="162" ht="42.0" customHeight="1">
      <c r="A162" s="138" t="s">
        <v>608</v>
      </c>
      <c r="B162" s="139" t="s">
        <v>929</v>
      </c>
      <c r="C162" s="140" t="s">
        <v>724</v>
      </c>
      <c r="D162" s="138">
        <v>1.0</v>
      </c>
      <c r="E162" s="141" t="s">
        <v>131</v>
      </c>
      <c r="F162" s="139" t="s">
        <v>930</v>
      </c>
      <c r="G162" s="139" t="s">
        <v>931</v>
      </c>
    </row>
    <row r="163" ht="42.0" customHeight="1">
      <c r="A163" s="138" t="s">
        <v>608</v>
      </c>
      <c r="B163" s="139" t="s">
        <v>932</v>
      </c>
      <c r="C163" s="140" t="s">
        <v>429</v>
      </c>
      <c r="D163" s="138">
        <v>1.0</v>
      </c>
      <c r="E163" s="141" t="s">
        <v>131</v>
      </c>
      <c r="F163" s="139" t="s">
        <v>933</v>
      </c>
      <c r="G163" s="139" t="s">
        <v>934</v>
      </c>
    </row>
    <row r="164" ht="42.0" customHeight="1">
      <c r="A164" s="138" t="s">
        <v>608</v>
      </c>
      <c r="B164" s="139" t="s">
        <v>935</v>
      </c>
      <c r="C164" s="140" t="s">
        <v>429</v>
      </c>
      <c r="D164" s="138">
        <v>1.0</v>
      </c>
      <c r="E164" s="141" t="s">
        <v>131</v>
      </c>
      <c r="F164" s="139" t="s">
        <v>936</v>
      </c>
      <c r="G164" s="139" t="s">
        <v>934</v>
      </c>
    </row>
    <row r="165" ht="42.0" customHeight="1">
      <c r="A165" s="138" t="s">
        <v>608</v>
      </c>
      <c r="B165" s="139" t="s">
        <v>937</v>
      </c>
      <c r="C165" s="140" t="s">
        <v>429</v>
      </c>
      <c r="D165" s="138">
        <v>1.0</v>
      </c>
      <c r="E165" s="141" t="s">
        <v>131</v>
      </c>
      <c r="F165" s="139" t="s">
        <v>938</v>
      </c>
      <c r="G165" s="139" t="s">
        <v>939</v>
      </c>
    </row>
    <row r="166" ht="42.0" customHeight="1">
      <c r="A166" s="138" t="s">
        <v>608</v>
      </c>
      <c r="B166" s="139" t="s">
        <v>940</v>
      </c>
      <c r="C166" s="140" t="s">
        <v>429</v>
      </c>
      <c r="D166" s="138">
        <v>1.0</v>
      </c>
      <c r="E166" s="141" t="s">
        <v>131</v>
      </c>
      <c r="F166" s="139" t="s">
        <v>941</v>
      </c>
      <c r="G166" s="139" t="s">
        <v>939</v>
      </c>
    </row>
    <row r="167" ht="42.0" customHeight="1">
      <c r="A167" s="138" t="s">
        <v>608</v>
      </c>
      <c r="B167" s="139" t="s">
        <v>942</v>
      </c>
      <c r="C167" s="140" t="s">
        <v>610</v>
      </c>
      <c r="D167" s="138">
        <v>1.0</v>
      </c>
      <c r="E167" s="141" t="s">
        <v>131</v>
      </c>
      <c r="F167" s="139" t="s">
        <v>943</v>
      </c>
      <c r="G167" s="139" t="s">
        <v>944</v>
      </c>
    </row>
    <row r="168" ht="18.0" customHeight="1">
      <c r="A168" s="142" t="s">
        <v>945</v>
      </c>
      <c r="B168" s="10"/>
      <c r="C168" s="10"/>
      <c r="D168" s="10"/>
      <c r="E168" s="10"/>
      <c r="F168" s="10"/>
      <c r="G168" s="11"/>
    </row>
    <row r="169" ht="42.0" customHeight="1">
      <c r="A169" s="143" t="s">
        <v>628</v>
      </c>
      <c r="B169" s="144" t="s">
        <v>946</v>
      </c>
      <c r="C169" s="145" t="s">
        <v>947</v>
      </c>
      <c r="D169" s="143">
        <v>1.0</v>
      </c>
      <c r="E169" s="141" t="s">
        <v>131</v>
      </c>
      <c r="F169" s="144" t="s">
        <v>948</v>
      </c>
      <c r="G169" s="144" t="s">
        <v>949</v>
      </c>
    </row>
    <row r="170" ht="42.0" customHeight="1">
      <c r="A170" s="143" t="s">
        <v>628</v>
      </c>
      <c r="B170" s="144" t="s">
        <v>950</v>
      </c>
      <c r="C170" s="145" t="s">
        <v>724</v>
      </c>
      <c r="D170" s="143">
        <v>1.0</v>
      </c>
      <c r="E170" s="141" t="s">
        <v>131</v>
      </c>
      <c r="F170" s="144" t="s">
        <v>951</v>
      </c>
      <c r="G170" s="144" t="s">
        <v>952</v>
      </c>
    </row>
    <row r="171" ht="42.0" customHeight="1">
      <c r="A171" s="143" t="s">
        <v>628</v>
      </c>
      <c r="B171" s="144" t="s">
        <v>953</v>
      </c>
      <c r="C171" s="145" t="s">
        <v>91</v>
      </c>
      <c r="D171" s="143">
        <v>1.0</v>
      </c>
      <c r="E171" s="141" t="s">
        <v>131</v>
      </c>
      <c r="F171" s="144" t="s">
        <v>954</v>
      </c>
      <c r="G171" s="144" t="s">
        <v>955</v>
      </c>
    </row>
    <row r="172" ht="42.0" customHeight="1">
      <c r="A172" s="143" t="s">
        <v>628</v>
      </c>
      <c r="B172" s="144" t="s">
        <v>956</v>
      </c>
      <c r="C172" s="145" t="s">
        <v>91</v>
      </c>
      <c r="D172" s="143">
        <v>1.0</v>
      </c>
      <c r="E172" s="141" t="s">
        <v>131</v>
      </c>
      <c r="F172" s="144" t="s">
        <v>957</v>
      </c>
      <c r="G172" s="144" t="s">
        <v>958</v>
      </c>
    </row>
    <row r="173" ht="42.0" customHeight="1">
      <c r="A173" s="143" t="s">
        <v>628</v>
      </c>
      <c r="B173" s="144" t="s">
        <v>959</v>
      </c>
      <c r="C173" s="145" t="s">
        <v>91</v>
      </c>
      <c r="D173" s="143">
        <v>1.0</v>
      </c>
      <c r="E173" s="141" t="s">
        <v>131</v>
      </c>
      <c r="F173" s="144" t="s">
        <v>960</v>
      </c>
      <c r="G173" s="144" t="s">
        <v>961</v>
      </c>
    </row>
    <row r="174" ht="42.0" customHeight="1">
      <c r="A174" s="143" t="s">
        <v>628</v>
      </c>
      <c r="B174" s="144" t="s">
        <v>962</v>
      </c>
      <c r="C174" s="145" t="s">
        <v>818</v>
      </c>
      <c r="D174" s="143">
        <v>1.0</v>
      </c>
      <c r="E174" s="141" t="s">
        <v>131</v>
      </c>
      <c r="F174" s="144" t="s">
        <v>963</v>
      </c>
      <c r="G174" s="144" t="s">
        <v>964</v>
      </c>
    </row>
    <row r="175" ht="42.0" customHeight="1">
      <c r="A175" s="143" t="s">
        <v>628</v>
      </c>
      <c r="B175" s="144" t="s">
        <v>965</v>
      </c>
      <c r="C175" s="145" t="s">
        <v>96</v>
      </c>
      <c r="D175" s="143">
        <v>1.0</v>
      </c>
      <c r="E175" s="141" t="s">
        <v>131</v>
      </c>
      <c r="F175" s="144" t="s">
        <v>966</v>
      </c>
      <c r="G175" s="144" t="s">
        <v>967</v>
      </c>
    </row>
    <row r="176" ht="18.0" customHeight="1">
      <c r="A176" s="137" t="s">
        <v>968</v>
      </c>
      <c r="B176" s="10"/>
      <c r="C176" s="10"/>
      <c r="D176" s="10"/>
      <c r="E176" s="10"/>
      <c r="F176" s="10"/>
      <c r="G176" s="11"/>
    </row>
    <row r="177" ht="42.0" customHeight="1">
      <c r="A177" s="155" t="s">
        <v>769</v>
      </c>
      <c r="B177" s="156" t="s">
        <v>969</v>
      </c>
      <c r="C177" s="157" t="s">
        <v>412</v>
      </c>
      <c r="D177" s="155">
        <v>1.0</v>
      </c>
      <c r="E177" s="141" t="s">
        <v>131</v>
      </c>
      <c r="F177" s="156" t="s">
        <v>970</v>
      </c>
      <c r="G177" s="156" t="s">
        <v>971</v>
      </c>
    </row>
    <row r="178" ht="42.0" customHeight="1">
      <c r="A178" s="155" t="s">
        <v>769</v>
      </c>
      <c r="B178" s="156" t="s">
        <v>972</v>
      </c>
      <c r="C178" s="157" t="s">
        <v>91</v>
      </c>
      <c r="D178" s="155">
        <v>1.0</v>
      </c>
      <c r="E178" s="141" t="s">
        <v>131</v>
      </c>
      <c r="F178" s="156" t="s">
        <v>973</v>
      </c>
      <c r="G178" s="156" t="s">
        <v>974</v>
      </c>
    </row>
    <row r="179" ht="42.0" customHeight="1">
      <c r="A179" s="155" t="s">
        <v>769</v>
      </c>
      <c r="B179" s="156" t="s">
        <v>975</v>
      </c>
      <c r="C179" s="157" t="s">
        <v>84</v>
      </c>
      <c r="D179" s="155">
        <v>1.0</v>
      </c>
      <c r="E179" s="141" t="s">
        <v>131</v>
      </c>
      <c r="F179" s="156" t="s">
        <v>976</v>
      </c>
      <c r="G179" s="156" t="s">
        <v>977</v>
      </c>
    </row>
    <row r="180" ht="42.0" customHeight="1">
      <c r="A180" s="155" t="s">
        <v>769</v>
      </c>
      <c r="B180" s="156" t="s">
        <v>978</v>
      </c>
      <c r="C180" s="157" t="s">
        <v>96</v>
      </c>
      <c r="D180" s="155">
        <v>1.0</v>
      </c>
      <c r="E180" s="141" t="s">
        <v>131</v>
      </c>
      <c r="F180" s="156" t="s">
        <v>979</v>
      </c>
      <c r="G180" s="156" t="s">
        <v>980</v>
      </c>
    </row>
    <row r="181" ht="18.0" customHeight="1">
      <c r="A181" s="146" t="s">
        <v>981</v>
      </c>
      <c r="B181" s="10"/>
      <c r="C181" s="10"/>
      <c r="D181" s="10"/>
      <c r="E181" s="10"/>
      <c r="F181" s="10"/>
      <c r="G181" s="11"/>
    </row>
    <row r="182" ht="21.75" customHeight="1">
      <c r="A182" s="147" t="s">
        <v>982</v>
      </c>
      <c r="B182" s="10"/>
      <c r="C182" s="10"/>
      <c r="D182" s="10"/>
      <c r="E182" s="10"/>
      <c r="F182" s="10"/>
      <c r="G182" s="11"/>
    </row>
    <row r="183" ht="21.75" customHeight="1">
      <c r="A183" s="147" t="s">
        <v>983</v>
      </c>
      <c r="B183" s="10"/>
      <c r="C183" s="10"/>
      <c r="D183" s="10"/>
      <c r="E183" s="10"/>
      <c r="F183" s="10"/>
      <c r="G183" s="11"/>
    </row>
    <row r="184" ht="21.75" customHeight="1">
      <c r="A184" s="147" t="s">
        <v>984</v>
      </c>
      <c r="B184" s="10"/>
      <c r="C184" s="10"/>
      <c r="D184" s="10"/>
      <c r="E184" s="10"/>
      <c r="F184" s="10"/>
      <c r="G184" s="11"/>
    </row>
    <row r="185" ht="21.75" customHeight="1">
      <c r="A185" s="147" t="s">
        <v>985</v>
      </c>
      <c r="B185" s="10"/>
      <c r="C185" s="10"/>
      <c r="D185" s="10"/>
      <c r="E185" s="10"/>
      <c r="F185" s="10"/>
      <c r="G185" s="11"/>
    </row>
    <row r="186" ht="21.75" customHeight="1">
      <c r="A186" s="147" t="s">
        <v>986</v>
      </c>
      <c r="B186" s="10"/>
      <c r="C186" s="10"/>
      <c r="D186" s="10"/>
      <c r="E186" s="10"/>
      <c r="F186" s="10"/>
      <c r="G186" s="11"/>
    </row>
    <row r="187" ht="21.75" customHeight="1">
      <c r="A187" s="147" t="s">
        <v>987</v>
      </c>
      <c r="B187" s="10"/>
      <c r="C187" s="10"/>
      <c r="D187" s="10"/>
      <c r="E187" s="10"/>
      <c r="F187" s="10"/>
      <c r="G187" s="11"/>
    </row>
    <row r="188" ht="21.75" customHeight="1">
      <c r="A188" s="147" t="s">
        <v>988</v>
      </c>
      <c r="B188" s="10"/>
      <c r="C188" s="10"/>
      <c r="D188" s="10"/>
      <c r="E188" s="10"/>
      <c r="F188" s="10"/>
      <c r="G188" s="11"/>
    </row>
    <row r="189" ht="21.75" customHeight="1">
      <c r="A189" s="147" t="s">
        <v>989</v>
      </c>
      <c r="B189" s="10"/>
      <c r="C189" s="10"/>
      <c r="D189" s="10"/>
      <c r="E189" s="10"/>
      <c r="F189" s="10"/>
      <c r="G189" s="11"/>
    </row>
    <row r="190" ht="18.0" customHeight="1">
      <c r="A190" s="148" t="s">
        <v>990</v>
      </c>
      <c r="B190" s="10"/>
      <c r="C190" s="10"/>
      <c r="D190" s="10"/>
      <c r="E190" s="10"/>
      <c r="F190" s="10"/>
      <c r="G190" s="11"/>
    </row>
    <row r="191" ht="21.75" customHeight="1">
      <c r="A191" s="149" t="s">
        <v>991</v>
      </c>
      <c r="B191" s="10"/>
      <c r="C191" s="10"/>
      <c r="D191" s="10"/>
      <c r="E191" s="10"/>
      <c r="F191" s="10"/>
      <c r="G191" s="11"/>
    </row>
    <row r="192" ht="21.75" customHeight="1">
      <c r="A192" s="149" t="s">
        <v>992</v>
      </c>
      <c r="B192" s="10"/>
      <c r="C192" s="10"/>
      <c r="D192" s="10"/>
      <c r="E192" s="10"/>
      <c r="F192" s="10"/>
      <c r="G192" s="11"/>
    </row>
    <row r="193" ht="21.75" customHeight="1">
      <c r="A193" s="149" t="s">
        <v>993</v>
      </c>
      <c r="B193" s="10"/>
      <c r="C193" s="10"/>
      <c r="D193" s="10"/>
      <c r="E193" s="10"/>
      <c r="F193" s="10"/>
      <c r="G193" s="11"/>
    </row>
    <row r="194" ht="21.75" customHeight="1">
      <c r="A194" s="149" t="s">
        <v>994</v>
      </c>
      <c r="B194" s="10"/>
      <c r="C194" s="10"/>
      <c r="D194" s="10"/>
      <c r="E194" s="10"/>
      <c r="F194" s="10"/>
      <c r="G194" s="11"/>
    </row>
    <row r="195" ht="21.75" customHeight="1">
      <c r="A195" s="149" t="s">
        <v>995</v>
      </c>
      <c r="B195" s="10"/>
      <c r="C195" s="10"/>
      <c r="D195" s="10"/>
      <c r="E195" s="10"/>
      <c r="F195" s="10"/>
      <c r="G195" s="11"/>
    </row>
    <row r="196" ht="21.75" customHeight="1">
      <c r="A196" s="149" t="s">
        <v>996</v>
      </c>
      <c r="B196" s="10"/>
      <c r="C196" s="10"/>
      <c r="D196" s="10"/>
      <c r="E196" s="10"/>
      <c r="F196" s="10"/>
      <c r="G196" s="11"/>
    </row>
    <row r="197" ht="21.75" customHeight="1">
      <c r="A197" s="149" t="s">
        <v>997</v>
      </c>
      <c r="B197" s="10"/>
      <c r="C197" s="10"/>
      <c r="D197" s="10"/>
      <c r="E197" s="10"/>
      <c r="F197" s="10"/>
      <c r="G197" s="11"/>
    </row>
    <row r="198" ht="21.75" customHeight="1">
      <c r="A198" s="149" t="s">
        <v>998</v>
      </c>
      <c r="B198" s="10"/>
      <c r="C198" s="10"/>
      <c r="D198" s="10"/>
      <c r="E198" s="10"/>
      <c r="F198" s="10"/>
      <c r="G198" s="11"/>
    </row>
    <row r="199" ht="21.75" customHeight="1">
      <c r="A199" s="149" t="s">
        <v>999</v>
      </c>
      <c r="B199" s="10"/>
      <c r="C199" s="10"/>
      <c r="D199" s="10"/>
      <c r="E199" s="10"/>
      <c r="F199" s="10"/>
      <c r="G199" s="11"/>
    </row>
    <row r="200" ht="21.75" customHeight="1">
      <c r="A200" s="149" t="s">
        <v>797</v>
      </c>
      <c r="B200" s="10"/>
      <c r="C200" s="10"/>
      <c r="D200" s="10"/>
      <c r="E200" s="10"/>
      <c r="F200" s="10"/>
      <c r="G200" s="11"/>
    </row>
    <row r="201" ht="21.75" customHeight="1">
      <c r="A201" s="149" t="s">
        <v>1000</v>
      </c>
      <c r="B201" s="10"/>
      <c r="C201" s="10"/>
      <c r="D201" s="10"/>
      <c r="E201" s="10"/>
      <c r="F201" s="10"/>
      <c r="G201" s="11"/>
    </row>
    <row r="202" ht="21.75" customHeight="1">
      <c r="A202" s="165" t="s">
        <v>1001</v>
      </c>
      <c r="B202" s="10"/>
      <c r="C202" s="11"/>
      <c r="D202" s="166">
        <f>IFERROR((SUMPRODUCT((E119:E201="Done")*(D119:D201))+SUMPRODUCT((E119:E201="In Progress")*(D119:D201)*0.5))/SUMPRODUCT((D119:D201&gt;0)*(D119:D201)),0)</f>
        <v>0.02197802198</v>
      </c>
      <c r="E202" s="167" t="s">
        <v>653</v>
      </c>
      <c r="F202" s="10"/>
      <c r="G202" s="11"/>
    </row>
    <row r="203" ht="9.75" customHeight="1">
      <c r="A203" s="128"/>
      <c r="B203" s="121"/>
      <c r="C203" s="121"/>
      <c r="D203" s="121"/>
      <c r="E203" s="121"/>
      <c r="F203" s="121"/>
      <c r="G203" s="122"/>
    </row>
    <row r="204" ht="9.75" customHeight="1">
      <c r="A204" s="128"/>
      <c r="B204" s="121"/>
      <c r="C204" s="121"/>
      <c r="D204" s="121"/>
      <c r="E204" s="121"/>
      <c r="F204" s="121"/>
      <c r="G204" s="122"/>
    </row>
    <row r="205" ht="25.5" customHeight="1">
      <c r="A205" s="129" t="s">
        <v>1002</v>
      </c>
      <c r="B205" s="125"/>
      <c r="C205" s="125"/>
      <c r="D205" s="125"/>
      <c r="E205" s="125"/>
      <c r="F205" s="125"/>
      <c r="G205" s="126"/>
    </row>
    <row r="206" ht="18.0" customHeight="1">
      <c r="A206" s="130" t="s">
        <v>1003</v>
      </c>
      <c r="B206" s="10"/>
      <c r="C206" s="10"/>
      <c r="D206" s="10"/>
      <c r="E206" s="10"/>
      <c r="F206" s="10"/>
      <c r="G206" s="11"/>
    </row>
    <row r="207" ht="15.75" customHeight="1">
      <c r="A207" s="59" t="s">
        <v>463</v>
      </c>
      <c r="B207" s="59" t="s">
        <v>573</v>
      </c>
      <c r="C207" s="59" t="s">
        <v>423</v>
      </c>
      <c r="D207" s="59" t="s">
        <v>574</v>
      </c>
      <c r="E207" s="59" t="s">
        <v>75</v>
      </c>
      <c r="F207" s="59" t="s">
        <v>575</v>
      </c>
      <c r="G207" s="59" t="s">
        <v>576</v>
      </c>
    </row>
    <row r="208" ht="18.0" customHeight="1">
      <c r="A208" s="146" t="s">
        <v>1004</v>
      </c>
      <c r="B208" s="10"/>
      <c r="C208" s="10"/>
      <c r="D208" s="10"/>
      <c r="E208" s="10"/>
      <c r="F208" s="10"/>
      <c r="G208" s="11"/>
    </row>
    <row r="209" ht="42.0" customHeight="1">
      <c r="A209" s="103" t="s">
        <v>804</v>
      </c>
      <c r="B209" s="163" t="s">
        <v>1005</v>
      </c>
      <c r="C209" s="164" t="s">
        <v>1006</v>
      </c>
      <c r="D209" s="103">
        <v>1.0</v>
      </c>
      <c r="E209" s="141" t="s">
        <v>131</v>
      </c>
      <c r="F209" s="163" t="s">
        <v>1007</v>
      </c>
      <c r="G209" s="163" t="s">
        <v>1008</v>
      </c>
    </row>
    <row r="210" ht="42.0" customHeight="1">
      <c r="A210" s="103" t="s">
        <v>804</v>
      </c>
      <c r="B210" s="163" t="s">
        <v>1009</v>
      </c>
      <c r="C210" s="164" t="s">
        <v>947</v>
      </c>
      <c r="D210" s="103">
        <v>1.0</v>
      </c>
      <c r="E210" s="141" t="s">
        <v>131</v>
      </c>
      <c r="F210" s="163" t="s">
        <v>1010</v>
      </c>
      <c r="G210" s="163" t="s">
        <v>1011</v>
      </c>
    </row>
    <row r="211" ht="42.0" customHeight="1">
      <c r="A211" s="103" t="s">
        <v>804</v>
      </c>
      <c r="B211" s="163" t="s">
        <v>1012</v>
      </c>
      <c r="C211" s="164" t="s">
        <v>724</v>
      </c>
      <c r="D211" s="103">
        <v>1.0</v>
      </c>
      <c r="E211" s="141" t="s">
        <v>131</v>
      </c>
      <c r="F211" s="163" t="s">
        <v>1013</v>
      </c>
      <c r="G211" s="163" t="s">
        <v>1014</v>
      </c>
    </row>
    <row r="212" ht="18.0" customHeight="1">
      <c r="A212" s="131" t="s">
        <v>1015</v>
      </c>
      <c r="B212" s="10"/>
      <c r="C212" s="10"/>
      <c r="D212" s="10"/>
      <c r="E212" s="10"/>
      <c r="F212" s="10"/>
      <c r="G212" s="11"/>
    </row>
    <row r="213" ht="42.0" customHeight="1">
      <c r="A213" s="132" t="s">
        <v>578</v>
      </c>
      <c r="B213" s="133" t="s">
        <v>1016</v>
      </c>
      <c r="C213" s="134" t="s">
        <v>91</v>
      </c>
      <c r="D213" s="132">
        <v>2.0</v>
      </c>
      <c r="E213" s="136" t="s">
        <v>125</v>
      </c>
      <c r="F213" s="133" t="s">
        <v>1017</v>
      </c>
      <c r="G213" s="133" t="s">
        <v>1018</v>
      </c>
    </row>
    <row r="214" ht="42.0" customHeight="1">
      <c r="A214" s="132" t="s">
        <v>578</v>
      </c>
      <c r="B214" s="133" t="s">
        <v>1019</v>
      </c>
      <c r="C214" s="134" t="s">
        <v>91</v>
      </c>
      <c r="D214" s="132">
        <v>2.0</v>
      </c>
      <c r="E214" s="141" t="s">
        <v>131</v>
      </c>
      <c r="F214" s="133" t="s">
        <v>1020</v>
      </c>
      <c r="G214" s="133" t="s">
        <v>1021</v>
      </c>
    </row>
    <row r="215" ht="42.0" customHeight="1">
      <c r="A215" s="132" t="s">
        <v>578</v>
      </c>
      <c r="B215" s="133" t="s">
        <v>1022</v>
      </c>
      <c r="C215" s="134" t="s">
        <v>84</v>
      </c>
      <c r="D215" s="132">
        <v>2.0</v>
      </c>
      <c r="E215" s="141" t="s">
        <v>131</v>
      </c>
      <c r="F215" s="133" t="s">
        <v>1023</v>
      </c>
      <c r="G215" s="133" t="s">
        <v>1024</v>
      </c>
    </row>
    <row r="216" ht="42.0" customHeight="1">
      <c r="A216" s="132" t="s">
        <v>578</v>
      </c>
      <c r="B216" s="133" t="s">
        <v>1025</v>
      </c>
      <c r="C216" s="134" t="s">
        <v>96</v>
      </c>
      <c r="D216" s="132">
        <v>2.0</v>
      </c>
      <c r="E216" s="141" t="s">
        <v>131</v>
      </c>
      <c r="F216" s="133" t="s">
        <v>1026</v>
      </c>
      <c r="G216" s="133" t="s">
        <v>1027</v>
      </c>
    </row>
    <row r="217" ht="42.0" customHeight="1">
      <c r="A217" s="132" t="s">
        <v>578</v>
      </c>
      <c r="B217" s="133" t="s">
        <v>1028</v>
      </c>
      <c r="C217" s="134" t="s">
        <v>96</v>
      </c>
      <c r="D217" s="132">
        <v>2.0</v>
      </c>
      <c r="E217" s="141" t="s">
        <v>131</v>
      </c>
      <c r="F217" s="133" t="s">
        <v>1029</v>
      </c>
      <c r="G217" s="133" t="s">
        <v>1030</v>
      </c>
    </row>
    <row r="218" ht="42.0" customHeight="1">
      <c r="A218" s="132" t="s">
        <v>578</v>
      </c>
      <c r="B218" s="133" t="s">
        <v>1031</v>
      </c>
      <c r="C218" s="134" t="s">
        <v>96</v>
      </c>
      <c r="D218" s="132">
        <v>2.0</v>
      </c>
      <c r="E218" s="141" t="s">
        <v>131</v>
      </c>
      <c r="F218" s="133" t="s">
        <v>1032</v>
      </c>
      <c r="G218" s="133" t="s">
        <v>1033</v>
      </c>
    </row>
    <row r="219" ht="42.0" customHeight="1">
      <c r="A219" s="132" t="s">
        <v>578</v>
      </c>
      <c r="B219" s="133" t="s">
        <v>1034</v>
      </c>
      <c r="C219" s="134" t="s">
        <v>96</v>
      </c>
      <c r="D219" s="132">
        <v>2.0</v>
      </c>
      <c r="E219" s="141" t="s">
        <v>131</v>
      </c>
      <c r="F219" s="133" t="s">
        <v>1035</v>
      </c>
      <c r="G219" s="133" t="s">
        <v>1036</v>
      </c>
    </row>
    <row r="220" ht="42.0" customHeight="1">
      <c r="A220" s="132" t="s">
        <v>578</v>
      </c>
      <c r="B220" s="133" t="s">
        <v>1037</v>
      </c>
      <c r="C220" s="134" t="s">
        <v>96</v>
      </c>
      <c r="D220" s="132">
        <v>2.0</v>
      </c>
      <c r="E220" s="141" t="s">
        <v>131</v>
      </c>
      <c r="F220" s="133" t="s">
        <v>1038</v>
      </c>
      <c r="G220" s="133" t="s">
        <v>1039</v>
      </c>
    </row>
    <row r="221" ht="18.0" customHeight="1">
      <c r="A221" s="137" t="s">
        <v>1040</v>
      </c>
      <c r="B221" s="10"/>
      <c r="C221" s="10"/>
      <c r="D221" s="10"/>
      <c r="E221" s="10"/>
      <c r="F221" s="10"/>
      <c r="G221" s="11"/>
    </row>
    <row r="222" ht="42.0" customHeight="1">
      <c r="A222" s="138" t="s">
        <v>608</v>
      </c>
      <c r="B222" s="139" t="s">
        <v>1041</v>
      </c>
      <c r="C222" s="140" t="s">
        <v>429</v>
      </c>
      <c r="D222" s="138">
        <v>1.0</v>
      </c>
      <c r="E222" s="141" t="s">
        <v>131</v>
      </c>
      <c r="F222" s="139" t="s">
        <v>1042</v>
      </c>
      <c r="G222" s="139" t="s">
        <v>1043</v>
      </c>
    </row>
    <row r="223" ht="18.0" customHeight="1">
      <c r="A223" s="142" t="s">
        <v>1044</v>
      </c>
      <c r="B223" s="10"/>
      <c r="C223" s="10"/>
      <c r="D223" s="10"/>
      <c r="E223" s="10"/>
      <c r="F223" s="10"/>
      <c r="G223" s="11"/>
    </row>
    <row r="224" ht="42.0" customHeight="1">
      <c r="A224" s="143" t="s">
        <v>628</v>
      </c>
      <c r="B224" s="144" t="s">
        <v>1045</v>
      </c>
      <c r="C224" s="145" t="s">
        <v>947</v>
      </c>
      <c r="D224" s="143">
        <v>1.0</v>
      </c>
      <c r="E224" s="141" t="s">
        <v>131</v>
      </c>
      <c r="F224" s="144" t="s">
        <v>1046</v>
      </c>
      <c r="G224" s="144" t="s">
        <v>1047</v>
      </c>
    </row>
    <row r="225" ht="42.0" customHeight="1">
      <c r="A225" s="143" t="s">
        <v>628</v>
      </c>
      <c r="B225" s="144" t="s">
        <v>1048</v>
      </c>
      <c r="C225" s="145" t="s">
        <v>96</v>
      </c>
      <c r="D225" s="143">
        <v>1.0</v>
      </c>
      <c r="E225" s="141" t="s">
        <v>131</v>
      </c>
      <c r="F225" s="144" t="s">
        <v>1049</v>
      </c>
      <c r="G225" s="144" t="s">
        <v>1050</v>
      </c>
    </row>
    <row r="226" ht="42.0" customHeight="1">
      <c r="A226" s="143" t="s">
        <v>628</v>
      </c>
      <c r="B226" s="144" t="s">
        <v>1051</v>
      </c>
      <c r="C226" s="145" t="s">
        <v>96</v>
      </c>
      <c r="D226" s="143">
        <v>1.0</v>
      </c>
      <c r="E226" s="141" t="s">
        <v>131</v>
      </c>
      <c r="F226" s="144" t="s">
        <v>1052</v>
      </c>
      <c r="G226" s="144" t="s">
        <v>1050</v>
      </c>
    </row>
    <row r="227" ht="42.0" customHeight="1">
      <c r="A227" s="143" t="s">
        <v>628</v>
      </c>
      <c r="B227" s="144" t="s">
        <v>1053</v>
      </c>
      <c r="C227" s="145" t="s">
        <v>96</v>
      </c>
      <c r="D227" s="143">
        <v>1.0</v>
      </c>
      <c r="E227" s="141" t="s">
        <v>131</v>
      </c>
      <c r="F227" s="144" t="s">
        <v>1054</v>
      </c>
      <c r="G227" s="144" t="s">
        <v>1055</v>
      </c>
    </row>
    <row r="228" ht="42.0" customHeight="1">
      <c r="A228" s="143" t="s">
        <v>628</v>
      </c>
      <c r="B228" s="144" t="s">
        <v>1056</v>
      </c>
      <c r="C228" s="145" t="s">
        <v>96</v>
      </c>
      <c r="D228" s="143">
        <v>1.0</v>
      </c>
      <c r="E228" s="141" t="s">
        <v>131</v>
      </c>
      <c r="F228" s="144" t="s">
        <v>1057</v>
      </c>
      <c r="G228" s="144" t="s">
        <v>1058</v>
      </c>
    </row>
    <row r="229" ht="42.0" customHeight="1">
      <c r="A229" s="143" t="s">
        <v>628</v>
      </c>
      <c r="B229" s="144" t="s">
        <v>1059</v>
      </c>
      <c r="C229" s="145" t="s">
        <v>96</v>
      </c>
      <c r="D229" s="143">
        <v>1.0</v>
      </c>
      <c r="E229" s="141" t="s">
        <v>131</v>
      </c>
      <c r="F229" s="144" t="s">
        <v>1060</v>
      </c>
      <c r="G229" s="144" t="s">
        <v>1061</v>
      </c>
    </row>
    <row r="230" ht="42.0" customHeight="1">
      <c r="A230" s="143" t="s">
        <v>628</v>
      </c>
      <c r="B230" s="144" t="s">
        <v>1062</v>
      </c>
      <c r="C230" s="145" t="s">
        <v>91</v>
      </c>
      <c r="D230" s="143">
        <v>1.0</v>
      </c>
      <c r="E230" s="141" t="s">
        <v>131</v>
      </c>
      <c r="F230" s="144" t="s">
        <v>1063</v>
      </c>
      <c r="G230" s="144" t="s">
        <v>1064</v>
      </c>
    </row>
    <row r="231" ht="42.0" customHeight="1">
      <c r="A231" s="143" t="s">
        <v>628</v>
      </c>
      <c r="B231" s="144" t="s">
        <v>1065</v>
      </c>
      <c r="C231" s="145" t="s">
        <v>96</v>
      </c>
      <c r="D231" s="143">
        <v>1.0</v>
      </c>
      <c r="E231" s="141" t="s">
        <v>131</v>
      </c>
      <c r="F231" s="144" t="s">
        <v>1066</v>
      </c>
      <c r="G231" s="144" t="s">
        <v>1067</v>
      </c>
    </row>
    <row r="232" ht="42.0" customHeight="1">
      <c r="A232" s="143" t="s">
        <v>628</v>
      </c>
      <c r="B232" s="144" t="s">
        <v>1068</v>
      </c>
      <c r="C232" s="145" t="s">
        <v>947</v>
      </c>
      <c r="D232" s="143">
        <v>1.0</v>
      </c>
      <c r="E232" s="141" t="s">
        <v>131</v>
      </c>
      <c r="F232" s="144" t="s">
        <v>1069</v>
      </c>
      <c r="G232" s="144" t="s">
        <v>1070</v>
      </c>
    </row>
    <row r="233" ht="18.0" customHeight="1">
      <c r="A233" s="137" t="s">
        <v>1071</v>
      </c>
      <c r="B233" s="10"/>
      <c r="C233" s="10"/>
      <c r="D233" s="10"/>
      <c r="E233" s="10"/>
      <c r="F233" s="10"/>
      <c r="G233" s="11"/>
    </row>
    <row r="234" ht="42.0" customHeight="1">
      <c r="A234" s="155" t="s">
        <v>769</v>
      </c>
      <c r="B234" s="156" t="s">
        <v>1072</v>
      </c>
      <c r="C234" s="157" t="s">
        <v>412</v>
      </c>
      <c r="D234" s="155">
        <v>1.0</v>
      </c>
      <c r="E234" s="141" t="s">
        <v>131</v>
      </c>
      <c r="F234" s="156" t="s">
        <v>1073</v>
      </c>
      <c r="G234" s="156" t="s">
        <v>1074</v>
      </c>
    </row>
    <row r="235" ht="42.0" customHeight="1">
      <c r="A235" s="155" t="s">
        <v>769</v>
      </c>
      <c r="B235" s="156" t="s">
        <v>1075</v>
      </c>
      <c r="C235" s="157" t="s">
        <v>91</v>
      </c>
      <c r="D235" s="155">
        <v>1.0</v>
      </c>
      <c r="E235" s="141" t="s">
        <v>131</v>
      </c>
      <c r="F235" s="156" t="s">
        <v>1076</v>
      </c>
      <c r="G235" s="156" t="s">
        <v>1077</v>
      </c>
    </row>
    <row r="236" ht="42.0" customHeight="1">
      <c r="A236" s="155" t="s">
        <v>769</v>
      </c>
      <c r="B236" s="156" t="s">
        <v>1078</v>
      </c>
      <c r="C236" s="157" t="s">
        <v>84</v>
      </c>
      <c r="D236" s="155">
        <v>1.0</v>
      </c>
      <c r="E236" s="141" t="s">
        <v>131</v>
      </c>
      <c r="F236" s="156" t="s">
        <v>1079</v>
      </c>
      <c r="G236" s="156" t="s">
        <v>1080</v>
      </c>
    </row>
    <row r="237" ht="42.0" customHeight="1">
      <c r="A237" s="155" t="s">
        <v>769</v>
      </c>
      <c r="B237" s="156" t="s">
        <v>1081</v>
      </c>
      <c r="C237" s="157" t="s">
        <v>96</v>
      </c>
      <c r="D237" s="155">
        <v>1.0</v>
      </c>
      <c r="E237" s="141" t="s">
        <v>131</v>
      </c>
      <c r="F237" s="156" t="s">
        <v>1082</v>
      </c>
      <c r="G237" s="156" t="s">
        <v>1083</v>
      </c>
    </row>
    <row r="238" ht="18.0" customHeight="1">
      <c r="A238" s="146" t="s">
        <v>1084</v>
      </c>
      <c r="B238" s="10"/>
      <c r="C238" s="10"/>
      <c r="D238" s="10"/>
      <c r="E238" s="10"/>
      <c r="F238" s="10"/>
      <c r="G238" s="11"/>
    </row>
    <row r="239" ht="21.75" customHeight="1">
      <c r="A239" s="147" t="s">
        <v>1085</v>
      </c>
      <c r="B239" s="10"/>
      <c r="C239" s="10"/>
      <c r="D239" s="10"/>
      <c r="E239" s="10"/>
      <c r="F239" s="10"/>
      <c r="G239" s="11"/>
    </row>
    <row r="240" ht="21.75" customHeight="1">
      <c r="A240" s="147" t="s">
        <v>1086</v>
      </c>
      <c r="B240" s="10"/>
      <c r="C240" s="10"/>
      <c r="D240" s="10"/>
      <c r="E240" s="10"/>
      <c r="F240" s="10"/>
      <c r="G240" s="11"/>
    </row>
    <row r="241" ht="21.75" customHeight="1">
      <c r="A241" s="147" t="s">
        <v>1087</v>
      </c>
      <c r="B241" s="10"/>
      <c r="C241" s="10"/>
      <c r="D241" s="10"/>
      <c r="E241" s="10"/>
      <c r="F241" s="10"/>
      <c r="G241" s="11"/>
    </row>
    <row r="242" ht="21.75" customHeight="1">
      <c r="A242" s="147" t="s">
        <v>1088</v>
      </c>
      <c r="B242" s="10"/>
      <c r="C242" s="10"/>
      <c r="D242" s="10"/>
      <c r="E242" s="10"/>
      <c r="F242" s="10"/>
      <c r="G242" s="11"/>
    </row>
    <row r="243" ht="21.75" customHeight="1">
      <c r="A243" s="147" t="s">
        <v>1089</v>
      </c>
      <c r="B243" s="10"/>
      <c r="C243" s="10"/>
      <c r="D243" s="10"/>
      <c r="E243" s="10"/>
      <c r="F243" s="10"/>
      <c r="G243" s="11"/>
    </row>
    <row r="244" ht="21.75" customHeight="1">
      <c r="A244" s="147" t="s">
        <v>1090</v>
      </c>
      <c r="B244" s="10"/>
      <c r="C244" s="10"/>
      <c r="D244" s="10"/>
      <c r="E244" s="10"/>
      <c r="F244" s="10"/>
      <c r="G244" s="11"/>
    </row>
    <row r="245" ht="21.75" customHeight="1">
      <c r="A245" s="147" t="s">
        <v>1091</v>
      </c>
      <c r="B245" s="10"/>
      <c r="C245" s="10"/>
      <c r="D245" s="10"/>
      <c r="E245" s="10"/>
      <c r="F245" s="10"/>
      <c r="G245" s="11"/>
    </row>
    <row r="246" ht="18.0" customHeight="1">
      <c r="A246" s="148" t="s">
        <v>1092</v>
      </c>
      <c r="B246" s="10"/>
      <c r="C246" s="10"/>
      <c r="D246" s="10"/>
      <c r="E246" s="10"/>
      <c r="F246" s="10"/>
      <c r="G246" s="11"/>
    </row>
    <row r="247" ht="21.75" customHeight="1">
      <c r="A247" s="149" t="s">
        <v>1093</v>
      </c>
      <c r="B247" s="10"/>
      <c r="C247" s="10"/>
      <c r="D247" s="10"/>
      <c r="E247" s="10"/>
      <c r="F247" s="10"/>
      <c r="G247" s="11"/>
    </row>
    <row r="248" ht="21.75" customHeight="1">
      <c r="A248" s="149" t="s">
        <v>1094</v>
      </c>
      <c r="B248" s="10"/>
      <c r="C248" s="10"/>
      <c r="D248" s="10"/>
      <c r="E248" s="10"/>
      <c r="F248" s="10"/>
      <c r="G248" s="11"/>
    </row>
    <row r="249" ht="21.75" customHeight="1">
      <c r="A249" s="149" t="s">
        <v>1095</v>
      </c>
      <c r="B249" s="10"/>
      <c r="C249" s="10"/>
      <c r="D249" s="10"/>
      <c r="E249" s="10"/>
      <c r="F249" s="10"/>
      <c r="G249" s="11"/>
    </row>
    <row r="250" ht="21.75" customHeight="1">
      <c r="A250" s="149" t="s">
        <v>1096</v>
      </c>
      <c r="B250" s="10"/>
      <c r="C250" s="10"/>
      <c r="D250" s="10"/>
      <c r="E250" s="10"/>
      <c r="F250" s="10"/>
      <c r="G250" s="11"/>
    </row>
    <row r="251" ht="21.75" customHeight="1">
      <c r="A251" s="149" t="s">
        <v>1097</v>
      </c>
      <c r="B251" s="10"/>
      <c r="C251" s="10"/>
      <c r="D251" s="10"/>
      <c r="E251" s="10"/>
      <c r="F251" s="10"/>
      <c r="G251" s="11"/>
    </row>
    <row r="252" ht="21.75" customHeight="1">
      <c r="A252" s="149" t="s">
        <v>1098</v>
      </c>
      <c r="B252" s="10"/>
      <c r="C252" s="10"/>
      <c r="D252" s="10"/>
      <c r="E252" s="10"/>
      <c r="F252" s="10"/>
      <c r="G252" s="11"/>
    </row>
    <row r="253" ht="21.75" customHeight="1">
      <c r="A253" s="149" t="s">
        <v>1099</v>
      </c>
      <c r="B253" s="10"/>
      <c r="C253" s="10"/>
      <c r="D253" s="10"/>
      <c r="E253" s="10"/>
      <c r="F253" s="10"/>
      <c r="G253" s="11"/>
    </row>
    <row r="254" ht="21.75" customHeight="1">
      <c r="A254" s="149" t="s">
        <v>1100</v>
      </c>
      <c r="B254" s="10"/>
      <c r="C254" s="10"/>
      <c r="D254" s="10"/>
      <c r="E254" s="10"/>
      <c r="F254" s="10"/>
      <c r="G254" s="11"/>
    </row>
    <row r="255" ht="21.75" customHeight="1">
      <c r="A255" s="149" t="s">
        <v>1101</v>
      </c>
      <c r="B255" s="10"/>
      <c r="C255" s="10"/>
      <c r="D255" s="10"/>
      <c r="E255" s="10"/>
      <c r="F255" s="10"/>
      <c r="G255" s="11"/>
    </row>
    <row r="256" ht="21.75" customHeight="1">
      <c r="A256" s="149" t="s">
        <v>1102</v>
      </c>
      <c r="B256" s="10"/>
      <c r="C256" s="10"/>
      <c r="D256" s="10"/>
      <c r="E256" s="10"/>
      <c r="F256" s="10"/>
      <c r="G256" s="11"/>
    </row>
    <row r="257" ht="21.75" customHeight="1">
      <c r="A257" s="149" t="s">
        <v>1103</v>
      </c>
      <c r="B257" s="10"/>
      <c r="C257" s="10"/>
      <c r="D257" s="10"/>
      <c r="E257" s="10"/>
      <c r="F257" s="10"/>
      <c r="G257" s="11"/>
    </row>
    <row r="258" ht="21.75" customHeight="1">
      <c r="A258" s="149" t="s">
        <v>1104</v>
      </c>
      <c r="B258" s="10"/>
      <c r="C258" s="10"/>
      <c r="D258" s="10"/>
      <c r="E258" s="10"/>
      <c r="F258" s="10"/>
      <c r="G258" s="11"/>
    </row>
    <row r="259" ht="21.75" customHeight="1">
      <c r="A259" s="168" t="s">
        <v>1105</v>
      </c>
      <c r="B259" s="10"/>
      <c r="C259" s="11"/>
      <c r="D259" s="169">
        <f>IFERROR((SUMPRODUCT((E209:E258="Done")*(D209:D258))+SUMPRODUCT((E209:E258="In Progress")*(D209:D258)*0.5))/SUMPRODUCT((D209:D258&gt;0)*(D209:D258)),0)</f>
        <v>0.0303030303</v>
      </c>
      <c r="E259" s="170" t="s">
        <v>653</v>
      </c>
      <c r="F259" s="10"/>
      <c r="G259" s="11"/>
    </row>
    <row r="260" ht="15.75" customHeight="1">
      <c r="A260" s="8"/>
      <c r="B260" s="8"/>
      <c r="C260" s="8"/>
      <c r="D260" s="8"/>
      <c r="E260" s="8"/>
      <c r="F260" s="8"/>
      <c r="G260" s="8"/>
    </row>
    <row r="261" ht="15.75" customHeight="1">
      <c r="A261" s="8"/>
      <c r="B261" s="8"/>
      <c r="C261" s="8"/>
      <c r="D261" s="8"/>
      <c r="E261" s="8"/>
      <c r="F261" s="8"/>
      <c r="G261" s="8"/>
    </row>
    <row r="262" ht="15.75" customHeight="1">
      <c r="A262" s="8"/>
      <c r="B262" s="8"/>
      <c r="C262" s="8"/>
      <c r="D262" s="8"/>
      <c r="E262" s="8"/>
      <c r="F262" s="8"/>
      <c r="G262" s="8"/>
    </row>
    <row r="263" ht="15.75" customHeight="1">
      <c r="A263" s="8"/>
      <c r="B263" s="8"/>
      <c r="C263" s="8"/>
      <c r="D263" s="8"/>
      <c r="E263" s="8"/>
      <c r="F263" s="8"/>
      <c r="G263" s="8"/>
    </row>
    <row r="264" ht="15.75" customHeight="1">
      <c r="A264" s="8"/>
      <c r="B264" s="8"/>
      <c r="C264" s="8"/>
      <c r="D264" s="8"/>
      <c r="E264" s="8"/>
      <c r="F264" s="8"/>
      <c r="G264" s="8"/>
    </row>
    <row r="265" ht="15.75" customHeight="1">
      <c r="A265" s="8"/>
      <c r="B265" s="8"/>
      <c r="C265" s="8"/>
      <c r="D265" s="8"/>
      <c r="E265" s="8"/>
      <c r="F265" s="8"/>
      <c r="G265" s="8"/>
    </row>
    <row r="266" ht="15.75" customHeight="1">
      <c r="A266" s="8"/>
      <c r="B266" s="8"/>
      <c r="C266" s="8"/>
      <c r="D266" s="8"/>
      <c r="E266" s="8"/>
      <c r="F266" s="8"/>
      <c r="G266" s="8"/>
    </row>
    <row r="267" ht="15.75" customHeight="1">
      <c r="A267" s="8"/>
      <c r="B267" s="8"/>
      <c r="C267" s="8"/>
      <c r="D267" s="8"/>
      <c r="E267" s="8"/>
      <c r="F267" s="8"/>
      <c r="G267" s="8"/>
    </row>
    <row r="268" ht="15.75" customHeight="1">
      <c r="A268" s="8"/>
      <c r="B268" s="8"/>
      <c r="C268" s="8"/>
      <c r="D268" s="8"/>
      <c r="E268" s="8"/>
      <c r="F268" s="8"/>
      <c r="G268" s="8"/>
    </row>
    <row r="269" ht="15.75" customHeight="1">
      <c r="A269" s="8"/>
      <c r="B269" s="8"/>
      <c r="C269" s="8"/>
      <c r="D269" s="8"/>
      <c r="E269" s="8"/>
      <c r="F269" s="8"/>
      <c r="G269" s="8"/>
    </row>
    <row r="270" ht="15.75" customHeight="1">
      <c r="A270" s="8"/>
      <c r="B270" s="8"/>
      <c r="C270" s="8"/>
      <c r="D270" s="8"/>
      <c r="E270" s="8"/>
      <c r="F270" s="8"/>
      <c r="G270" s="8"/>
    </row>
    <row r="271" ht="15.75" customHeight="1">
      <c r="A271" s="8"/>
      <c r="B271" s="8"/>
      <c r="C271" s="8"/>
      <c r="D271" s="8"/>
      <c r="E271" s="8"/>
      <c r="F271" s="8"/>
      <c r="G271" s="8"/>
    </row>
    <row r="272" ht="15.75" customHeight="1">
      <c r="A272" s="8"/>
      <c r="B272" s="8"/>
      <c r="C272" s="8"/>
      <c r="D272" s="8"/>
      <c r="E272" s="8"/>
      <c r="F272" s="8"/>
      <c r="G272" s="8"/>
    </row>
    <row r="273" ht="15.75" customHeight="1">
      <c r="A273" s="8"/>
      <c r="B273" s="8"/>
      <c r="C273" s="8"/>
      <c r="D273" s="8"/>
      <c r="E273" s="8"/>
      <c r="F273" s="8"/>
      <c r="G273" s="8"/>
    </row>
    <row r="274" ht="15.75" customHeight="1">
      <c r="A274" s="8"/>
      <c r="B274" s="8"/>
      <c r="C274" s="8"/>
      <c r="D274" s="8"/>
      <c r="E274" s="8"/>
      <c r="F274" s="8"/>
      <c r="G274" s="8"/>
    </row>
    <row r="275" ht="15.75" customHeight="1">
      <c r="A275" s="8"/>
      <c r="B275" s="8"/>
      <c r="C275" s="8"/>
      <c r="D275" s="8"/>
      <c r="E275" s="8"/>
      <c r="F275" s="8"/>
      <c r="G275" s="8"/>
    </row>
    <row r="276" ht="15.75" customHeight="1">
      <c r="A276" s="8"/>
      <c r="B276" s="8"/>
      <c r="C276" s="8"/>
      <c r="D276" s="8"/>
      <c r="E276" s="8"/>
      <c r="F276" s="8"/>
      <c r="G276" s="8"/>
    </row>
    <row r="277" ht="15.75" customHeight="1">
      <c r="A277" s="8"/>
      <c r="B277" s="8"/>
      <c r="C277" s="8"/>
      <c r="D277" s="8"/>
      <c r="E277" s="8"/>
      <c r="F277" s="8"/>
      <c r="G277" s="8"/>
    </row>
    <row r="278" ht="15.75" customHeight="1">
      <c r="A278" s="8"/>
      <c r="B278" s="8"/>
      <c r="C278" s="8"/>
      <c r="D278" s="8"/>
      <c r="E278" s="8"/>
      <c r="F278" s="8"/>
      <c r="G278" s="8"/>
    </row>
    <row r="279" ht="15.75" customHeight="1">
      <c r="A279" s="8"/>
      <c r="B279" s="8"/>
      <c r="C279" s="8"/>
      <c r="D279" s="8"/>
      <c r="E279" s="8"/>
      <c r="F279" s="8"/>
      <c r="G279" s="8"/>
    </row>
    <row r="280" ht="15.75" customHeight="1">
      <c r="A280" s="8"/>
      <c r="B280" s="8"/>
      <c r="C280" s="8"/>
      <c r="D280" s="8"/>
      <c r="E280" s="8"/>
      <c r="F280" s="8"/>
      <c r="G280" s="8"/>
    </row>
    <row r="281" ht="15.75" customHeight="1">
      <c r="A281" s="8"/>
      <c r="B281" s="8"/>
      <c r="C281" s="8"/>
      <c r="D281" s="8"/>
      <c r="E281" s="8"/>
      <c r="F281" s="8"/>
      <c r="G281" s="8"/>
    </row>
    <row r="282" ht="15.75" customHeight="1">
      <c r="A282" s="8"/>
      <c r="B282" s="8"/>
      <c r="C282" s="8"/>
      <c r="D282" s="8"/>
      <c r="E282" s="8"/>
      <c r="F282" s="8"/>
      <c r="G282" s="8"/>
    </row>
    <row r="283" ht="15.75" customHeight="1">
      <c r="A283" s="8"/>
      <c r="B283" s="8"/>
      <c r="C283" s="8"/>
      <c r="D283" s="8"/>
      <c r="E283" s="8"/>
      <c r="F283" s="8"/>
      <c r="G283" s="8"/>
    </row>
    <row r="284" ht="15.75" customHeight="1">
      <c r="A284" s="8"/>
      <c r="B284" s="8"/>
      <c r="C284" s="8"/>
      <c r="D284" s="8"/>
      <c r="E284" s="8"/>
      <c r="F284" s="8"/>
      <c r="G284" s="8"/>
    </row>
    <row r="285" ht="15.75" customHeight="1">
      <c r="A285" s="8"/>
      <c r="B285" s="8"/>
      <c r="C285" s="8"/>
      <c r="D285" s="8"/>
      <c r="E285" s="8"/>
      <c r="F285" s="8"/>
      <c r="G285" s="8"/>
    </row>
    <row r="286" ht="15.75" customHeight="1">
      <c r="A286" s="8"/>
      <c r="B286" s="8"/>
      <c r="C286" s="8"/>
      <c r="D286" s="8"/>
      <c r="E286" s="8"/>
      <c r="F286" s="8"/>
      <c r="G286" s="8"/>
    </row>
    <row r="287" ht="15.75" customHeight="1">
      <c r="A287" s="8"/>
      <c r="B287" s="8"/>
      <c r="C287" s="8"/>
      <c r="D287" s="8"/>
      <c r="E287" s="8"/>
      <c r="F287" s="8"/>
      <c r="G287" s="8"/>
    </row>
    <row r="288" ht="15.75" customHeight="1">
      <c r="A288" s="8"/>
      <c r="B288" s="8"/>
      <c r="C288" s="8"/>
      <c r="D288" s="8"/>
      <c r="E288" s="8"/>
      <c r="F288" s="8"/>
      <c r="G288" s="8"/>
    </row>
    <row r="289" ht="15.75" customHeight="1">
      <c r="A289" s="8"/>
      <c r="B289" s="8"/>
      <c r="C289" s="8"/>
      <c r="D289" s="8"/>
      <c r="E289" s="8"/>
      <c r="F289" s="8"/>
      <c r="G289" s="8"/>
    </row>
    <row r="290" ht="15.75" customHeight="1">
      <c r="A290" s="8"/>
      <c r="B290" s="8"/>
      <c r="C290" s="8"/>
      <c r="D290" s="8"/>
      <c r="E290" s="8"/>
      <c r="F290" s="8"/>
      <c r="G290" s="8"/>
    </row>
    <row r="291" ht="15.75" customHeight="1">
      <c r="A291" s="8"/>
      <c r="B291" s="8"/>
      <c r="C291" s="8"/>
      <c r="D291" s="8"/>
      <c r="E291" s="8"/>
      <c r="F291" s="8"/>
      <c r="G291" s="8"/>
    </row>
    <row r="292" ht="15.75" customHeight="1">
      <c r="A292" s="8"/>
      <c r="B292" s="8"/>
      <c r="C292" s="8"/>
      <c r="D292" s="8"/>
      <c r="E292" s="8"/>
      <c r="F292" s="8"/>
      <c r="G292" s="8"/>
    </row>
    <row r="293" ht="15.75" customHeight="1">
      <c r="A293" s="8"/>
      <c r="B293" s="8"/>
      <c r="C293" s="8"/>
      <c r="D293" s="8"/>
      <c r="E293" s="8"/>
      <c r="F293" s="8"/>
      <c r="G293" s="8"/>
    </row>
    <row r="294" ht="15.75" customHeight="1">
      <c r="A294" s="8"/>
      <c r="B294" s="8"/>
      <c r="C294" s="8"/>
      <c r="D294" s="8"/>
      <c r="E294" s="8"/>
      <c r="F294" s="8"/>
      <c r="G294" s="8"/>
    </row>
    <row r="295" ht="15.75" customHeight="1">
      <c r="A295" s="8"/>
      <c r="B295" s="8"/>
      <c r="C295" s="8"/>
      <c r="D295" s="8"/>
      <c r="E295" s="8"/>
      <c r="F295" s="8"/>
      <c r="G295" s="8"/>
    </row>
    <row r="296" ht="15.75" customHeight="1">
      <c r="A296" s="8"/>
      <c r="B296" s="8"/>
      <c r="C296" s="8"/>
      <c r="D296" s="8"/>
      <c r="E296" s="8"/>
      <c r="F296" s="8"/>
      <c r="G296" s="8"/>
    </row>
    <row r="297" ht="15.75" customHeight="1">
      <c r="A297" s="8"/>
      <c r="B297" s="8"/>
      <c r="C297" s="8"/>
      <c r="D297" s="8"/>
      <c r="E297" s="8"/>
      <c r="F297" s="8"/>
      <c r="G297" s="8"/>
    </row>
    <row r="298" ht="15.75" customHeight="1">
      <c r="A298" s="8"/>
      <c r="B298" s="8"/>
      <c r="C298" s="8"/>
      <c r="D298" s="8"/>
      <c r="E298" s="8"/>
      <c r="F298" s="8"/>
      <c r="G298" s="8"/>
    </row>
    <row r="299" ht="15.75" customHeight="1">
      <c r="A299" s="8"/>
      <c r="B299" s="8"/>
      <c r="C299" s="8"/>
      <c r="D299" s="8"/>
      <c r="E299" s="8"/>
      <c r="F299" s="8"/>
      <c r="G299" s="8"/>
    </row>
    <row r="300" ht="15.75" customHeight="1">
      <c r="A300" s="8"/>
      <c r="B300" s="8"/>
      <c r="C300" s="8"/>
      <c r="D300" s="8"/>
      <c r="E300" s="8"/>
      <c r="F300" s="8"/>
      <c r="G300" s="8"/>
    </row>
    <row r="301" ht="15.75" customHeight="1">
      <c r="A301" s="8"/>
      <c r="B301" s="8"/>
      <c r="C301" s="8"/>
      <c r="D301" s="8"/>
      <c r="E301" s="8"/>
      <c r="F301" s="8"/>
      <c r="G301" s="8"/>
    </row>
    <row r="302" ht="15.75" customHeight="1">
      <c r="A302" s="8"/>
      <c r="B302" s="8"/>
      <c r="C302" s="8"/>
      <c r="D302" s="8"/>
      <c r="E302" s="8"/>
      <c r="F302" s="8"/>
      <c r="G302" s="8"/>
    </row>
    <row r="303" ht="15.75" customHeight="1">
      <c r="A303" s="8"/>
      <c r="B303" s="8"/>
      <c r="C303" s="8"/>
      <c r="D303" s="8"/>
      <c r="E303" s="8"/>
      <c r="F303" s="8"/>
      <c r="G303" s="8"/>
    </row>
    <row r="304" ht="15.75" customHeight="1">
      <c r="A304" s="8"/>
      <c r="B304" s="8"/>
      <c r="C304" s="8"/>
      <c r="D304" s="8"/>
      <c r="E304" s="8"/>
      <c r="F304" s="8"/>
      <c r="G304" s="8"/>
    </row>
    <row r="305" ht="15.75" customHeight="1">
      <c r="A305" s="8"/>
      <c r="B305" s="8"/>
      <c r="C305" s="8"/>
      <c r="D305" s="8"/>
      <c r="E305" s="8"/>
      <c r="F305" s="8"/>
      <c r="G305" s="8"/>
    </row>
    <row r="306" ht="15.75" customHeight="1">
      <c r="A306" s="8"/>
      <c r="B306" s="8"/>
      <c r="C306" s="8"/>
      <c r="D306" s="8"/>
      <c r="E306" s="8"/>
      <c r="F306" s="8"/>
      <c r="G306" s="8"/>
    </row>
    <row r="307" ht="15.75" customHeight="1">
      <c r="A307" s="8"/>
      <c r="B307" s="8"/>
      <c r="C307" s="8"/>
      <c r="D307" s="8"/>
      <c r="E307" s="8"/>
      <c r="F307" s="8"/>
      <c r="G307" s="8"/>
    </row>
    <row r="308" ht="15.75" customHeight="1">
      <c r="A308" s="8"/>
      <c r="B308" s="8"/>
      <c r="C308" s="8"/>
      <c r="D308" s="8"/>
      <c r="E308" s="8"/>
      <c r="F308" s="8"/>
      <c r="G308" s="8"/>
    </row>
    <row r="309" ht="15.75" customHeight="1">
      <c r="A309" s="8"/>
      <c r="B309" s="8"/>
      <c r="C309" s="8"/>
      <c r="D309" s="8"/>
      <c r="E309" s="8"/>
      <c r="F309" s="8"/>
      <c r="G309" s="8"/>
    </row>
    <row r="310" ht="15.75" customHeight="1">
      <c r="A310" s="8"/>
      <c r="B310" s="8"/>
      <c r="C310" s="8"/>
      <c r="D310" s="8"/>
      <c r="E310" s="8"/>
      <c r="F310" s="8"/>
      <c r="G310" s="8"/>
    </row>
    <row r="311" ht="15.75" customHeight="1">
      <c r="A311" s="8"/>
      <c r="B311" s="8"/>
      <c r="C311" s="8"/>
      <c r="D311" s="8"/>
      <c r="E311" s="8"/>
      <c r="F311" s="8"/>
      <c r="G311" s="8"/>
    </row>
    <row r="312" ht="15.75" customHeight="1">
      <c r="A312" s="8"/>
      <c r="B312" s="8"/>
      <c r="C312" s="8"/>
      <c r="D312" s="8"/>
      <c r="E312" s="8"/>
      <c r="F312" s="8"/>
      <c r="G312" s="8"/>
    </row>
    <row r="313" ht="15.75" customHeight="1">
      <c r="A313" s="8"/>
      <c r="B313" s="8"/>
      <c r="C313" s="8"/>
      <c r="D313" s="8"/>
      <c r="E313" s="8"/>
      <c r="F313" s="8"/>
      <c r="G313" s="8"/>
    </row>
    <row r="314" ht="15.75" customHeight="1">
      <c r="A314" s="8"/>
      <c r="B314" s="8"/>
      <c r="C314" s="8"/>
      <c r="D314" s="8"/>
      <c r="E314" s="8"/>
      <c r="F314" s="8"/>
      <c r="G314" s="8"/>
    </row>
    <row r="315" ht="15.75" customHeight="1">
      <c r="A315" s="8"/>
      <c r="B315" s="8"/>
      <c r="C315" s="8"/>
      <c r="D315" s="8"/>
      <c r="E315" s="8"/>
      <c r="F315" s="8"/>
      <c r="G315" s="8"/>
    </row>
    <row r="316" ht="15.75" customHeight="1">
      <c r="A316" s="8"/>
      <c r="B316" s="8"/>
      <c r="C316" s="8"/>
      <c r="D316" s="8"/>
      <c r="E316" s="8"/>
      <c r="F316" s="8"/>
      <c r="G316" s="8"/>
    </row>
    <row r="317" ht="15.75" customHeight="1">
      <c r="A317" s="8"/>
      <c r="B317" s="8"/>
      <c r="C317" s="8"/>
      <c r="D317" s="8"/>
      <c r="E317" s="8"/>
      <c r="F317" s="8"/>
      <c r="G317" s="8"/>
    </row>
    <row r="318" ht="15.75" customHeight="1">
      <c r="A318" s="8"/>
      <c r="B318" s="8"/>
      <c r="C318" s="8"/>
      <c r="D318" s="8"/>
      <c r="E318" s="8"/>
      <c r="F318" s="8"/>
      <c r="G318" s="8"/>
    </row>
    <row r="319" ht="15.75" customHeight="1">
      <c r="A319" s="8"/>
      <c r="B319" s="8"/>
      <c r="C319" s="8"/>
      <c r="D319" s="8"/>
      <c r="E319" s="8"/>
      <c r="F319" s="8"/>
      <c r="G319" s="8"/>
    </row>
    <row r="320" ht="15.75" customHeight="1">
      <c r="A320" s="8"/>
      <c r="B320" s="8"/>
      <c r="C320" s="8"/>
      <c r="D320" s="8"/>
      <c r="E320" s="8"/>
      <c r="F320" s="8"/>
      <c r="G320" s="8"/>
    </row>
    <row r="321" ht="15.75" customHeight="1">
      <c r="A321" s="8"/>
      <c r="B321" s="8"/>
      <c r="C321" s="8"/>
      <c r="D321" s="8"/>
      <c r="E321" s="8"/>
      <c r="F321" s="8"/>
      <c r="G321" s="8"/>
    </row>
    <row r="322" ht="15.75" customHeight="1">
      <c r="A322" s="8"/>
      <c r="B322" s="8"/>
      <c r="C322" s="8"/>
      <c r="D322" s="8"/>
      <c r="E322" s="8"/>
      <c r="F322" s="8"/>
      <c r="G322" s="8"/>
    </row>
    <row r="323" ht="15.75" customHeight="1">
      <c r="A323" s="8"/>
      <c r="B323" s="8"/>
      <c r="C323" s="8"/>
      <c r="D323" s="8"/>
      <c r="E323" s="8"/>
      <c r="F323" s="8"/>
      <c r="G323" s="8"/>
    </row>
    <row r="324" ht="15.75" customHeight="1">
      <c r="A324" s="8"/>
      <c r="B324" s="8"/>
      <c r="C324" s="8"/>
      <c r="D324" s="8"/>
      <c r="E324" s="8"/>
      <c r="F324" s="8"/>
      <c r="G324" s="8"/>
    </row>
    <row r="325" ht="15.75" customHeight="1">
      <c r="A325" s="8"/>
      <c r="B325" s="8"/>
      <c r="C325" s="8"/>
      <c r="D325" s="8"/>
      <c r="E325" s="8"/>
      <c r="F325" s="8"/>
      <c r="G325" s="8"/>
    </row>
    <row r="326" ht="15.75" customHeight="1">
      <c r="A326" s="8"/>
      <c r="B326" s="8"/>
      <c r="C326" s="8"/>
      <c r="D326" s="8"/>
      <c r="E326" s="8"/>
      <c r="F326" s="8"/>
      <c r="G326" s="8"/>
    </row>
    <row r="327" ht="15.75" customHeight="1">
      <c r="A327" s="8"/>
      <c r="B327" s="8"/>
      <c r="C327" s="8"/>
      <c r="D327" s="8"/>
      <c r="E327" s="8"/>
      <c r="F327" s="8"/>
      <c r="G327" s="8"/>
    </row>
    <row r="328" ht="15.75" customHeight="1">
      <c r="A328" s="8"/>
      <c r="B328" s="8"/>
      <c r="C328" s="8"/>
      <c r="D328" s="8"/>
      <c r="E328" s="8"/>
      <c r="F328" s="8"/>
      <c r="G328" s="8"/>
    </row>
    <row r="329" ht="15.75" customHeight="1">
      <c r="A329" s="8"/>
      <c r="B329" s="8"/>
      <c r="C329" s="8"/>
      <c r="D329" s="8"/>
      <c r="E329" s="8"/>
      <c r="F329" s="8"/>
      <c r="G329" s="8"/>
    </row>
    <row r="330" ht="15.75" customHeight="1">
      <c r="A330" s="8"/>
      <c r="B330" s="8"/>
      <c r="C330" s="8"/>
      <c r="D330" s="8"/>
      <c r="E330" s="8"/>
      <c r="F330" s="8"/>
      <c r="G330" s="8"/>
    </row>
    <row r="331" ht="15.75" customHeight="1">
      <c r="A331" s="8"/>
      <c r="B331" s="8"/>
      <c r="C331" s="8"/>
      <c r="D331" s="8"/>
      <c r="E331" s="8"/>
      <c r="F331" s="8"/>
      <c r="G331" s="8"/>
    </row>
    <row r="332" ht="15.75" customHeight="1">
      <c r="A332" s="8"/>
      <c r="B332" s="8"/>
      <c r="C332" s="8"/>
      <c r="D332" s="8"/>
      <c r="E332" s="8"/>
      <c r="F332" s="8"/>
      <c r="G332" s="8"/>
    </row>
    <row r="333" ht="15.75" customHeight="1">
      <c r="A333" s="8"/>
      <c r="B333" s="8"/>
      <c r="C333" s="8"/>
      <c r="D333" s="8"/>
      <c r="E333" s="8"/>
      <c r="F333" s="8"/>
      <c r="G333" s="8"/>
    </row>
    <row r="334" ht="15.75" customHeight="1">
      <c r="A334" s="8"/>
      <c r="B334" s="8"/>
      <c r="C334" s="8"/>
      <c r="D334" s="8"/>
      <c r="E334" s="8"/>
      <c r="F334" s="8"/>
      <c r="G334" s="8"/>
    </row>
    <row r="335" ht="15.75" customHeight="1">
      <c r="A335" s="8"/>
      <c r="B335" s="8"/>
      <c r="C335" s="8"/>
      <c r="D335" s="8"/>
      <c r="E335" s="8"/>
      <c r="F335" s="8"/>
      <c r="G335" s="8"/>
    </row>
    <row r="336" ht="15.75" customHeight="1">
      <c r="A336" s="8"/>
      <c r="B336" s="8"/>
      <c r="C336" s="8"/>
      <c r="D336" s="8"/>
      <c r="E336" s="8"/>
      <c r="F336" s="8"/>
      <c r="G336" s="8"/>
    </row>
    <row r="337" ht="15.75" customHeight="1">
      <c r="A337" s="8"/>
      <c r="B337" s="8"/>
      <c r="C337" s="8"/>
      <c r="D337" s="8"/>
      <c r="E337" s="8"/>
      <c r="F337" s="8"/>
      <c r="G337" s="8"/>
    </row>
    <row r="338" ht="15.75" customHeight="1">
      <c r="A338" s="8"/>
      <c r="B338" s="8"/>
      <c r="C338" s="8"/>
      <c r="D338" s="8"/>
      <c r="E338" s="8"/>
      <c r="F338" s="8"/>
      <c r="G338" s="8"/>
    </row>
    <row r="339" ht="15.75" customHeight="1">
      <c r="A339" s="8"/>
      <c r="B339" s="8"/>
      <c r="C339" s="8"/>
      <c r="D339" s="8"/>
      <c r="E339" s="8"/>
      <c r="F339" s="8"/>
      <c r="G339" s="8"/>
    </row>
    <row r="340" ht="15.75" customHeight="1">
      <c r="A340" s="8"/>
      <c r="B340" s="8"/>
      <c r="C340" s="8"/>
      <c r="D340" s="8"/>
      <c r="E340" s="8"/>
      <c r="F340" s="8"/>
      <c r="G340" s="8"/>
    </row>
    <row r="341" ht="15.75" customHeight="1">
      <c r="A341" s="8"/>
      <c r="B341" s="8"/>
      <c r="C341" s="8"/>
      <c r="D341" s="8"/>
      <c r="E341" s="8"/>
      <c r="F341" s="8"/>
      <c r="G341" s="8"/>
    </row>
    <row r="342" ht="15.75" customHeight="1">
      <c r="A342" s="8"/>
      <c r="B342" s="8"/>
      <c r="C342" s="8"/>
      <c r="D342" s="8"/>
      <c r="E342" s="8"/>
      <c r="F342" s="8"/>
      <c r="G342" s="8"/>
    </row>
    <row r="343" ht="15.75" customHeight="1">
      <c r="A343" s="8"/>
      <c r="B343" s="8"/>
      <c r="C343" s="8"/>
      <c r="D343" s="8"/>
      <c r="E343" s="8"/>
      <c r="F343" s="8"/>
      <c r="G343" s="8"/>
    </row>
    <row r="344" ht="15.75" customHeight="1">
      <c r="A344" s="8"/>
      <c r="B344" s="8"/>
      <c r="C344" s="8"/>
      <c r="D344" s="8"/>
      <c r="E344" s="8"/>
      <c r="F344" s="8"/>
      <c r="G344" s="8"/>
    </row>
    <row r="345" ht="15.75" customHeight="1">
      <c r="A345" s="8"/>
      <c r="B345" s="8"/>
      <c r="C345" s="8"/>
      <c r="D345" s="8"/>
      <c r="E345" s="8"/>
      <c r="F345" s="8"/>
      <c r="G345" s="8"/>
    </row>
    <row r="346" ht="15.75" customHeight="1">
      <c r="A346" s="8"/>
      <c r="B346" s="8"/>
      <c r="C346" s="8"/>
      <c r="D346" s="8"/>
      <c r="E346" s="8"/>
      <c r="F346" s="8"/>
      <c r="G346" s="8"/>
    </row>
    <row r="347" ht="15.75" customHeight="1">
      <c r="A347" s="8"/>
      <c r="B347" s="8"/>
      <c r="C347" s="8"/>
      <c r="D347" s="8"/>
      <c r="E347" s="8"/>
      <c r="F347" s="8"/>
      <c r="G347" s="8"/>
    </row>
    <row r="348" ht="15.75" customHeight="1">
      <c r="A348" s="8"/>
      <c r="B348" s="8"/>
      <c r="C348" s="8"/>
      <c r="D348" s="8"/>
      <c r="E348" s="8"/>
      <c r="F348" s="8"/>
      <c r="G348" s="8"/>
    </row>
    <row r="349" ht="15.75" customHeight="1">
      <c r="A349" s="8"/>
      <c r="B349" s="8"/>
      <c r="C349" s="8"/>
      <c r="D349" s="8"/>
      <c r="E349" s="8"/>
      <c r="F349" s="8"/>
      <c r="G349" s="8"/>
    </row>
    <row r="350" ht="15.75" customHeight="1">
      <c r="A350" s="8"/>
      <c r="B350" s="8"/>
      <c r="C350" s="8"/>
      <c r="D350" s="8"/>
      <c r="E350" s="8"/>
      <c r="F350" s="8"/>
      <c r="G350" s="8"/>
    </row>
    <row r="351" ht="15.75" customHeight="1">
      <c r="A351" s="8"/>
      <c r="B351" s="8"/>
      <c r="C351" s="8"/>
      <c r="D351" s="8"/>
      <c r="E351" s="8"/>
      <c r="F351" s="8"/>
      <c r="G351" s="8"/>
    </row>
    <row r="352" ht="15.75" customHeight="1">
      <c r="A352" s="8"/>
      <c r="B352" s="8"/>
      <c r="C352" s="8"/>
      <c r="D352" s="8"/>
      <c r="E352" s="8"/>
      <c r="F352" s="8"/>
      <c r="G352" s="8"/>
    </row>
    <row r="353" ht="15.75" customHeight="1">
      <c r="A353" s="8"/>
      <c r="B353" s="8"/>
      <c r="C353" s="8"/>
      <c r="D353" s="8"/>
      <c r="E353" s="8"/>
      <c r="F353" s="8"/>
      <c r="G353" s="8"/>
    </row>
    <row r="354" ht="15.75" customHeight="1">
      <c r="A354" s="8"/>
      <c r="B354" s="8"/>
      <c r="C354" s="8"/>
      <c r="D354" s="8"/>
      <c r="E354" s="8"/>
      <c r="F354" s="8"/>
      <c r="G354" s="8"/>
    </row>
    <row r="355" ht="15.75" customHeight="1">
      <c r="A355" s="8"/>
      <c r="B355" s="8"/>
      <c r="C355" s="8"/>
      <c r="D355" s="8"/>
      <c r="E355" s="8"/>
      <c r="F355" s="8"/>
      <c r="G355" s="8"/>
    </row>
    <row r="356" ht="15.75" customHeight="1">
      <c r="A356" s="8"/>
      <c r="B356" s="8"/>
      <c r="C356" s="8"/>
      <c r="D356" s="8"/>
      <c r="E356" s="8"/>
      <c r="F356" s="8"/>
      <c r="G356" s="8"/>
    </row>
    <row r="357" ht="15.75" customHeight="1">
      <c r="A357" s="8"/>
      <c r="B357" s="8"/>
      <c r="C357" s="8"/>
      <c r="D357" s="8"/>
      <c r="E357" s="8"/>
      <c r="F357" s="8"/>
      <c r="G357" s="8"/>
    </row>
    <row r="358" ht="15.75" customHeight="1">
      <c r="A358" s="8"/>
      <c r="B358" s="8"/>
      <c r="C358" s="8"/>
      <c r="D358" s="8"/>
      <c r="E358" s="8"/>
      <c r="F358" s="8"/>
      <c r="G358" s="8"/>
    </row>
    <row r="359" ht="15.75" customHeight="1">
      <c r="A359" s="8"/>
      <c r="B359" s="8"/>
      <c r="C359" s="8"/>
      <c r="D359" s="8"/>
      <c r="E359" s="8"/>
      <c r="F359" s="8"/>
      <c r="G359" s="8"/>
    </row>
    <row r="360" ht="15.75" customHeight="1">
      <c r="A360" s="8"/>
      <c r="B360" s="8"/>
      <c r="C360" s="8"/>
      <c r="D360" s="8"/>
      <c r="E360" s="8"/>
      <c r="F360" s="8"/>
      <c r="G360" s="8"/>
    </row>
    <row r="361" ht="15.75" customHeight="1">
      <c r="A361" s="8"/>
      <c r="B361" s="8"/>
      <c r="C361" s="8"/>
      <c r="D361" s="8"/>
      <c r="E361" s="8"/>
      <c r="F361" s="8"/>
      <c r="G361" s="8"/>
    </row>
    <row r="362" ht="15.75" customHeight="1">
      <c r="A362" s="8"/>
      <c r="B362" s="8"/>
      <c r="C362" s="8"/>
      <c r="D362" s="8"/>
      <c r="E362" s="8"/>
      <c r="F362" s="8"/>
      <c r="G362" s="8"/>
    </row>
    <row r="363" ht="15.75" customHeight="1">
      <c r="A363" s="8"/>
      <c r="B363" s="8"/>
      <c r="C363" s="8"/>
      <c r="D363" s="8"/>
      <c r="E363" s="8"/>
      <c r="F363" s="8"/>
      <c r="G363" s="8"/>
    </row>
    <row r="364" ht="15.75" customHeight="1">
      <c r="A364" s="8"/>
      <c r="B364" s="8"/>
      <c r="C364" s="8"/>
      <c r="D364" s="8"/>
      <c r="E364" s="8"/>
      <c r="F364" s="8"/>
      <c r="G364" s="8"/>
    </row>
    <row r="365" ht="15.75" customHeight="1">
      <c r="A365" s="8"/>
      <c r="B365" s="8"/>
      <c r="C365" s="8"/>
      <c r="D365" s="8"/>
      <c r="E365" s="8"/>
      <c r="F365" s="8"/>
      <c r="G365" s="8"/>
    </row>
    <row r="366" ht="15.75" customHeight="1">
      <c r="A366" s="8"/>
      <c r="B366" s="8"/>
      <c r="C366" s="8"/>
      <c r="D366" s="8"/>
      <c r="E366" s="8"/>
      <c r="F366" s="8"/>
      <c r="G366" s="8"/>
    </row>
    <row r="367" ht="15.75" customHeight="1">
      <c r="A367" s="8"/>
      <c r="B367" s="8"/>
      <c r="C367" s="8"/>
      <c r="D367" s="8"/>
      <c r="E367" s="8"/>
      <c r="F367" s="8"/>
      <c r="G367" s="8"/>
    </row>
    <row r="368" ht="15.75" customHeight="1">
      <c r="A368" s="8"/>
      <c r="B368" s="8"/>
      <c r="C368" s="8"/>
      <c r="D368" s="8"/>
      <c r="E368" s="8"/>
      <c r="F368" s="8"/>
      <c r="G368" s="8"/>
    </row>
    <row r="369" ht="15.75" customHeight="1">
      <c r="A369" s="8"/>
      <c r="B369" s="8"/>
      <c r="C369" s="8"/>
      <c r="D369" s="8"/>
      <c r="E369" s="8"/>
      <c r="F369" s="8"/>
      <c r="G369" s="8"/>
    </row>
    <row r="370" ht="15.75" customHeight="1">
      <c r="A370" s="8"/>
      <c r="B370" s="8"/>
      <c r="C370" s="8"/>
      <c r="D370" s="8"/>
      <c r="E370" s="8"/>
      <c r="F370" s="8"/>
      <c r="G370" s="8"/>
    </row>
    <row r="371" ht="15.75" customHeight="1">
      <c r="A371" s="8"/>
      <c r="B371" s="8"/>
      <c r="C371" s="8"/>
      <c r="D371" s="8"/>
      <c r="E371" s="8"/>
      <c r="F371" s="8"/>
      <c r="G371" s="8"/>
    </row>
    <row r="372" ht="15.75" customHeight="1">
      <c r="A372" s="8"/>
      <c r="B372" s="8"/>
      <c r="C372" s="8"/>
      <c r="D372" s="8"/>
      <c r="E372" s="8"/>
      <c r="F372" s="8"/>
      <c r="G372" s="8"/>
    </row>
    <row r="373" ht="15.75" customHeight="1">
      <c r="A373" s="8"/>
      <c r="B373" s="8"/>
      <c r="C373" s="8"/>
      <c r="D373" s="8"/>
      <c r="E373" s="8"/>
      <c r="F373" s="8"/>
      <c r="G373" s="8"/>
    </row>
    <row r="374" ht="15.75" customHeight="1">
      <c r="A374" s="8"/>
      <c r="B374" s="8"/>
      <c r="C374" s="8"/>
      <c r="D374" s="8"/>
      <c r="E374" s="8"/>
      <c r="F374" s="8"/>
      <c r="G374" s="8"/>
    </row>
    <row r="375" ht="15.75" customHeight="1">
      <c r="A375" s="8"/>
      <c r="B375" s="8"/>
      <c r="C375" s="8"/>
      <c r="D375" s="8"/>
      <c r="E375" s="8"/>
      <c r="F375" s="8"/>
      <c r="G375" s="8"/>
    </row>
    <row r="376" ht="15.75" customHeight="1">
      <c r="A376" s="8"/>
      <c r="B376" s="8"/>
      <c r="C376" s="8"/>
      <c r="D376" s="8"/>
      <c r="E376" s="8"/>
      <c r="F376" s="8"/>
      <c r="G376" s="8"/>
    </row>
    <row r="377" ht="15.75" customHeight="1">
      <c r="A377" s="8"/>
      <c r="B377" s="8"/>
      <c r="C377" s="8"/>
      <c r="D377" s="8"/>
      <c r="E377" s="8"/>
      <c r="F377" s="8"/>
      <c r="G377" s="8"/>
    </row>
    <row r="378" ht="15.75" customHeight="1">
      <c r="A378" s="8"/>
      <c r="B378" s="8"/>
      <c r="C378" s="8"/>
      <c r="D378" s="8"/>
      <c r="E378" s="8"/>
      <c r="F378" s="8"/>
      <c r="G378" s="8"/>
    </row>
    <row r="379" ht="15.75" customHeight="1">
      <c r="A379" s="8"/>
      <c r="B379" s="8"/>
      <c r="C379" s="8"/>
      <c r="D379" s="8"/>
      <c r="E379" s="8"/>
      <c r="F379" s="8"/>
      <c r="G379" s="8"/>
    </row>
    <row r="380" ht="15.75" customHeight="1">
      <c r="A380" s="8"/>
      <c r="B380" s="8"/>
      <c r="C380" s="8"/>
      <c r="D380" s="8"/>
      <c r="E380" s="8"/>
      <c r="F380" s="8"/>
      <c r="G380" s="8"/>
    </row>
    <row r="381" ht="15.75" customHeight="1">
      <c r="A381" s="8"/>
      <c r="B381" s="8"/>
      <c r="C381" s="8"/>
      <c r="D381" s="8"/>
      <c r="E381" s="8"/>
      <c r="F381" s="8"/>
      <c r="G381" s="8"/>
    </row>
    <row r="382" ht="15.75" customHeight="1">
      <c r="A382" s="8"/>
      <c r="B382" s="8"/>
      <c r="C382" s="8"/>
      <c r="D382" s="8"/>
      <c r="E382" s="8"/>
      <c r="F382" s="8"/>
      <c r="G382" s="8"/>
    </row>
    <row r="383" ht="15.75" customHeight="1">
      <c r="A383" s="8"/>
      <c r="B383" s="8"/>
      <c r="C383" s="8"/>
      <c r="D383" s="8"/>
      <c r="E383" s="8"/>
      <c r="F383" s="8"/>
      <c r="G383" s="8"/>
    </row>
    <row r="384" ht="15.75" customHeight="1">
      <c r="A384" s="8"/>
      <c r="B384" s="8"/>
      <c r="C384" s="8"/>
      <c r="D384" s="8"/>
      <c r="E384" s="8"/>
      <c r="F384" s="8"/>
      <c r="G384" s="8"/>
    </row>
    <row r="385" ht="15.75" customHeight="1">
      <c r="A385" s="8"/>
      <c r="B385" s="8"/>
      <c r="C385" s="8"/>
      <c r="D385" s="8"/>
      <c r="E385" s="8"/>
      <c r="F385" s="8"/>
      <c r="G385" s="8"/>
    </row>
    <row r="386" ht="15.75" customHeight="1">
      <c r="A386" s="8"/>
      <c r="B386" s="8"/>
      <c r="C386" s="8"/>
      <c r="D386" s="8"/>
      <c r="E386" s="8"/>
      <c r="F386" s="8"/>
      <c r="G386" s="8"/>
    </row>
    <row r="387" ht="15.75" customHeight="1">
      <c r="A387" s="8"/>
      <c r="B387" s="8"/>
      <c r="C387" s="8"/>
      <c r="D387" s="8"/>
      <c r="E387" s="8"/>
      <c r="F387" s="8"/>
      <c r="G387" s="8"/>
    </row>
    <row r="388" ht="15.75" customHeight="1">
      <c r="A388" s="8"/>
      <c r="B388" s="8"/>
      <c r="C388" s="8"/>
      <c r="D388" s="8"/>
      <c r="E388" s="8"/>
      <c r="F388" s="8"/>
      <c r="G388" s="8"/>
    </row>
    <row r="389" ht="15.75" customHeight="1">
      <c r="A389" s="8"/>
      <c r="B389" s="8"/>
      <c r="C389" s="8"/>
      <c r="D389" s="8"/>
      <c r="E389" s="8"/>
      <c r="F389" s="8"/>
      <c r="G389" s="8"/>
    </row>
    <row r="390" ht="15.75" customHeight="1">
      <c r="A390" s="8"/>
      <c r="B390" s="8"/>
      <c r="C390" s="8"/>
      <c r="D390" s="8"/>
      <c r="E390" s="8"/>
      <c r="F390" s="8"/>
      <c r="G390" s="8"/>
    </row>
    <row r="391" ht="15.75" customHeight="1">
      <c r="A391" s="8"/>
      <c r="B391" s="8"/>
      <c r="C391" s="8"/>
      <c r="D391" s="8"/>
      <c r="E391" s="8"/>
      <c r="F391" s="8"/>
      <c r="G391" s="8"/>
    </row>
    <row r="392" ht="15.75" customHeight="1">
      <c r="A392" s="8"/>
      <c r="B392" s="8"/>
      <c r="C392" s="8"/>
      <c r="D392" s="8"/>
      <c r="E392" s="8"/>
      <c r="F392" s="8"/>
      <c r="G392" s="8"/>
    </row>
    <row r="393" ht="15.75" customHeight="1">
      <c r="A393" s="8"/>
      <c r="B393" s="8"/>
      <c r="C393" s="8"/>
      <c r="D393" s="8"/>
      <c r="E393" s="8"/>
      <c r="F393" s="8"/>
      <c r="G393" s="8"/>
    </row>
    <row r="394" ht="15.75" customHeight="1">
      <c r="A394" s="8"/>
      <c r="B394" s="8"/>
      <c r="C394" s="8"/>
      <c r="D394" s="8"/>
      <c r="E394" s="8"/>
      <c r="F394" s="8"/>
      <c r="G394" s="8"/>
    </row>
    <row r="395" ht="15.75" customHeight="1">
      <c r="A395" s="8"/>
      <c r="B395" s="8"/>
      <c r="C395" s="8"/>
      <c r="D395" s="8"/>
      <c r="E395" s="8"/>
      <c r="F395" s="8"/>
      <c r="G395" s="8"/>
    </row>
    <row r="396" ht="15.75" customHeight="1">
      <c r="A396" s="8"/>
      <c r="B396" s="8"/>
      <c r="C396" s="8"/>
      <c r="D396" s="8"/>
      <c r="E396" s="8"/>
      <c r="F396" s="8"/>
      <c r="G396" s="8"/>
    </row>
    <row r="397" ht="15.75" customHeight="1">
      <c r="A397" s="8"/>
      <c r="B397" s="8"/>
      <c r="C397" s="8"/>
      <c r="D397" s="8"/>
      <c r="E397" s="8"/>
      <c r="F397" s="8"/>
      <c r="G397" s="8"/>
    </row>
    <row r="398" ht="15.75" customHeight="1">
      <c r="A398" s="8"/>
      <c r="B398" s="8"/>
      <c r="C398" s="8"/>
      <c r="D398" s="8"/>
      <c r="E398" s="8"/>
      <c r="F398" s="8"/>
      <c r="G398" s="8"/>
    </row>
    <row r="399" ht="15.75" customHeight="1">
      <c r="A399" s="8"/>
      <c r="B399" s="8"/>
      <c r="C399" s="8"/>
      <c r="D399" s="8"/>
      <c r="E399" s="8"/>
      <c r="F399" s="8"/>
      <c r="G399" s="8"/>
    </row>
    <row r="400" ht="15.75" customHeight="1">
      <c r="A400" s="8"/>
      <c r="B400" s="8"/>
      <c r="C400" s="8"/>
      <c r="D400" s="8"/>
      <c r="E400" s="8"/>
      <c r="F400" s="8"/>
      <c r="G400" s="8"/>
    </row>
    <row r="401" ht="15.75" customHeight="1">
      <c r="A401" s="8"/>
      <c r="B401" s="8"/>
      <c r="C401" s="8"/>
      <c r="D401" s="8"/>
      <c r="E401" s="8"/>
      <c r="F401" s="8"/>
      <c r="G401" s="8"/>
    </row>
    <row r="402" ht="15.75" customHeight="1">
      <c r="A402" s="8"/>
      <c r="B402" s="8"/>
      <c r="C402" s="8"/>
      <c r="D402" s="8"/>
      <c r="E402" s="8"/>
      <c r="F402" s="8"/>
      <c r="G402" s="8"/>
    </row>
    <row r="403" ht="15.75" customHeight="1">
      <c r="A403" s="8"/>
      <c r="B403" s="8"/>
      <c r="C403" s="8"/>
      <c r="D403" s="8"/>
      <c r="E403" s="8"/>
      <c r="F403" s="8"/>
      <c r="G403" s="8"/>
    </row>
    <row r="404" ht="15.75" customHeight="1">
      <c r="A404" s="8"/>
      <c r="B404" s="8"/>
      <c r="C404" s="8"/>
      <c r="D404" s="8"/>
      <c r="E404" s="8"/>
      <c r="F404" s="8"/>
      <c r="G404" s="8"/>
    </row>
    <row r="405" ht="15.75" customHeight="1">
      <c r="A405" s="8"/>
      <c r="B405" s="8"/>
      <c r="C405" s="8"/>
      <c r="D405" s="8"/>
      <c r="E405" s="8"/>
      <c r="F405" s="8"/>
      <c r="G405" s="8"/>
    </row>
    <row r="406" ht="15.75" customHeight="1">
      <c r="A406" s="8"/>
      <c r="B406" s="8"/>
      <c r="C406" s="8"/>
      <c r="D406" s="8"/>
      <c r="E406" s="8"/>
      <c r="F406" s="8"/>
      <c r="G406" s="8"/>
    </row>
    <row r="407" ht="15.75" customHeight="1">
      <c r="A407" s="8"/>
      <c r="B407" s="8"/>
      <c r="C407" s="8"/>
      <c r="D407" s="8"/>
      <c r="E407" s="8"/>
      <c r="F407" s="8"/>
      <c r="G407" s="8"/>
    </row>
    <row r="408" ht="15.75" customHeight="1">
      <c r="A408" s="8"/>
      <c r="B408" s="8"/>
      <c r="C408" s="8"/>
      <c r="D408" s="8"/>
      <c r="E408" s="8"/>
      <c r="F408" s="8"/>
      <c r="G408" s="8"/>
    </row>
    <row r="409" ht="15.75" customHeight="1">
      <c r="A409" s="8"/>
      <c r="B409" s="8"/>
      <c r="C409" s="8"/>
      <c r="D409" s="8"/>
      <c r="E409" s="8"/>
      <c r="F409" s="8"/>
      <c r="G409" s="8"/>
    </row>
    <row r="410" ht="15.75" customHeight="1">
      <c r="A410" s="8"/>
      <c r="B410" s="8"/>
      <c r="C410" s="8"/>
      <c r="D410" s="8"/>
      <c r="E410" s="8"/>
      <c r="F410" s="8"/>
      <c r="G410" s="8"/>
    </row>
    <row r="411" ht="15.75" customHeight="1">
      <c r="A411" s="8"/>
      <c r="B411" s="8"/>
      <c r="C411" s="8"/>
      <c r="D411" s="8"/>
      <c r="E411" s="8"/>
      <c r="F411" s="8"/>
      <c r="G411" s="8"/>
    </row>
    <row r="412" ht="15.75" customHeight="1">
      <c r="A412" s="8"/>
      <c r="B412" s="8"/>
      <c r="C412" s="8"/>
      <c r="D412" s="8"/>
      <c r="E412" s="8"/>
      <c r="F412" s="8"/>
      <c r="G412" s="8"/>
    </row>
    <row r="413" ht="15.75" customHeight="1">
      <c r="A413" s="8"/>
      <c r="B413" s="8"/>
      <c r="C413" s="8"/>
      <c r="D413" s="8"/>
      <c r="E413" s="8"/>
      <c r="F413" s="8"/>
      <c r="G413" s="8"/>
    </row>
    <row r="414" ht="15.75" customHeight="1">
      <c r="A414" s="8"/>
      <c r="B414" s="8"/>
      <c r="C414" s="8"/>
      <c r="D414" s="8"/>
      <c r="E414" s="8"/>
      <c r="F414" s="8"/>
      <c r="G414" s="8"/>
    </row>
    <row r="415" ht="15.75" customHeight="1">
      <c r="A415" s="8"/>
      <c r="B415" s="8"/>
      <c r="C415" s="8"/>
      <c r="D415" s="8"/>
      <c r="E415" s="8"/>
      <c r="F415" s="8"/>
      <c r="G415" s="8"/>
    </row>
    <row r="416" ht="15.75" customHeight="1">
      <c r="A416" s="8"/>
      <c r="B416" s="8"/>
      <c r="C416" s="8"/>
      <c r="D416" s="8"/>
      <c r="E416" s="8"/>
      <c r="F416" s="8"/>
      <c r="G416" s="8"/>
    </row>
    <row r="417" ht="15.75" customHeight="1">
      <c r="A417" s="8"/>
      <c r="B417" s="8"/>
      <c r="C417" s="8"/>
      <c r="D417" s="8"/>
      <c r="E417" s="8"/>
      <c r="F417" s="8"/>
      <c r="G417" s="8"/>
    </row>
    <row r="418" ht="15.75" customHeight="1">
      <c r="A418" s="8"/>
      <c r="B418" s="8"/>
      <c r="C418" s="8"/>
      <c r="D418" s="8"/>
      <c r="E418" s="8"/>
      <c r="F418" s="8"/>
      <c r="G418" s="8"/>
    </row>
    <row r="419" ht="15.75" customHeight="1">
      <c r="A419" s="8"/>
      <c r="B419" s="8"/>
      <c r="C419" s="8"/>
      <c r="D419" s="8"/>
      <c r="E419" s="8"/>
      <c r="F419" s="8"/>
      <c r="G419" s="8"/>
    </row>
    <row r="420" ht="15.75" customHeight="1">
      <c r="A420" s="8"/>
      <c r="B420" s="8"/>
      <c r="C420" s="8"/>
      <c r="D420" s="8"/>
      <c r="E420" s="8"/>
      <c r="F420" s="8"/>
      <c r="G420" s="8"/>
    </row>
    <row r="421" ht="15.75" customHeight="1">
      <c r="A421" s="8"/>
      <c r="B421" s="8"/>
      <c r="C421" s="8"/>
      <c r="D421" s="8"/>
      <c r="E421" s="8"/>
      <c r="F421" s="8"/>
      <c r="G421" s="8"/>
    </row>
    <row r="422" ht="15.75" customHeight="1">
      <c r="A422" s="8"/>
      <c r="B422" s="8"/>
      <c r="C422" s="8"/>
      <c r="D422" s="8"/>
      <c r="E422" s="8"/>
      <c r="F422" s="8"/>
      <c r="G422" s="8"/>
    </row>
    <row r="423" ht="15.75" customHeight="1">
      <c r="A423" s="8"/>
      <c r="B423" s="8"/>
      <c r="C423" s="8"/>
      <c r="D423" s="8"/>
      <c r="E423" s="8"/>
      <c r="F423" s="8"/>
      <c r="G423" s="8"/>
    </row>
    <row r="424" ht="15.75" customHeight="1">
      <c r="A424" s="8"/>
      <c r="B424" s="8"/>
      <c r="C424" s="8"/>
      <c r="D424" s="8"/>
      <c r="E424" s="8"/>
      <c r="F424" s="8"/>
      <c r="G424" s="8"/>
    </row>
    <row r="425" ht="15.75" customHeight="1">
      <c r="A425" s="8"/>
      <c r="B425" s="8"/>
      <c r="C425" s="8"/>
      <c r="D425" s="8"/>
      <c r="E425" s="8"/>
      <c r="F425" s="8"/>
      <c r="G425" s="8"/>
    </row>
    <row r="426" ht="15.75" customHeight="1">
      <c r="A426" s="8"/>
      <c r="B426" s="8"/>
      <c r="C426" s="8"/>
      <c r="D426" s="8"/>
      <c r="E426" s="8"/>
      <c r="F426" s="8"/>
      <c r="G426" s="8"/>
    </row>
    <row r="427" ht="15.75" customHeight="1">
      <c r="A427" s="8"/>
      <c r="B427" s="8"/>
      <c r="C427" s="8"/>
      <c r="D427" s="8"/>
      <c r="E427" s="8"/>
      <c r="F427" s="8"/>
      <c r="G427" s="8"/>
    </row>
    <row r="428" ht="15.75" customHeight="1">
      <c r="A428" s="8"/>
      <c r="B428" s="8"/>
      <c r="C428" s="8"/>
      <c r="D428" s="8"/>
      <c r="E428" s="8"/>
      <c r="F428" s="8"/>
      <c r="G428" s="8"/>
    </row>
    <row r="429" ht="15.75" customHeight="1">
      <c r="A429" s="8"/>
      <c r="B429" s="8"/>
      <c r="C429" s="8"/>
      <c r="D429" s="8"/>
      <c r="E429" s="8"/>
      <c r="F429" s="8"/>
      <c r="G429" s="8"/>
    </row>
    <row r="430" ht="15.75" customHeight="1">
      <c r="A430" s="8"/>
      <c r="B430" s="8"/>
      <c r="C430" s="8"/>
      <c r="D430" s="8"/>
      <c r="E430" s="8"/>
      <c r="F430" s="8"/>
      <c r="G430" s="8"/>
    </row>
    <row r="431" ht="15.75" customHeight="1">
      <c r="A431" s="8"/>
      <c r="B431" s="8"/>
      <c r="C431" s="8"/>
      <c r="D431" s="8"/>
      <c r="E431" s="8"/>
      <c r="F431" s="8"/>
      <c r="G431" s="8"/>
    </row>
    <row r="432" ht="15.75" customHeight="1">
      <c r="A432" s="8"/>
      <c r="B432" s="8"/>
      <c r="C432" s="8"/>
      <c r="D432" s="8"/>
      <c r="E432" s="8"/>
      <c r="F432" s="8"/>
      <c r="G432" s="8"/>
    </row>
    <row r="433" ht="15.75" customHeight="1">
      <c r="A433" s="8"/>
      <c r="B433" s="8"/>
      <c r="C433" s="8"/>
      <c r="D433" s="8"/>
      <c r="E433" s="8"/>
      <c r="F433" s="8"/>
      <c r="G433" s="8"/>
    </row>
    <row r="434" ht="15.75" customHeight="1">
      <c r="A434" s="8"/>
      <c r="B434" s="8"/>
      <c r="C434" s="8"/>
      <c r="D434" s="8"/>
      <c r="E434" s="8"/>
      <c r="F434" s="8"/>
      <c r="G434" s="8"/>
    </row>
    <row r="435" ht="15.75" customHeight="1">
      <c r="A435" s="8"/>
      <c r="B435" s="8"/>
      <c r="C435" s="8"/>
      <c r="D435" s="8"/>
      <c r="E435" s="8"/>
      <c r="F435" s="8"/>
      <c r="G435" s="8"/>
    </row>
    <row r="436" ht="15.75" customHeight="1">
      <c r="A436" s="8"/>
      <c r="B436" s="8"/>
      <c r="C436" s="8"/>
      <c r="D436" s="8"/>
      <c r="E436" s="8"/>
      <c r="F436" s="8"/>
      <c r="G436" s="8"/>
    </row>
    <row r="437" ht="15.75" customHeight="1">
      <c r="A437" s="8"/>
      <c r="B437" s="8"/>
      <c r="C437" s="8"/>
      <c r="D437" s="8"/>
      <c r="E437" s="8"/>
      <c r="F437" s="8"/>
      <c r="G437" s="8"/>
    </row>
    <row r="438" ht="15.75" customHeight="1">
      <c r="A438" s="8"/>
      <c r="B438" s="8"/>
      <c r="C438" s="8"/>
      <c r="D438" s="8"/>
      <c r="E438" s="8"/>
      <c r="F438" s="8"/>
      <c r="G438" s="8"/>
    </row>
    <row r="439" ht="15.75" customHeight="1">
      <c r="A439" s="8"/>
      <c r="B439" s="8"/>
      <c r="C439" s="8"/>
      <c r="D439" s="8"/>
      <c r="E439" s="8"/>
      <c r="F439" s="8"/>
      <c r="G439" s="8"/>
    </row>
    <row r="440" ht="15.75" customHeight="1">
      <c r="A440" s="8"/>
      <c r="B440" s="8"/>
      <c r="C440" s="8"/>
      <c r="D440" s="8"/>
      <c r="E440" s="8"/>
      <c r="F440" s="8"/>
      <c r="G440" s="8"/>
    </row>
    <row r="441" ht="15.75" customHeight="1">
      <c r="A441" s="8"/>
      <c r="B441" s="8"/>
      <c r="C441" s="8"/>
      <c r="D441" s="8"/>
      <c r="E441" s="8"/>
      <c r="F441" s="8"/>
      <c r="G441" s="8"/>
    </row>
    <row r="442" ht="15.75" customHeight="1">
      <c r="A442" s="8"/>
      <c r="B442" s="8"/>
      <c r="C442" s="8"/>
      <c r="D442" s="8"/>
      <c r="E442" s="8"/>
      <c r="F442" s="8"/>
      <c r="G442" s="8"/>
    </row>
    <row r="443" ht="15.75" customHeight="1">
      <c r="A443" s="8"/>
      <c r="B443" s="8"/>
      <c r="C443" s="8"/>
      <c r="D443" s="8"/>
      <c r="E443" s="8"/>
      <c r="F443" s="8"/>
      <c r="G443" s="8"/>
    </row>
    <row r="444" ht="15.75" customHeight="1">
      <c r="A444" s="8"/>
      <c r="B444" s="8"/>
      <c r="C444" s="8"/>
      <c r="D444" s="8"/>
      <c r="E444" s="8"/>
      <c r="F444" s="8"/>
      <c r="G444" s="8"/>
    </row>
    <row r="445" ht="15.75" customHeight="1">
      <c r="A445" s="8"/>
      <c r="B445" s="8"/>
      <c r="C445" s="8"/>
      <c r="D445" s="8"/>
      <c r="E445" s="8"/>
      <c r="F445" s="8"/>
      <c r="G445" s="8"/>
    </row>
    <row r="446" ht="15.75" customHeight="1">
      <c r="A446" s="8"/>
      <c r="B446" s="8"/>
      <c r="C446" s="8"/>
      <c r="D446" s="8"/>
      <c r="E446" s="8"/>
      <c r="F446" s="8"/>
      <c r="G446" s="8"/>
    </row>
    <row r="447" ht="15.75" customHeight="1">
      <c r="A447" s="8"/>
      <c r="B447" s="8"/>
      <c r="C447" s="8"/>
      <c r="D447" s="8"/>
      <c r="E447" s="8"/>
      <c r="F447" s="8"/>
      <c r="G447" s="8"/>
    </row>
    <row r="448" ht="15.75" customHeight="1">
      <c r="A448" s="8"/>
      <c r="B448" s="8"/>
      <c r="C448" s="8"/>
      <c r="D448" s="8"/>
      <c r="E448" s="8"/>
      <c r="F448" s="8"/>
      <c r="G448" s="8"/>
    </row>
    <row r="449" ht="15.75" customHeight="1">
      <c r="A449" s="8"/>
      <c r="B449" s="8"/>
      <c r="C449" s="8"/>
      <c r="D449" s="8"/>
      <c r="E449" s="8"/>
      <c r="F449" s="8"/>
      <c r="G449" s="8"/>
    </row>
    <row r="450" ht="15.75" customHeight="1">
      <c r="A450" s="8"/>
      <c r="B450" s="8"/>
      <c r="C450" s="8"/>
      <c r="D450" s="8"/>
      <c r="E450" s="8"/>
      <c r="F450" s="8"/>
      <c r="G450" s="8"/>
    </row>
    <row r="451" ht="15.75" customHeight="1">
      <c r="A451" s="8"/>
      <c r="B451" s="8"/>
      <c r="C451" s="8"/>
      <c r="D451" s="8"/>
      <c r="E451" s="8"/>
      <c r="F451" s="8"/>
      <c r="G451" s="8"/>
    </row>
    <row r="452" ht="15.75" customHeight="1">
      <c r="A452" s="8"/>
      <c r="B452" s="8"/>
      <c r="C452" s="8"/>
      <c r="D452" s="8"/>
      <c r="E452" s="8"/>
      <c r="F452" s="8"/>
      <c r="G452" s="8"/>
    </row>
    <row r="453" ht="15.75" customHeight="1">
      <c r="A453" s="8"/>
      <c r="B453" s="8"/>
      <c r="C453" s="8"/>
      <c r="D453" s="8"/>
      <c r="E453" s="8"/>
      <c r="F453" s="8"/>
      <c r="G453" s="8"/>
    </row>
    <row r="454" ht="15.75" customHeight="1">
      <c r="A454" s="8"/>
      <c r="B454" s="8"/>
      <c r="C454" s="8"/>
      <c r="D454" s="8"/>
      <c r="E454" s="8"/>
      <c r="F454" s="8"/>
      <c r="G454" s="8"/>
    </row>
    <row r="455" ht="15.75" customHeight="1">
      <c r="A455" s="8"/>
      <c r="B455" s="8"/>
      <c r="C455" s="8"/>
      <c r="D455" s="8"/>
      <c r="E455" s="8"/>
      <c r="F455" s="8"/>
      <c r="G455" s="8"/>
    </row>
    <row r="456" ht="15.75" customHeight="1">
      <c r="A456" s="8"/>
      <c r="B456" s="8"/>
      <c r="C456" s="8"/>
      <c r="D456" s="8"/>
      <c r="E456" s="8"/>
      <c r="F456" s="8"/>
      <c r="G456" s="8"/>
    </row>
    <row r="457" ht="15.75" customHeight="1">
      <c r="A457" s="8"/>
      <c r="B457" s="8"/>
      <c r="C457" s="8"/>
      <c r="D457" s="8"/>
      <c r="E457" s="8"/>
      <c r="F457" s="8"/>
      <c r="G457" s="8"/>
    </row>
    <row r="458" ht="15.75" customHeight="1">
      <c r="A458" s="8"/>
      <c r="B458" s="8"/>
      <c r="C458" s="8"/>
      <c r="D458" s="8"/>
      <c r="E458" s="8"/>
      <c r="F458" s="8"/>
      <c r="G458" s="8"/>
    </row>
    <row r="459" ht="15.75" customHeight="1">
      <c r="A459" s="8"/>
      <c r="B459" s="8"/>
      <c r="C459" s="8"/>
      <c r="D459" s="8"/>
      <c r="E459" s="8"/>
      <c r="F459" s="8"/>
      <c r="G459" s="8"/>
    </row>
    <row r="460" ht="15.75" customHeight="1">
      <c r="A460" s="8"/>
      <c r="B460" s="8"/>
      <c r="C460" s="8"/>
      <c r="D460" s="8"/>
      <c r="E460" s="8"/>
      <c r="F460" s="8"/>
      <c r="G460" s="8"/>
    </row>
    <row r="461" ht="15.75" customHeight="1">
      <c r="A461" s="8"/>
      <c r="B461" s="8"/>
      <c r="C461" s="8"/>
      <c r="D461" s="8"/>
      <c r="E461" s="8"/>
      <c r="F461" s="8"/>
      <c r="G461" s="8"/>
    </row>
    <row r="462" ht="15.75" customHeight="1">
      <c r="A462" s="8"/>
      <c r="B462" s="8"/>
      <c r="C462" s="8"/>
      <c r="D462" s="8"/>
      <c r="E462" s="8"/>
      <c r="F462" s="8"/>
      <c r="G462" s="8"/>
    </row>
    <row r="463" ht="15.75" customHeight="1">
      <c r="A463" s="8"/>
      <c r="B463" s="8"/>
      <c r="C463" s="8"/>
      <c r="D463" s="8"/>
      <c r="E463" s="8"/>
      <c r="F463" s="8"/>
      <c r="G463" s="8"/>
    </row>
    <row r="464" ht="15.75" customHeight="1">
      <c r="A464" s="8"/>
      <c r="B464" s="8"/>
      <c r="C464" s="8"/>
      <c r="D464" s="8"/>
      <c r="E464" s="8"/>
      <c r="F464" s="8"/>
      <c r="G464" s="8"/>
    </row>
    <row r="465" ht="15.75" customHeight="1">
      <c r="A465" s="8"/>
      <c r="B465" s="8"/>
      <c r="C465" s="8"/>
      <c r="D465" s="8"/>
      <c r="E465" s="8"/>
      <c r="F465" s="8"/>
      <c r="G465" s="8"/>
    </row>
    <row r="466" ht="15.75" customHeight="1">
      <c r="A466" s="8"/>
      <c r="B466" s="8"/>
      <c r="C466" s="8"/>
      <c r="D466" s="8"/>
      <c r="E466" s="8"/>
      <c r="F466" s="8"/>
      <c r="G466" s="8"/>
    </row>
    <row r="467" ht="15.75" customHeight="1">
      <c r="A467" s="8"/>
      <c r="B467" s="8"/>
      <c r="C467" s="8"/>
      <c r="D467" s="8"/>
      <c r="E467" s="8"/>
      <c r="F467" s="8"/>
      <c r="G467" s="8"/>
    </row>
    <row r="468" ht="15.75" customHeight="1">
      <c r="A468" s="8"/>
      <c r="B468" s="8"/>
      <c r="C468" s="8"/>
      <c r="D468" s="8"/>
      <c r="E468" s="8"/>
      <c r="F468" s="8"/>
      <c r="G468" s="8"/>
    </row>
    <row r="469" ht="15.75" customHeight="1">
      <c r="A469" s="8"/>
      <c r="B469" s="8"/>
      <c r="C469" s="8"/>
      <c r="D469" s="8"/>
      <c r="E469" s="8"/>
      <c r="F469" s="8"/>
      <c r="G469" s="8"/>
    </row>
    <row r="470" ht="15.75" customHeight="1">
      <c r="A470" s="8"/>
      <c r="B470" s="8"/>
      <c r="C470" s="8"/>
      <c r="D470" s="8"/>
      <c r="E470" s="8"/>
      <c r="F470" s="8"/>
      <c r="G470" s="8"/>
    </row>
    <row r="471" ht="15.75" customHeight="1">
      <c r="A471" s="8"/>
      <c r="B471" s="8"/>
      <c r="C471" s="8"/>
      <c r="D471" s="8"/>
      <c r="E471" s="8"/>
      <c r="F471" s="8"/>
      <c r="G471" s="8"/>
    </row>
    <row r="472" ht="15.75" customHeight="1">
      <c r="A472" s="8"/>
      <c r="B472" s="8"/>
      <c r="C472" s="8"/>
      <c r="D472" s="8"/>
      <c r="E472" s="8"/>
      <c r="F472" s="8"/>
      <c r="G472" s="8"/>
    </row>
    <row r="473" ht="15.75" customHeight="1">
      <c r="A473" s="8"/>
      <c r="B473" s="8"/>
      <c r="C473" s="8"/>
      <c r="D473" s="8"/>
      <c r="E473" s="8"/>
      <c r="F473" s="8"/>
      <c r="G473" s="8"/>
    </row>
    <row r="474" ht="15.75" customHeight="1">
      <c r="A474" s="8"/>
      <c r="B474" s="8"/>
      <c r="C474" s="8"/>
      <c r="D474" s="8"/>
      <c r="E474" s="8"/>
      <c r="F474" s="8"/>
      <c r="G474" s="8"/>
    </row>
    <row r="475" ht="15.75" customHeight="1">
      <c r="A475" s="8"/>
      <c r="B475" s="8"/>
      <c r="C475" s="8"/>
      <c r="D475" s="8"/>
      <c r="E475" s="8"/>
      <c r="F475" s="8"/>
      <c r="G475" s="8"/>
    </row>
    <row r="476" ht="15.75" customHeight="1">
      <c r="A476" s="8"/>
      <c r="B476" s="8"/>
      <c r="C476" s="8"/>
      <c r="D476" s="8"/>
      <c r="E476" s="8"/>
      <c r="F476" s="8"/>
      <c r="G476" s="8"/>
    </row>
    <row r="477" ht="15.75" customHeight="1">
      <c r="A477" s="8"/>
      <c r="B477" s="8"/>
      <c r="C477" s="8"/>
      <c r="D477" s="8"/>
      <c r="E477" s="8"/>
      <c r="F477" s="8"/>
      <c r="G477" s="8"/>
    </row>
    <row r="478" ht="15.75" customHeight="1">
      <c r="A478" s="8"/>
      <c r="B478" s="8"/>
      <c r="C478" s="8"/>
      <c r="D478" s="8"/>
      <c r="E478" s="8"/>
      <c r="F478" s="8"/>
      <c r="G478" s="8"/>
    </row>
    <row r="479" ht="15.75" customHeight="1">
      <c r="A479" s="8"/>
      <c r="B479" s="8"/>
      <c r="C479" s="8"/>
      <c r="D479" s="8"/>
      <c r="E479" s="8"/>
      <c r="F479" s="8"/>
      <c r="G479" s="8"/>
    </row>
    <row r="480" ht="15.75" customHeight="1">
      <c r="A480" s="8"/>
      <c r="B480" s="8"/>
      <c r="C480" s="8"/>
      <c r="D480" s="8"/>
      <c r="E480" s="8"/>
      <c r="F480" s="8"/>
      <c r="G480" s="8"/>
    </row>
    <row r="481" ht="15.75" customHeight="1">
      <c r="A481" s="8"/>
      <c r="B481" s="8"/>
      <c r="C481" s="8"/>
      <c r="D481" s="8"/>
      <c r="E481" s="8"/>
      <c r="F481" s="8"/>
      <c r="G481" s="8"/>
    </row>
    <row r="482" ht="15.75" customHeight="1">
      <c r="A482" s="8"/>
      <c r="B482" s="8"/>
      <c r="C482" s="8"/>
      <c r="D482" s="8"/>
      <c r="E482" s="8"/>
      <c r="F482" s="8"/>
      <c r="G482" s="8"/>
    </row>
    <row r="483" ht="15.75" customHeight="1">
      <c r="A483" s="8"/>
      <c r="B483" s="8"/>
      <c r="C483" s="8"/>
      <c r="D483" s="8"/>
      <c r="E483" s="8"/>
      <c r="F483" s="8"/>
      <c r="G483" s="8"/>
    </row>
    <row r="484" ht="15.75" customHeight="1">
      <c r="A484" s="8"/>
      <c r="B484" s="8"/>
      <c r="C484" s="8"/>
      <c r="D484" s="8"/>
      <c r="E484" s="8"/>
      <c r="F484" s="8"/>
      <c r="G484" s="8"/>
    </row>
    <row r="485" ht="15.75" customHeight="1">
      <c r="A485" s="8"/>
      <c r="B485" s="8"/>
      <c r="C485" s="8"/>
      <c r="D485" s="8"/>
      <c r="E485" s="8"/>
      <c r="F485" s="8"/>
      <c r="G485" s="8"/>
    </row>
    <row r="486" ht="15.75" customHeight="1">
      <c r="A486" s="8"/>
      <c r="B486" s="8"/>
      <c r="C486" s="8"/>
      <c r="D486" s="8"/>
      <c r="E486" s="8"/>
      <c r="F486" s="8"/>
      <c r="G486" s="8"/>
    </row>
    <row r="487" ht="15.75" customHeight="1">
      <c r="A487" s="8"/>
      <c r="B487" s="8"/>
      <c r="C487" s="8"/>
      <c r="D487" s="8"/>
      <c r="E487" s="8"/>
      <c r="F487" s="8"/>
      <c r="G487" s="8"/>
    </row>
    <row r="488" ht="15.75" customHeight="1">
      <c r="A488" s="8"/>
      <c r="B488" s="8"/>
      <c r="C488" s="8"/>
      <c r="D488" s="8"/>
      <c r="E488" s="8"/>
      <c r="F488" s="8"/>
      <c r="G488" s="8"/>
    </row>
    <row r="489" ht="15.75" customHeight="1">
      <c r="A489" s="8"/>
      <c r="B489" s="8"/>
      <c r="C489" s="8"/>
      <c r="D489" s="8"/>
      <c r="E489" s="8"/>
      <c r="F489" s="8"/>
      <c r="G489" s="8"/>
    </row>
    <row r="490" ht="15.75" customHeight="1">
      <c r="A490" s="8"/>
      <c r="B490" s="8"/>
      <c r="C490" s="8"/>
      <c r="D490" s="8"/>
      <c r="E490" s="8"/>
      <c r="F490" s="8"/>
      <c r="G490" s="8"/>
    </row>
    <row r="491" ht="15.75" customHeight="1">
      <c r="A491" s="8"/>
      <c r="B491" s="8"/>
      <c r="C491" s="8"/>
      <c r="D491" s="8"/>
      <c r="E491" s="8"/>
      <c r="F491" s="8"/>
      <c r="G491" s="8"/>
    </row>
    <row r="492" ht="15.75" customHeight="1">
      <c r="A492" s="8"/>
      <c r="B492" s="8"/>
      <c r="C492" s="8"/>
      <c r="D492" s="8"/>
      <c r="E492" s="8"/>
      <c r="F492" s="8"/>
      <c r="G492" s="8"/>
    </row>
    <row r="493" ht="15.75" customHeight="1">
      <c r="A493" s="8"/>
      <c r="B493" s="8"/>
      <c r="C493" s="8"/>
      <c r="D493" s="8"/>
      <c r="E493" s="8"/>
      <c r="F493" s="8"/>
      <c r="G493" s="8"/>
    </row>
    <row r="494" ht="15.75" customHeight="1">
      <c r="A494" s="8"/>
      <c r="B494" s="8"/>
      <c r="C494" s="8"/>
      <c r="D494" s="8"/>
      <c r="E494" s="8"/>
      <c r="F494" s="8"/>
      <c r="G494" s="8"/>
    </row>
    <row r="495" ht="15.75" customHeight="1">
      <c r="A495" s="8"/>
      <c r="B495" s="8"/>
      <c r="C495" s="8"/>
      <c r="D495" s="8"/>
      <c r="E495" s="8"/>
      <c r="F495" s="8"/>
      <c r="G495" s="8"/>
    </row>
    <row r="496" ht="15.75" customHeight="1">
      <c r="A496" s="8"/>
      <c r="B496" s="8"/>
      <c r="C496" s="8"/>
      <c r="D496" s="8"/>
      <c r="E496" s="8"/>
      <c r="F496" s="8"/>
      <c r="G496" s="8"/>
    </row>
    <row r="497" ht="15.75" customHeight="1">
      <c r="A497" s="8"/>
      <c r="B497" s="8"/>
      <c r="C497" s="8"/>
      <c r="D497" s="8"/>
      <c r="E497" s="8"/>
      <c r="F497" s="8"/>
      <c r="G497" s="8"/>
    </row>
    <row r="498" ht="15.75" customHeight="1">
      <c r="A498" s="8"/>
      <c r="B498" s="8"/>
      <c r="C498" s="8"/>
      <c r="D498" s="8"/>
      <c r="E498" s="8"/>
      <c r="F498" s="8"/>
      <c r="G498" s="8"/>
    </row>
    <row r="499" ht="15.75" customHeight="1">
      <c r="A499" s="8"/>
      <c r="B499" s="8"/>
      <c r="C499" s="8"/>
      <c r="D499" s="8"/>
      <c r="E499" s="8"/>
      <c r="F499" s="8"/>
      <c r="G499" s="8"/>
    </row>
    <row r="500" ht="15.75" customHeight="1">
      <c r="A500" s="8"/>
      <c r="B500" s="8"/>
      <c r="C500" s="8"/>
      <c r="D500" s="8"/>
      <c r="E500" s="8"/>
      <c r="F500" s="8"/>
      <c r="G500" s="8"/>
    </row>
    <row r="501" ht="15.75" customHeight="1">
      <c r="A501" s="8"/>
      <c r="B501" s="8"/>
      <c r="C501" s="8"/>
      <c r="D501" s="8"/>
      <c r="E501" s="8"/>
      <c r="F501" s="8"/>
      <c r="G501" s="8"/>
    </row>
    <row r="502" ht="15.75" customHeight="1">
      <c r="A502" s="8"/>
      <c r="B502" s="8"/>
      <c r="C502" s="8"/>
      <c r="D502" s="8"/>
      <c r="E502" s="8"/>
      <c r="F502" s="8"/>
      <c r="G502" s="8"/>
    </row>
    <row r="503" ht="15.75" customHeight="1">
      <c r="A503" s="8"/>
      <c r="B503" s="8"/>
      <c r="C503" s="8"/>
      <c r="D503" s="8"/>
      <c r="E503" s="8"/>
      <c r="F503" s="8"/>
      <c r="G503" s="8"/>
    </row>
    <row r="504" ht="15.75" customHeight="1">
      <c r="A504" s="8"/>
      <c r="B504" s="8"/>
      <c r="C504" s="8"/>
      <c r="D504" s="8"/>
      <c r="E504" s="8"/>
      <c r="F504" s="8"/>
      <c r="G504" s="8"/>
    </row>
    <row r="505" ht="15.75" customHeight="1">
      <c r="A505" s="8"/>
      <c r="B505" s="8"/>
      <c r="C505" s="8"/>
      <c r="D505" s="8"/>
      <c r="E505" s="8"/>
      <c r="F505" s="8"/>
      <c r="G505" s="8"/>
    </row>
    <row r="506" ht="15.75" customHeight="1">
      <c r="A506" s="8"/>
      <c r="B506" s="8"/>
      <c r="C506" s="8"/>
      <c r="D506" s="8"/>
      <c r="E506" s="8"/>
      <c r="F506" s="8"/>
      <c r="G506" s="8"/>
    </row>
    <row r="507" ht="15.75" customHeight="1">
      <c r="A507" s="8"/>
      <c r="B507" s="8"/>
      <c r="C507" s="8"/>
      <c r="D507" s="8"/>
      <c r="E507" s="8"/>
      <c r="F507" s="8"/>
      <c r="G507" s="8"/>
    </row>
    <row r="508" ht="15.75" customHeight="1">
      <c r="A508" s="8"/>
      <c r="B508" s="8"/>
      <c r="C508" s="8"/>
      <c r="D508" s="8"/>
      <c r="E508" s="8"/>
      <c r="F508" s="8"/>
      <c r="G508" s="8"/>
    </row>
    <row r="509" ht="15.75" customHeight="1">
      <c r="A509" s="8"/>
      <c r="B509" s="8"/>
      <c r="C509" s="8"/>
      <c r="D509" s="8"/>
      <c r="E509" s="8"/>
      <c r="F509" s="8"/>
      <c r="G509" s="8"/>
    </row>
    <row r="510" ht="15.75" customHeight="1">
      <c r="A510" s="8"/>
      <c r="B510" s="8"/>
      <c r="C510" s="8"/>
      <c r="D510" s="8"/>
      <c r="E510" s="8"/>
      <c r="F510" s="8"/>
      <c r="G510" s="8"/>
    </row>
    <row r="511" ht="15.75" customHeight="1">
      <c r="A511" s="8"/>
      <c r="B511" s="8"/>
      <c r="C511" s="8"/>
      <c r="D511" s="8"/>
      <c r="E511" s="8"/>
      <c r="F511" s="8"/>
      <c r="G511" s="8"/>
    </row>
    <row r="512" ht="15.75" customHeight="1">
      <c r="A512" s="8"/>
      <c r="B512" s="8"/>
      <c r="C512" s="8"/>
      <c r="D512" s="8"/>
      <c r="E512" s="8"/>
      <c r="F512" s="8"/>
      <c r="G512" s="8"/>
    </row>
    <row r="513" ht="15.75" customHeight="1">
      <c r="A513" s="8"/>
      <c r="B513" s="8"/>
      <c r="C513" s="8"/>
      <c r="D513" s="8"/>
      <c r="E513" s="8"/>
      <c r="F513" s="8"/>
      <c r="G513" s="8"/>
    </row>
    <row r="514" ht="15.75" customHeight="1">
      <c r="A514" s="8"/>
      <c r="B514" s="8"/>
      <c r="C514" s="8"/>
      <c r="D514" s="8"/>
      <c r="E514" s="8"/>
      <c r="F514" s="8"/>
      <c r="G514" s="8"/>
    </row>
    <row r="515" ht="15.75" customHeight="1">
      <c r="A515" s="8"/>
      <c r="B515" s="8"/>
      <c r="C515" s="8"/>
      <c r="D515" s="8"/>
      <c r="E515" s="8"/>
      <c r="F515" s="8"/>
      <c r="G515" s="8"/>
    </row>
    <row r="516" ht="15.75" customHeight="1">
      <c r="A516" s="8"/>
      <c r="B516" s="8"/>
      <c r="C516" s="8"/>
      <c r="D516" s="8"/>
      <c r="E516" s="8"/>
      <c r="F516" s="8"/>
      <c r="G516" s="8"/>
    </row>
    <row r="517" ht="15.75" customHeight="1">
      <c r="A517" s="8"/>
      <c r="B517" s="8"/>
      <c r="C517" s="8"/>
      <c r="D517" s="8"/>
      <c r="E517" s="8"/>
      <c r="F517" s="8"/>
      <c r="G517" s="8"/>
    </row>
    <row r="518" ht="15.75" customHeight="1">
      <c r="A518" s="8"/>
      <c r="B518" s="8"/>
      <c r="C518" s="8"/>
      <c r="D518" s="8"/>
      <c r="E518" s="8"/>
      <c r="F518" s="8"/>
      <c r="G518" s="8"/>
    </row>
    <row r="519" ht="15.75" customHeight="1">
      <c r="A519" s="8"/>
      <c r="B519" s="8"/>
      <c r="C519" s="8"/>
      <c r="D519" s="8"/>
      <c r="E519" s="8"/>
      <c r="F519" s="8"/>
      <c r="G519" s="8"/>
    </row>
    <row r="520" ht="15.75" customHeight="1">
      <c r="A520" s="8"/>
      <c r="B520" s="8"/>
      <c r="C520" s="8"/>
      <c r="D520" s="8"/>
      <c r="E520" s="8"/>
      <c r="F520" s="8"/>
      <c r="G520" s="8"/>
    </row>
    <row r="521" ht="15.75" customHeight="1">
      <c r="A521" s="8"/>
      <c r="B521" s="8"/>
      <c r="C521" s="8"/>
      <c r="D521" s="8"/>
      <c r="E521" s="8"/>
      <c r="F521" s="8"/>
      <c r="G521" s="8"/>
    </row>
    <row r="522" ht="15.75" customHeight="1">
      <c r="A522" s="8"/>
      <c r="B522" s="8"/>
      <c r="C522" s="8"/>
      <c r="D522" s="8"/>
      <c r="E522" s="8"/>
      <c r="F522" s="8"/>
      <c r="G522" s="8"/>
    </row>
    <row r="523" ht="15.75" customHeight="1">
      <c r="A523" s="8"/>
      <c r="B523" s="8"/>
      <c r="C523" s="8"/>
      <c r="D523" s="8"/>
      <c r="E523" s="8"/>
      <c r="F523" s="8"/>
      <c r="G523" s="8"/>
    </row>
    <row r="524" ht="15.75" customHeight="1">
      <c r="A524" s="8"/>
      <c r="B524" s="8"/>
      <c r="C524" s="8"/>
      <c r="D524" s="8"/>
      <c r="E524" s="8"/>
      <c r="F524" s="8"/>
      <c r="G524" s="8"/>
    </row>
    <row r="525" ht="15.75" customHeight="1">
      <c r="A525" s="8"/>
      <c r="B525" s="8"/>
      <c r="C525" s="8"/>
      <c r="D525" s="8"/>
      <c r="E525" s="8"/>
      <c r="F525" s="8"/>
      <c r="G525" s="8"/>
    </row>
    <row r="526" ht="15.75" customHeight="1">
      <c r="A526" s="8"/>
      <c r="B526" s="8"/>
      <c r="C526" s="8"/>
      <c r="D526" s="8"/>
      <c r="E526" s="8"/>
      <c r="F526" s="8"/>
      <c r="G526" s="8"/>
    </row>
    <row r="527" ht="15.75" customHeight="1">
      <c r="A527" s="8"/>
      <c r="B527" s="8"/>
      <c r="C527" s="8"/>
      <c r="D527" s="8"/>
      <c r="E527" s="8"/>
      <c r="F527" s="8"/>
      <c r="G527" s="8"/>
    </row>
    <row r="528" ht="15.75" customHeight="1">
      <c r="A528" s="8"/>
      <c r="B528" s="8"/>
      <c r="C528" s="8"/>
      <c r="D528" s="8"/>
      <c r="E528" s="8"/>
      <c r="F528" s="8"/>
      <c r="G528" s="8"/>
    </row>
    <row r="529" ht="15.75" customHeight="1">
      <c r="A529" s="8"/>
      <c r="B529" s="8"/>
      <c r="C529" s="8"/>
      <c r="D529" s="8"/>
      <c r="E529" s="8"/>
      <c r="F529" s="8"/>
      <c r="G529" s="8"/>
    </row>
    <row r="530" ht="15.75" customHeight="1">
      <c r="A530" s="8"/>
      <c r="B530" s="8"/>
      <c r="C530" s="8"/>
      <c r="D530" s="8"/>
      <c r="E530" s="8"/>
      <c r="F530" s="8"/>
      <c r="G530" s="8"/>
    </row>
    <row r="531" ht="15.75" customHeight="1">
      <c r="A531" s="8"/>
      <c r="B531" s="8"/>
      <c r="C531" s="8"/>
      <c r="D531" s="8"/>
      <c r="E531" s="8"/>
      <c r="F531" s="8"/>
      <c r="G531" s="8"/>
    </row>
    <row r="532" ht="15.75" customHeight="1">
      <c r="A532" s="8"/>
      <c r="B532" s="8"/>
      <c r="C532" s="8"/>
      <c r="D532" s="8"/>
      <c r="E532" s="8"/>
      <c r="F532" s="8"/>
      <c r="G532" s="8"/>
    </row>
    <row r="533" ht="15.75" customHeight="1">
      <c r="A533" s="8"/>
      <c r="B533" s="8"/>
      <c r="C533" s="8"/>
      <c r="D533" s="8"/>
      <c r="E533" s="8"/>
      <c r="F533" s="8"/>
      <c r="G533" s="8"/>
    </row>
    <row r="534" ht="15.75" customHeight="1">
      <c r="A534" s="8"/>
      <c r="B534" s="8"/>
      <c r="C534" s="8"/>
      <c r="D534" s="8"/>
      <c r="E534" s="8"/>
      <c r="F534" s="8"/>
      <c r="G534" s="8"/>
    </row>
    <row r="535" ht="15.75" customHeight="1">
      <c r="A535" s="8"/>
      <c r="B535" s="8"/>
      <c r="C535" s="8"/>
      <c r="D535" s="8"/>
      <c r="E535" s="8"/>
      <c r="F535" s="8"/>
      <c r="G535" s="8"/>
    </row>
    <row r="536" ht="15.75" customHeight="1">
      <c r="A536" s="8"/>
      <c r="B536" s="8"/>
      <c r="C536" s="8"/>
      <c r="D536" s="8"/>
      <c r="E536" s="8"/>
      <c r="F536" s="8"/>
      <c r="G536" s="8"/>
    </row>
    <row r="537" ht="15.75" customHeight="1">
      <c r="A537" s="8"/>
      <c r="B537" s="8"/>
      <c r="C537" s="8"/>
      <c r="D537" s="8"/>
      <c r="E537" s="8"/>
      <c r="F537" s="8"/>
      <c r="G537" s="8"/>
    </row>
    <row r="538" ht="15.75" customHeight="1">
      <c r="A538" s="8"/>
      <c r="B538" s="8"/>
      <c r="C538" s="8"/>
      <c r="D538" s="8"/>
      <c r="E538" s="8"/>
      <c r="F538" s="8"/>
      <c r="G538" s="8"/>
    </row>
    <row r="539" ht="15.75" customHeight="1">
      <c r="A539" s="8"/>
      <c r="B539" s="8"/>
      <c r="C539" s="8"/>
      <c r="D539" s="8"/>
      <c r="E539" s="8"/>
      <c r="F539" s="8"/>
      <c r="G539" s="8"/>
    </row>
    <row r="540" ht="15.75" customHeight="1">
      <c r="A540" s="8"/>
      <c r="B540" s="8"/>
      <c r="C540" s="8"/>
      <c r="D540" s="8"/>
      <c r="E540" s="8"/>
      <c r="F540" s="8"/>
      <c r="G540" s="8"/>
    </row>
    <row r="541" ht="15.75" customHeight="1">
      <c r="A541" s="8"/>
      <c r="B541" s="8"/>
      <c r="C541" s="8"/>
      <c r="D541" s="8"/>
      <c r="E541" s="8"/>
      <c r="F541" s="8"/>
      <c r="G541" s="8"/>
    </row>
    <row r="542" ht="15.75" customHeight="1">
      <c r="A542" s="8"/>
      <c r="B542" s="8"/>
      <c r="C542" s="8"/>
      <c r="D542" s="8"/>
      <c r="E542" s="8"/>
      <c r="F542" s="8"/>
      <c r="G542" s="8"/>
    </row>
    <row r="543" ht="15.75" customHeight="1">
      <c r="A543" s="8"/>
      <c r="B543" s="8"/>
      <c r="C543" s="8"/>
      <c r="D543" s="8"/>
      <c r="E543" s="8"/>
      <c r="F543" s="8"/>
      <c r="G543" s="8"/>
    </row>
    <row r="544" ht="15.75" customHeight="1">
      <c r="A544" s="8"/>
      <c r="B544" s="8"/>
      <c r="C544" s="8"/>
      <c r="D544" s="8"/>
      <c r="E544" s="8"/>
      <c r="F544" s="8"/>
      <c r="G544" s="8"/>
    </row>
    <row r="545" ht="15.75" customHeight="1">
      <c r="A545" s="8"/>
      <c r="B545" s="8"/>
      <c r="C545" s="8"/>
      <c r="D545" s="8"/>
      <c r="E545" s="8"/>
      <c r="F545" s="8"/>
      <c r="G545" s="8"/>
    </row>
    <row r="546" ht="15.75" customHeight="1">
      <c r="A546" s="8"/>
      <c r="B546" s="8"/>
      <c r="C546" s="8"/>
      <c r="D546" s="8"/>
      <c r="E546" s="8"/>
      <c r="F546" s="8"/>
      <c r="G546" s="8"/>
    </row>
    <row r="547" ht="15.75" customHeight="1">
      <c r="A547" s="8"/>
      <c r="B547" s="8"/>
      <c r="C547" s="8"/>
      <c r="D547" s="8"/>
      <c r="E547" s="8"/>
      <c r="F547" s="8"/>
      <c r="G547" s="8"/>
    </row>
    <row r="548" ht="15.75" customHeight="1">
      <c r="A548" s="8"/>
      <c r="B548" s="8"/>
      <c r="C548" s="8"/>
      <c r="D548" s="8"/>
      <c r="E548" s="8"/>
      <c r="F548" s="8"/>
      <c r="G548" s="8"/>
    </row>
    <row r="549" ht="15.75" customHeight="1">
      <c r="A549" s="8"/>
      <c r="B549" s="8"/>
      <c r="C549" s="8"/>
      <c r="D549" s="8"/>
      <c r="E549" s="8"/>
      <c r="F549" s="8"/>
      <c r="G549" s="8"/>
    </row>
    <row r="550" ht="15.75" customHeight="1">
      <c r="A550" s="8"/>
      <c r="B550" s="8"/>
      <c r="C550" s="8"/>
      <c r="D550" s="8"/>
      <c r="E550" s="8"/>
      <c r="F550" s="8"/>
      <c r="G550" s="8"/>
    </row>
    <row r="551" ht="15.75" customHeight="1">
      <c r="A551" s="8"/>
      <c r="B551" s="8"/>
      <c r="C551" s="8"/>
      <c r="D551" s="8"/>
      <c r="E551" s="8"/>
      <c r="F551" s="8"/>
      <c r="G551" s="8"/>
    </row>
    <row r="552" ht="15.75" customHeight="1">
      <c r="A552" s="8"/>
      <c r="B552" s="8"/>
      <c r="C552" s="8"/>
      <c r="D552" s="8"/>
      <c r="E552" s="8"/>
      <c r="F552" s="8"/>
      <c r="G552" s="8"/>
    </row>
    <row r="553" ht="15.75" customHeight="1">
      <c r="A553" s="8"/>
      <c r="B553" s="8"/>
      <c r="C553" s="8"/>
      <c r="D553" s="8"/>
      <c r="E553" s="8"/>
      <c r="F553" s="8"/>
      <c r="G553" s="8"/>
    </row>
    <row r="554" ht="15.75" customHeight="1">
      <c r="A554" s="8"/>
      <c r="B554" s="8"/>
      <c r="C554" s="8"/>
      <c r="D554" s="8"/>
      <c r="E554" s="8"/>
      <c r="F554" s="8"/>
      <c r="G554" s="8"/>
    </row>
    <row r="555" ht="15.75" customHeight="1">
      <c r="A555" s="8"/>
      <c r="B555" s="8"/>
      <c r="C555" s="8"/>
      <c r="D555" s="8"/>
      <c r="E555" s="8"/>
      <c r="F555" s="8"/>
      <c r="G555" s="8"/>
    </row>
    <row r="556" ht="15.75" customHeight="1">
      <c r="A556" s="8"/>
      <c r="B556" s="8"/>
      <c r="C556" s="8"/>
      <c r="D556" s="8"/>
      <c r="E556" s="8"/>
      <c r="F556" s="8"/>
      <c r="G556" s="8"/>
    </row>
    <row r="557" ht="15.75" customHeight="1">
      <c r="A557" s="8"/>
      <c r="B557" s="8"/>
      <c r="C557" s="8"/>
      <c r="D557" s="8"/>
      <c r="E557" s="8"/>
      <c r="F557" s="8"/>
      <c r="G557" s="8"/>
    </row>
    <row r="558" ht="15.75" customHeight="1">
      <c r="A558" s="8"/>
      <c r="B558" s="8"/>
      <c r="C558" s="8"/>
      <c r="D558" s="8"/>
      <c r="E558" s="8"/>
      <c r="F558" s="8"/>
      <c r="G558" s="8"/>
    </row>
    <row r="559" ht="15.75" customHeight="1">
      <c r="A559" s="8"/>
      <c r="B559" s="8"/>
      <c r="C559" s="8"/>
      <c r="D559" s="8"/>
      <c r="E559" s="8"/>
      <c r="F559" s="8"/>
      <c r="G559" s="8"/>
    </row>
    <row r="560" ht="15.75" customHeight="1">
      <c r="A560" s="8"/>
      <c r="B560" s="8"/>
      <c r="C560" s="8"/>
      <c r="D560" s="8"/>
      <c r="E560" s="8"/>
      <c r="F560" s="8"/>
      <c r="G560" s="8"/>
    </row>
    <row r="561" ht="15.75" customHeight="1">
      <c r="A561" s="8"/>
      <c r="B561" s="8"/>
      <c r="C561" s="8"/>
      <c r="D561" s="8"/>
      <c r="E561" s="8"/>
      <c r="F561" s="8"/>
      <c r="G561" s="8"/>
    </row>
    <row r="562" ht="15.75" customHeight="1">
      <c r="A562" s="8"/>
      <c r="B562" s="8"/>
      <c r="C562" s="8"/>
      <c r="D562" s="8"/>
      <c r="E562" s="8"/>
      <c r="F562" s="8"/>
      <c r="G562" s="8"/>
    </row>
    <row r="563" ht="15.75" customHeight="1">
      <c r="A563" s="8"/>
      <c r="B563" s="8"/>
      <c r="C563" s="8"/>
      <c r="D563" s="8"/>
      <c r="E563" s="8"/>
      <c r="F563" s="8"/>
      <c r="G563" s="8"/>
    </row>
    <row r="564" ht="15.75" customHeight="1">
      <c r="A564" s="8"/>
      <c r="B564" s="8"/>
      <c r="C564" s="8"/>
      <c r="D564" s="8"/>
      <c r="E564" s="8"/>
      <c r="F564" s="8"/>
      <c r="G564" s="8"/>
    </row>
    <row r="565" ht="15.75" customHeight="1">
      <c r="A565" s="8"/>
      <c r="B565" s="8"/>
      <c r="C565" s="8"/>
      <c r="D565" s="8"/>
      <c r="E565" s="8"/>
      <c r="F565" s="8"/>
      <c r="G565" s="8"/>
    </row>
    <row r="566" ht="15.75" customHeight="1">
      <c r="A566" s="8"/>
      <c r="B566" s="8"/>
      <c r="C566" s="8"/>
      <c r="D566" s="8"/>
      <c r="E566" s="8"/>
      <c r="F566" s="8"/>
      <c r="G566" s="8"/>
    </row>
    <row r="567" ht="15.75" customHeight="1">
      <c r="A567" s="8"/>
      <c r="B567" s="8"/>
      <c r="C567" s="8"/>
      <c r="D567" s="8"/>
      <c r="E567" s="8"/>
      <c r="F567" s="8"/>
      <c r="G567" s="8"/>
    </row>
    <row r="568" ht="15.75" customHeight="1">
      <c r="A568" s="8"/>
      <c r="B568" s="8"/>
      <c r="C568" s="8"/>
      <c r="D568" s="8"/>
      <c r="E568" s="8"/>
      <c r="F568" s="8"/>
      <c r="G568" s="8"/>
    </row>
    <row r="569" ht="15.75" customHeight="1">
      <c r="A569" s="8"/>
      <c r="B569" s="8"/>
      <c r="C569" s="8"/>
      <c r="D569" s="8"/>
      <c r="E569" s="8"/>
      <c r="F569" s="8"/>
      <c r="G569" s="8"/>
    </row>
    <row r="570" ht="15.75" customHeight="1">
      <c r="A570" s="8"/>
      <c r="B570" s="8"/>
      <c r="C570" s="8"/>
      <c r="D570" s="8"/>
      <c r="E570" s="8"/>
      <c r="F570" s="8"/>
      <c r="G570" s="8"/>
    </row>
    <row r="571" ht="15.75" customHeight="1">
      <c r="A571" s="8"/>
      <c r="B571" s="8"/>
      <c r="C571" s="8"/>
      <c r="D571" s="8"/>
      <c r="E571" s="8"/>
      <c r="F571" s="8"/>
      <c r="G571" s="8"/>
    </row>
    <row r="572" ht="15.75" customHeight="1">
      <c r="A572" s="8"/>
      <c r="B572" s="8"/>
      <c r="C572" s="8"/>
      <c r="D572" s="8"/>
      <c r="E572" s="8"/>
      <c r="F572" s="8"/>
      <c r="G572" s="8"/>
    </row>
    <row r="573" ht="15.75" customHeight="1">
      <c r="A573" s="8"/>
      <c r="B573" s="8"/>
      <c r="C573" s="8"/>
      <c r="D573" s="8"/>
      <c r="E573" s="8"/>
      <c r="F573" s="8"/>
      <c r="G573" s="8"/>
    </row>
    <row r="574" ht="15.75" customHeight="1">
      <c r="A574" s="8"/>
      <c r="B574" s="8"/>
      <c r="C574" s="8"/>
      <c r="D574" s="8"/>
      <c r="E574" s="8"/>
      <c r="F574" s="8"/>
      <c r="G574" s="8"/>
    </row>
    <row r="575" ht="15.75" customHeight="1">
      <c r="A575" s="8"/>
      <c r="B575" s="8"/>
      <c r="C575" s="8"/>
      <c r="D575" s="8"/>
      <c r="E575" s="8"/>
      <c r="F575" s="8"/>
      <c r="G575" s="8"/>
    </row>
    <row r="576" ht="15.75" customHeight="1">
      <c r="A576" s="8"/>
      <c r="B576" s="8"/>
      <c r="C576" s="8"/>
      <c r="D576" s="8"/>
      <c r="E576" s="8"/>
      <c r="F576" s="8"/>
      <c r="G576" s="8"/>
    </row>
    <row r="577" ht="15.75" customHeight="1">
      <c r="A577" s="8"/>
      <c r="B577" s="8"/>
      <c r="C577" s="8"/>
      <c r="D577" s="8"/>
      <c r="E577" s="8"/>
      <c r="F577" s="8"/>
      <c r="G577" s="8"/>
    </row>
    <row r="578" ht="15.75" customHeight="1">
      <c r="A578" s="8"/>
      <c r="B578" s="8"/>
      <c r="C578" s="8"/>
      <c r="D578" s="8"/>
      <c r="E578" s="8"/>
      <c r="F578" s="8"/>
      <c r="G578" s="8"/>
    </row>
    <row r="579" ht="15.75" customHeight="1">
      <c r="A579" s="8"/>
      <c r="B579" s="8"/>
      <c r="C579" s="8"/>
      <c r="D579" s="8"/>
      <c r="E579" s="8"/>
      <c r="F579" s="8"/>
      <c r="G579" s="8"/>
    </row>
    <row r="580" ht="15.75" customHeight="1">
      <c r="A580" s="8"/>
      <c r="B580" s="8"/>
      <c r="C580" s="8"/>
      <c r="D580" s="8"/>
      <c r="E580" s="8"/>
      <c r="F580" s="8"/>
      <c r="G580" s="8"/>
    </row>
    <row r="581" ht="15.75" customHeight="1">
      <c r="A581" s="8"/>
      <c r="B581" s="8"/>
      <c r="C581" s="8"/>
      <c r="D581" s="8"/>
      <c r="E581" s="8"/>
      <c r="F581" s="8"/>
      <c r="G581" s="8"/>
    </row>
    <row r="582" ht="15.75" customHeight="1">
      <c r="A582" s="8"/>
      <c r="B582" s="8"/>
      <c r="C582" s="8"/>
      <c r="D582" s="8"/>
      <c r="E582" s="8"/>
      <c r="F582" s="8"/>
      <c r="G582" s="8"/>
    </row>
    <row r="583" ht="15.75" customHeight="1">
      <c r="A583" s="8"/>
      <c r="B583" s="8"/>
      <c r="C583" s="8"/>
      <c r="D583" s="8"/>
      <c r="E583" s="8"/>
      <c r="F583" s="8"/>
      <c r="G583" s="8"/>
    </row>
    <row r="584" ht="15.75" customHeight="1">
      <c r="A584" s="8"/>
      <c r="B584" s="8"/>
      <c r="C584" s="8"/>
      <c r="D584" s="8"/>
      <c r="E584" s="8"/>
      <c r="F584" s="8"/>
      <c r="G584" s="8"/>
    </row>
    <row r="585" ht="15.75" customHeight="1">
      <c r="A585" s="8"/>
      <c r="B585" s="8"/>
      <c r="C585" s="8"/>
      <c r="D585" s="8"/>
      <c r="E585" s="8"/>
      <c r="F585" s="8"/>
      <c r="G585" s="8"/>
    </row>
    <row r="586" ht="15.75" customHeight="1">
      <c r="A586" s="8"/>
      <c r="B586" s="8"/>
      <c r="C586" s="8"/>
      <c r="D586" s="8"/>
      <c r="E586" s="8"/>
      <c r="F586" s="8"/>
      <c r="G586" s="8"/>
    </row>
    <row r="587" ht="15.75" customHeight="1">
      <c r="A587" s="8"/>
      <c r="B587" s="8"/>
      <c r="C587" s="8"/>
      <c r="D587" s="8"/>
      <c r="E587" s="8"/>
      <c r="F587" s="8"/>
      <c r="G587" s="8"/>
    </row>
    <row r="588" ht="15.75" customHeight="1">
      <c r="A588" s="8"/>
      <c r="B588" s="8"/>
      <c r="C588" s="8"/>
      <c r="D588" s="8"/>
      <c r="E588" s="8"/>
      <c r="F588" s="8"/>
      <c r="G588" s="8"/>
    </row>
    <row r="589" ht="15.75" customHeight="1">
      <c r="A589" s="8"/>
      <c r="B589" s="8"/>
      <c r="C589" s="8"/>
      <c r="D589" s="8"/>
      <c r="E589" s="8"/>
      <c r="F589" s="8"/>
      <c r="G589" s="8"/>
    </row>
    <row r="590" ht="15.75" customHeight="1">
      <c r="A590" s="8"/>
      <c r="B590" s="8"/>
      <c r="C590" s="8"/>
      <c r="D590" s="8"/>
      <c r="E590" s="8"/>
      <c r="F590" s="8"/>
      <c r="G590" s="8"/>
    </row>
    <row r="591" ht="15.75" customHeight="1">
      <c r="A591" s="8"/>
      <c r="B591" s="8"/>
      <c r="C591" s="8"/>
      <c r="D591" s="8"/>
      <c r="E591" s="8"/>
      <c r="F591" s="8"/>
      <c r="G591" s="8"/>
    </row>
    <row r="592" ht="15.75" customHeight="1">
      <c r="A592" s="8"/>
      <c r="B592" s="8"/>
      <c r="C592" s="8"/>
      <c r="D592" s="8"/>
      <c r="E592" s="8"/>
      <c r="F592" s="8"/>
      <c r="G592" s="8"/>
    </row>
    <row r="593" ht="15.75" customHeight="1">
      <c r="A593" s="8"/>
      <c r="B593" s="8"/>
      <c r="C593" s="8"/>
      <c r="D593" s="8"/>
      <c r="E593" s="8"/>
      <c r="F593" s="8"/>
      <c r="G593" s="8"/>
    </row>
    <row r="594" ht="15.75" customHeight="1">
      <c r="A594" s="8"/>
      <c r="B594" s="8"/>
      <c r="C594" s="8"/>
      <c r="D594" s="8"/>
      <c r="E594" s="8"/>
      <c r="F594" s="8"/>
      <c r="G594" s="8"/>
    </row>
    <row r="595" ht="15.75" customHeight="1">
      <c r="A595" s="8"/>
      <c r="B595" s="8"/>
      <c r="C595" s="8"/>
      <c r="D595" s="8"/>
      <c r="E595" s="8"/>
      <c r="F595" s="8"/>
      <c r="G595" s="8"/>
    </row>
    <row r="596" ht="15.75" customHeight="1">
      <c r="A596" s="8"/>
      <c r="B596" s="8"/>
      <c r="C596" s="8"/>
      <c r="D596" s="8"/>
      <c r="E596" s="8"/>
      <c r="F596" s="8"/>
      <c r="G596" s="8"/>
    </row>
    <row r="597" ht="15.75" customHeight="1">
      <c r="A597" s="8"/>
      <c r="B597" s="8"/>
      <c r="C597" s="8"/>
      <c r="D597" s="8"/>
      <c r="E597" s="8"/>
      <c r="F597" s="8"/>
      <c r="G597" s="8"/>
    </row>
    <row r="598" ht="15.75" customHeight="1">
      <c r="A598" s="8"/>
      <c r="B598" s="8"/>
      <c r="C598" s="8"/>
      <c r="D598" s="8"/>
      <c r="E598" s="8"/>
      <c r="F598" s="8"/>
      <c r="G598" s="8"/>
    </row>
    <row r="599" ht="15.75" customHeight="1">
      <c r="A599" s="8"/>
      <c r="B599" s="8"/>
      <c r="C599" s="8"/>
      <c r="D599" s="8"/>
      <c r="E599" s="8"/>
      <c r="F599" s="8"/>
      <c r="G599" s="8"/>
    </row>
    <row r="600" ht="15.75" customHeight="1">
      <c r="A600" s="8"/>
      <c r="B600" s="8"/>
      <c r="C600" s="8"/>
      <c r="D600" s="8"/>
      <c r="E600" s="8"/>
      <c r="F600" s="8"/>
      <c r="G600" s="8"/>
    </row>
    <row r="601" ht="15.75" customHeight="1">
      <c r="A601" s="8"/>
      <c r="B601" s="8"/>
      <c r="C601" s="8"/>
      <c r="D601" s="8"/>
      <c r="E601" s="8"/>
      <c r="F601" s="8"/>
      <c r="G601" s="8"/>
    </row>
    <row r="602" ht="15.75" customHeight="1">
      <c r="A602" s="8"/>
      <c r="B602" s="8"/>
      <c r="C602" s="8"/>
      <c r="D602" s="8"/>
      <c r="E602" s="8"/>
      <c r="F602" s="8"/>
      <c r="G602" s="8"/>
    </row>
    <row r="603" ht="15.75" customHeight="1">
      <c r="A603" s="8"/>
      <c r="B603" s="8"/>
      <c r="C603" s="8"/>
      <c r="D603" s="8"/>
      <c r="E603" s="8"/>
      <c r="F603" s="8"/>
      <c r="G603" s="8"/>
    </row>
    <row r="604" ht="15.75" customHeight="1">
      <c r="A604" s="8"/>
      <c r="B604" s="8"/>
      <c r="C604" s="8"/>
      <c r="D604" s="8"/>
      <c r="E604" s="8"/>
      <c r="F604" s="8"/>
      <c r="G604" s="8"/>
    </row>
    <row r="605" ht="15.75" customHeight="1">
      <c r="A605" s="8"/>
      <c r="B605" s="8"/>
      <c r="C605" s="8"/>
      <c r="D605" s="8"/>
      <c r="E605" s="8"/>
      <c r="F605" s="8"/>
      <c r="G605" s="8"/>
    </row>
    <row r="606" ht="15.75" customHeight="1">
      <c r="A606" s="8"/>
      <c r="B606" s="8"/>
      <c r="C606" s="8"/>
      <c r="D606" s="8"/>
      <c r="E606" s="8"/>
      <c r="F606" s="8"/>
      <c r="G606" s="8"/>
    </row>
    <row r="607" ht="15.75" customHeight="1">
      <c r="A607" s="8"/>
      <c r="B607" s="8"/>
      <c r="C607" s="8"/>
      <c r="D607" s="8"/>
      <c r="E607" s="8"/>
      <c r="F607" s="8"/>
      <c r="G607" s="8"/>
    </row>
    <row r="608" ht="15.75" customHeight="1">
      <c r="A608" s="8"/>
      <c r="B608" s="8"/>
      <c r="C608" s="8"/>
      <c r="D608" s="8"/>
      <c r="E608" s="8"/>
      <c r="F608" s="8"/>
      <c r="G608" s="8"/>
    </row>
    <row r="609" ht="15.75" customHeight="1">
      <c r="A609" s="8"/>
      <c r="B609" s="8"/>
      <c r="C609" s="8"/>
      <c r="D609" s="8"/>
      <c r="E609" s="8"/>
      <c r="F609" s="8"/>
      <c r="G609" s="8"/>
    </row>
    <row r="610" ht="15.75" customHeight="1">
      <c r="A610" s="8"/>
      <c r="B610" s="8"/>
      <c r="C610" s="8"/>
      <c r="D610" s="8"/>
      <c r="E610" s="8"/>
      <c r="F610" s="8"/>
      <c r="G610" s="8"/>
    </row>
    <row r="611" ht="15.75" customHeight="1">
      <c r="A611" s="8"/>
      <c r="B611" s="8"/>
      <c r="C611" s="8"/>
      <c r="D611" s="8"/>
      <c r="E611" s="8"/>
      <c r="F611" s="8"/>
      <c r="G611" s="8"/>
    </row>
    <row r="612" ht="15.75" customHeight="1">
      <c r="A612" s="8"/>
      <c r="B612" s="8"/>
      <c r="C612" s="8"/>
      <c r="D612" s="8"/>
      <c r="E612" s="8"/>
      <c r="F612" s="8"/>
      <c r="G612" s="8"/>
    </row>
    <row r="613" ht="15.75" customHeight="1">
      <c r="A613" s="8"/>
      <c r="B613" s="8"/>
      <c r="C613" s="8"/>
      <c r="D613" s="8"/>
      <c r="E613" s="8"/>
      <c r="F613" s="8"/>
      <c r="G613" s="8"/>
    </row>
    <row r="614" ht="15.75" customHeight="1">
      <c r="A614" s="8"/>
      <c r="B614" s="8"/>
      <c r="C614" s="8"/>
      <c r="D614" s="8"/>
      <c r="E614" s="8"/>
      <c r="F614" s="8"/>
      <c r="G614" s="8"/>
    </row>
    <row r="615" ht="15.75" customHeight="1">
      <c r="A615" s="8"/>
      <c r="B615" s="8"/>
      <c r="C615" s="8"/>
      <c r="D615" s="8"/>
      <c r="E615" s="8"/>
      <c r="F615" s="8"/>
      <c r="G615" s="8"/>
    </row>
    <row r="616" ht="15.75" customHeight="1">
      <c r="A616" s="8"/>
      <c r="B616" s="8"/>
      <c r="C616" s="8"/>
      <c r="D616" s="8"/>
      <c r="E616" s="8"/>
      <c r="F616" s="8"/>
      <c r="G616" s="8"/>
    </row>
    <row r="617" ht="15.75" customHeight="1">
      <c r="A617" s="8"/>
      <c r="B617" s="8"/>
      <c r="C617" s="8"/>
      <c r="D617" s="8"/>
      <c r="E617" s="8"/>
      <c r="F617" s="8"/>
      <c r="G617" s="8"/>
    </row>
    <row r="618" ht="15.75" customHeight="1">
      <c r="A618" s="8"/>
      <c r="B618" s="8"/>
      <c r="C618" s="8"/>
      <c r="D618" s="8"/>
      <c r="E618" s="8"/>
      <c r="F618" s="8"/>
      <c r="G618" s="8"/>
    </row>
    <row r="619" ht="15.75" customHeight="1">
      <c r="A619" s="8"/>
      <c r="B619" s="8"/>
      <c r="C619" s="8"/>
      <c r="D619" s="8"/>
      <c r="E619" s="8"/>
      <c r="F619" s="8"/>
      <c r="G619" s="8"/>
    </row>
    <row r="620" ht="15.75" customHeight="1">
      <c r="A620" s="8"/>
      <c r="B620" s="8"/>
      <c r="C620" s="8"/>
      <c r="D620" s="8"/>
      <c r="E620" s="8"/>
      <c r="F620" s="8"/>
      <c r="G620" s="8"/>
    </row>
    <row r="621" ht="15.75" customHeight="1">
      <c r="A621" s="8"/>
      <c r="B621" s="8"/>
      <c r="C621" s="8"/>
      <c r="D621" s="8"/>
      <c r="E621" s="8"/>
      <c r="F621" s="8"/>
      <c r="G621" s="8"/>
    </row>
    <row r="622" ht="15.75" customHeight="1">
      <c r="A622" s="8"/>
      <c r="B622" s="8"/>
      <c r="C622" s="8"/>
      <c r="D622" s="8"/>
      <c r="E622" s="8"/>
      <c r="F622" s="8"/>
      <c r="G622" s="8"/>
    </row>
    <row r="623" ht="15.75" customHeight="1">
      <c r="A623" s="8"/>
      <c r="B623" s="8"/>
      <c r="C623" s="8"/>
      <c r="D623" s="8"/>
      <c r="E623" s="8"/>
      <c r="F623" s="8"/>
      <c r="G623" s="8"/>
    </row>
    <row r="624" ht="15.75" customHeight="1">
      <c r="A624" s="8"/>
      <c r="B624" s="8"/>
      <c r="C624" s="8"/>
      <c r="D624" s="8"/>
      <c r="E624" s="8"/>
      <c r="F624" s="8"/>
      <c r="G624" s="8"/>
    </row>
    <row r="625" ht="15.75" customHeight="1">
      <c r="A625" s="8"/>
      <c r="B625" s="8"/>
      <c r="C625" s="8"/>
      <c r="D625" s="8"/>
      <c r="E625" s="8"/>
      <c r="F625" s="8"/>
      <c r="G625" s="8"/>
    </row>
    <row r="626" ht="15.75" customHeight="1">
      <c r="A626" s="8"/>
      <c r="B626" s="8"/>
      <c r="C626" s="8"/>
      <c r="D626" s="8"/>
      <c r="E626" s="8"/>
      <c r="F626" s="8"/>
      <c r="G626" s="8"/>
    </row>
    <row r="627" ht="15.75" customHeight="1">
      <c r="A627" s="8"/>
      <c r="B627" s="8"/>
      <c r="C627" s="8"/>
      <c r="D627" s="8"/>
      <c r="E627" s="8"/>
      <c r="F627" s="8"/>
      <c r="G627" s="8"/>
    </row>
    <row r="628" ht="15.75" customHeight="1">
      <c r="A628" s="8"/>
      <c r="B628" s="8"/>
      <c r="C628" s="8"/>
      <c r="D628" s="8"/>
      <c r="E628" s="8"/>
      <c r="F628" s="8"/>
      <c r="G628" s="8"/>
    </row>
    <row r="629" ht="15.75" customHeight="1">
      <c r="A629" s="8"/>
      <c r="B629" s="8"/>
      <c r="C629" s="8"/>
      <c r="D629" s="8"/>
      <c r="E629" s="8"/>
      <c r="F629" s="8"/>
      <c r="G629" s="8"/>
    </row>
    <row r="630" ht="15.75" customHeight="1">
      <c r="A630" s="8"/>
      <c r="B630" s="8"/>
      <c r="C630" s="8"/>
      <c r="D630" s="8"/>
      <c r="E630" s="8"/>
      <c r="F630" s="8"/>
      <c r="G630" s="8"/>
    </row>
    <row r="631" ht="15.75" customHeight="1">
      <c r="A631" s="8"/>
      <c r="B631" s="8"/>
      <c r="C631" s="8"/>
      <c r="D631" s="8"/>
      <c r="E631" s="8"/>
      <c r="F631" s="8"/>
      <c r="G631" s="8"/>
    </row>
    <row r="632" ht="15.75" customHeight="1">
      <c r="A632" s="8"/>
      <c r="B632" s="8"/>
      <c r="C632" s="8"/>
      <c r="D632" s="8"/>
      <c r="E632" s="8"/>
      <c r="F632" s="8"/>
      <c r="G632" s="8"/>
    </row>
    <row r="633" ht="15.75" customHeight="1">
      <c r="A633" s="8"/>
      <c r="B633" s="8"/>
      <c r="C633" s="8"/>
      <c r="D633" s="8"/>
      <c r="E633" s="8"/>
      <c r="F633" s="8"/>
      <c r="G633" s="8"/>
    </row>
    <row r="634" ht="15.75" customHeight="1">
      <c r="A634" s="8"/>
      <c r="B634" s="8"/>
      <c r="C634" s="8"/>
      <c r="D634" s="8"/>
      <c r="E634" s="8"/>
      <c r="F634" s="8"/>
      <c r="G634" s="8"/>
    </row>
    <row r="635" ht="15.75" customHeight="1">
      <c r="A635" s="8"/>
      <c r="B635" s="8"/>
      <c r="C635" s="8"/>
      <c r="D635" s="8"/>
      <c r="E635" s="8"/>
      <c r="F635" s="8"/>
      <c r="G635" s="8"/>
    </row>
    <row r="636" ht="15.75" customHeight="1">
      <c r="A636" s="8"/>
      <c r="B636" s="8"/>
      <c r="C636" s="8"/>
      <c r="D636" s="8"/>
      <c r="E636" s="8"/>
      <c r="F636" s="8"/>
      <c r="G636" s="8"/>
    </row>
    <row r="637" ht="15.75" customHeight="1">
      <c r="A637" s="8"/>
      <c r="B637" s="8"/>
      <c r="C637" s="8"/>
      <c r="D637" s="8"/>
      <c r="E637" s="8"/>
      <c r="F637" s="8"/>
      <c r="G637" s="8"/>
    </row>
    <row r="638" ht="15.75" customHeight="1">
      <c r="A638" s="8"/>
      <c r="B638" s="8"/>
      <c r="C638" s="8"/>
      <c r="D638" s="8"/>
      <c r="E638" s="8"/>
      <c r="F638" s="8"/>
      <c r="G638" s="8"/>
    </row>
    <row r="639" ht="15.75" customHeight="1">
      <c r="A639" s="8"/>
      <c r="B639" s="8"/>
      <c r="C639" s="8"/>
      <c r="D639" s="8"/>
      <c r="E639" s="8"/>
      <c r="F639" s="8"/>
      <c r="G639" s="8"/>
    </row>
    <row r="640" ht="15.75" customHeight="1">
      <c r="A640" s="8"/>
      <c r="B640" s="8"/>
      <c r="C640" s="8"/>
      <c r="D640" s="8"/>
      <c r="E640" s="8"/>
      <c r="F640" s="8"/>
      <c r="G640" s="8"/>
    </row>
    <row r="641" ht="15.75" customHeight="1">
      <c r="A641" s="8"/>
      <c r="B641" s="8"/>
      <c r="C641" s="8"/>
      <c r="D641" s="8"/>
      <c r="E641" s="8"/>
      <c r="F641" s="8"/>
      <c r="G641" s="8"/>
    </row>
    <row r="642" ht="15.75" customHeight="1">
      <c r="A642" s="8"/>
      <c r="B642" s="8"/>
      <c r="C642" s="8"/>
      <c r="D642" s="8"/>
      <c r="E642" s="8"/>
      <c r="F642" s="8"/>
      <c r="G642" s="8"/>
    </row>
    <row r="643" ht="15.75" customHeight="1">
      <c r="A643" s="8"/>
      <c r="B643" s="8"/>
      <c r="C643" s="8"/>
      <c r="D643" s="8"/>
      <c r="E643" s="8"/>
      <c r="F643" s="8"/>
      <c r="G643" s="8"/>
    </row>
    <row r="644" ht="15.75" customHeight="1">
      <c r="A644" s="8"/>
      <c r="B644" s="8"/>
      <c r="C644" s="8"/>
      <c r="D644" s="8"/>
      <c r="E644" s="8"/>
      <c r="F644" s="8"/>
      <c r="G644" s="8"/>
    </row>
    <row r="645" ht="15.75" customHeight="1">
      <c r="A645" s="8"/>
      <c r="B645" s="8"/>
      <c r="C645" s="8"/>
      <c r="D645" s="8"/>
      <c r="E645" s="8"/>
      <c r="F645" s="8"/>
      <c r="G645" s="8"/>
    </row>
    <row r="646" ht="15.75" customHeight="1">
      <c r="A646" s="8"/>
      <c r="B646" s="8"/>
      <c r="C646" s="8"/>
      <c r="D646" s="8"/>
      <c r="E646" s="8"/>
      <c r="F646" s="8"/>
      <c r="G646" s="8"/>
    </row>
    <row r="647" ht="15.75" customHeight="1">
      <c r="A647" s="8"/>
      <c r="B647" s="8"/>
      <c r="C647" s="8"/>
      <c r="D647" s="8"/>
      <c r="E647" s="8"/>
      <c r="F647" s="8"/>
      <c r="G647" s="8"/>
    </row>
    <row r="648" ht="15.75" customHeight="1">
      <c r="A648" s="8"/>
      <c r="B648" s="8"/>
      <c r="C648" s="8"/>
      <c r="D648" s="8"/>
      <c r="E648" s="8"/>
      <c r="F648" s="8"/>
      <c r="G648" s="8"/>
    </row>
    <row r="649" ht="15.75" customHeight="1">
      <c r="A649" s="8"/>
      <c r="B649" s="8"/>
      <c r="C649" s="8"/>
      <c r="D649" s="8"/>
      <c r="E649" s="8"/>
      <c r="F649" s="8"/>
      <c r="G649" s="8"/>
    </row>
    <row r="650" ht="15.75" customHeight="1">
      <c r="A650" s="8"/>
      <c r="B650" s="8"/>
      <c r="C650" s="8"/>
      <c r="D650" s="8"/>
      <c r="E650" s="8"/>
      <c r="F650" s="8"/>
      <c r="G650" s="8"/>
    </row>
    <row r="651" ht="15.75" customHeight="1">
      <c r="A651" s="8"/>
      <c r="B651" s="8"/>
      <c r="C651" s="8"/>
      <c r="D651" s="8"/>
      <c r="E651" s="8"/>
      <c r="F651" s="8"/>
      <c r="G651" s="8"/>
    </row>
    <row r="652" ht="15.75" customHeight="1">
      <c r="A652" s="8"/>
      <c r="B652" s="8"/>
      <c r="C652" s="8"/>
      <c r="D652" s="8"/>
      <c r="E652" s="8"/>
      <c r="F652" s="8"/>
      <c r="G652" s="8"/>
    </row>
    <row r="653" ht="15.75" customHeight="1">
      <c r="A653" s="8"/>
      <c r="B653" s="8"/>
      <c r="C653" s="8"/>
      <c r="D653" s="8"/>
      <c r="E653" s="8"/>
      <c r="F653" s="8"/>
      <c r="G653" s="8"/>
    </row>
    <row r="654" ht="15.75" customHeight="1">
      <c r="A654" s="8"/>
      <c r="B654" s="8"/>
      <c r="C654" s="8"/>
      <c r="D654" s="8"/>
      <c r="E654" s="8"/>
      <c r="F654" s="8"/>
      <c r="G654" s="8"/>
    </row>
    <row r="655" ht="15.75" customHeight="1">
      <c r="A655" s="8"/>
      <c r="B655" s="8"/>
      <c r="C655" s="8"/>
      <c r="D655" s="8"/>
      <c r="E655" s="8"/>
      <c r="F655" s="8"/>
      <c r="G655" s="8"/>
    </row>
    <row r="656" ht="15.75" customHeight="1">
      <c r="A656" s="8"/>
      <c r="B656" s="8"/>
      <c r="C656" s="8"/>
      <c r="D656" s="8"/>
      <c r="E656" s="8"/>
      <c r="F656" s="8"/>
      <c r="G656" s="8"/>
    </row>
    <row r="657" ht="15.75" customHeight="1">
      <c r="A657" s="8"/>
      <c r="B657" s="8"/>
      <c r="C657" s="8"/>
      <c r="D657" s="8"/>
      <c r="E657" s="8"/>
      <c r="F657" s="8"/>
      <c r="G657" s="8"/>
    </row>
    <row r="658" ht="15.75" customHeight="1">
      <c r="A658" s="8"/>
      <c r="B658" s="8"/>
      <c r="C658" s="8"/>
      <c r="D658" s="8"/>
      <c r="E658" s="8"/>
      <c r="F658" s="8"/>
      <c r="G658" s="8"/>
    </row>
    <row r="659" ht="15.75" customHeight="1">
      <c r="A659" s="8"/>
      <c r="B659" s="8"/>
      <c r="C659" s="8"/>
      <c r="D659" s="8"/>
      <c r="E659" s="8"/>
      <c r="F659" s="8"/>
      <c r="G659" s="8"/>
    </row>
    <row r="660" ht="15.75" customHeight="1">
      <c r="A660" s="8"/>
      <c r="B660" s="8"/>
      <c r="C660" s="8"/>
      <c r="D660" s="8"/>
      <c r="E660" s="8"/>
      <c r="F660" s="8"/>
      <c r="G660" s="8"/>
    </row>
    <row r="661" ht="15.75" customHeight="1">
      <c r="A661" s="8"/>
      <c r="B661" s="8"/>
      <c r="C661" s="8"/>
      <c r="D661" s="8"/>
      <c r="E661" s="8"/>
      <c r="F661" s="8"/>
      <c r="G661" s="8"/>
    </row>
    <row r="662" ht="15.75" customHeight="1">
      <c r="A662" s="8"/>
      <c r="B662" s="8"/>
      <c r="C662" s="8"/>
      <c r="D662" s="8"/>
      <c r="E662" s="8"/>
      <c r="F662" s="8"/>
      <c r="G662" s="8"/>
    </row>
    <row r="663" ht="15.75" customHeight="1">
      <c r="A663" s="8"/>
      <c r="B663" s="8"/>
      <c r="C663" s="8"/>
      <c r="D663" s="8"/>
      <c r="E663" s="8"/>
      <c r="F663" s="8"/>
      <c r="G663" s="8"/>
    </row>
    <row r="664" ht="15.75" customHeight="1">
      <c r="A664" s="8"/>
      <c r="B664" s="8"/>
      <c r="C664" s="8"/>
      <c r="D664" s="8"/>
      <c r="E664" s="8"/>
      <c r="F664" s="8"/>
      <c r="G664" s="8"/>
    </row>
    <row r="665" ht="15.75" customHeight="1">
      <c r="A665" s="8"/>
      <c r="B665" s="8"/>
      <c r="C665" s="8"/>
      <c r="D665" s="8"/>
      <c r="E665" s="8"/>
      <c r="F665" s="8"/>
      <c r="G665" s="8"/>
    </row>
    <row r="666" ht="15.75" customHeight="1">
      <c r="A666" s="8"/>
      <c r="B666" s="8"/>
      <c r="C666" s="8"/>
      <c r="D666" s="8"/>
      <c r="E666" s="8"/>
      <c r="F666" s="8"/>
      <c r="G666" s="8"/>
    </row>
    <row r="667" ht="15.75" customHeight="1">
      <c r="A667" s="8"/>
      <c r="B667" s="8"/>
      <c r="C667" s="8"/>
      <c r="D667" s="8"/>
      <c r="E667" s="8"/>
      <c r="F667" s="8"/>
      <c r="G667" s="8"/>
    </row>
    <row r="668" ht="15.75" customHeight="1">
      <c r="A668" s="8"/>
      <c r="B668" s="8"/>
      <c r="C668" s="8"/>
      <c r="D668" s="8"/>
      <c r="E668" s="8"/>
      <c r="F668" s="8"/>
      <c r="G668" s="8"/>
    </row>
    <row r="669" ht="15.75" customHeight="1">
      <c r="A669" s="8"/>
      <c r="B669" s="8"/>
      <c r="C669" s="8"/>
      <c r="D669" s="8"/>
      <c r="E669" s="8"/>
      <c r="F669" s="8"/>
      <c r="G669" s="8"/>
    </row>
    <row r="670" ht="15.75" customHeight="1">
      <c r="A670" s="8"/>
      <c r="B670" s="8"/>
      <c r="C670" s="8"/>
      <c r="D670" s="8"/>
      <c r="E670" s="8"/>
      <c r="F670" s="8"/>
      <c r="G670" s="8"/>
    </row>
    <row r="671" ht="15.75" customHeight="1">
      <c r="A671" s="8"/>
      <c r="B671" s="8"/>
      <c r="C671" s="8"/>
      <c r="D671" s="8"/>
      <c r="E671" s="8"/>
      <c r="F671" s="8"/>
      <c r="G671" s="8"/>
    </row>
    <row r="672" ht="15.75" customHeight="1">
      <c r="A672" s="8"/>
      <c r="B672" s="8"/>
      <c r="C672" s="8"/>
      <c r="D672" s="8"/>
      <c r="E672" s="8"/>
      <c r="F672" s="8"/>
      <c r="G672" s="8"/>
    </row>
    <row r="673" ht="15.75" customHeight="1">
      <c r="A673" s="8"/>
      <c r="B673" s="8"/>
      <c r="C673" s="8"/>
      <c r="D673" s="8"/>
      <c r="E673" s="8"/>
      <c r="F673" s="8"/>
      <c r="G673" s="8"/>
    </row>
    <row r="674" ht="15.75" customHeight="1">
      <c r="A674" s="8"/>
      <c r="B674" s="8"/>
      <c r="C674" s="8"/>
      <c r="D674" s="8"/>
      <c r="E674" s="8"/>
      <c r="F674" s="8"/>
      <c r="G674" s="8"/>
    </row>
    <row r="675" ht="15.75" customHeight="1">
      <c r="A675" s="8"/>
      <c r="B675" s="8"/>
      <c r="C675" s="8"/>
      <c r="D675" s="8"/>
      <c r="E675" s="8"/>
      <c r="F675" s="8"/>
      <c r="G675" s="8"/>
    </row>
    <row r="676" ht="15.75" customHeight="1">
      <c r="A676" s="8"/>
      <c r="B676" s="8"/>
      <c r="C676" s="8"/>
      <c r="D676" s="8"/>
      <c r="E676" s="8"/>
      <c r="F676" s="8"/>
      <c r="G676" s="8"/>
    </row>
    <row r="677" ht="15.75" customHeight="1">
      <c r="A677" s="8"/>
      <c r="B677" s="8"/>
      <c r="C677" s="8"/>
      <c r="D677" s="8"/>
      <c r="E677" s="8"/>
      <c r="F677" s="8"/>
      <c r="G677" s="8"/>
    </row>
    <row r="678" ht="15.75" customHeight="1">
      <c r="A678" s="8"/>
      <c r="B678" s="8"/>
      <c r="C678" s="8"/>
      <c r="D678" s="8"/>
      <c r="E678" s="8"/>
      <c r="F678" s="8"/>
      <c r="G678" s="8"/>
    </row>
    <row r="679" ht="15.75" customHeight="1">
      <c r="A679" s="8"/>
      <c r="B679" s="8"/>
      <c r="C679" s="8"/>
      <c r="D679" s="8"/>
      <c r="E679" s="8"/>
      <c r="F679" s="8"/>
      <c r="G679" s="8"/>
    </row>
    <row r="680" ht="15.75" customHeight="1">
      <c r="A680" s="8"/>
      <c r="B680" s="8"/>
      <c r="C680" s="8"/>
      <c r="D680" s="8"/>
      <c r="E680" s="8"/>
      <c r="F680" s="8"/>
      <c r="G680" s="8"/>
    </row>
    <row r="681" ht="15.75" customHeight="1">
      <c r="A681" s="8"/>
      <c r="B681" s="8"/>
      <c r="C681" s="8"/>
      <c r="D681" s="8"/>
      <c r="E681" s="8"/>
      <c r="F681" s="8"/>
      <c r="G681" s="8"/>
    </row>
    <row r="682" ht="15.75" customHeight="1">
      <c r="A682" s="8"/>
      <c r="B682" s="8"/>
      <c r="C682" s="8"/>
      <c r="D682" s="8"/>
      <c r="E682" s="8"/>
      <c r="F682" s="8"/>
      <c r="G682" s="8"/>
    </row>
    <row r="683" ht="15.75" customHeight="1">
      <c r="A683" s="8"/>
      <c r="B683" s="8"/>
      <c r="C683" s="8"/>
      <c r="D683" s="8"/>
      <c r="E683" s="8"/>
      <c r="F683" s="8"/>
      <c r="G683" s="8"/>
    </row>
    <row r="684" ht="15.75" customHeight="1">
      <c r="A684" s="8"/>
      <c r="B684" s="8"/>
      <c r="C684" s="8"/>
      <c r="D684" s="8"/>
      <c r="E684" s="8"/>
      <c r="F684" s="8"/>
      <c r="G684" s="8"/>
    </row>
    <row r="685" ht="15.75" customHeight="1">
      <c r="A685" s="8"/>
      <c r="B685" s="8"/>
      <c r="C685" s="8"/>
      <c r="D685" s="8"/>
      <c r="E685" s="8"/>
      <c r="F685" s="8"/>
      <c r="G685" s="8"/>
    </row>
    <row r="686" ht="15.75" customHeight="1">
      <c r="A686" s="8"/>
      <c r="B686" s="8"/>
      <c r="C686" s="8"/>
      <c r="D686" s="8"/>
      <c r="E686" s="8"/>
      <c r="F686" s="8"/>
      <c r="G686" s="8"/>
    </row>
    <row r="687" ht="15.75" customHeight="1">
      <c r="A687" s="8"/>
      <c r="B687" s="8"/>
      <c r="C687" s="8"/>
      <c r="D687" s="8"/>
      <c r="E687" s="8"/>
      <c r="F687" s="8"/>
      <c r="G687" s="8"/>
    </row>
    <row r="688" ht="15.75" customHeight="1">
      <c r="A688" s="8"/>
      <c r="B688" s="8"/>
      <c r="C688" s="8"/>
      <c r="D688" s="8"/>
      <c r="E688" s="8"/>
      <c r="F688" s="8"/>
      <c r="G688" s="8"/>
    </row>
    <row r="689" ht="15.75" customHeight="1">
      <c r="A689" s="8"/>
      <c r="B689" s="8"/>
      <c r="C689" s="8"/>
      <c r="D689" s="8"/>
      <c r="E689" s="8"/>
      <c r="F689" s="8"/>
      <c r="G689" s="8"/>
    </row>
    <row r="690" ht="15.75" customHeight="1">
      <c r="A690" s="8"/>
      <c r="B690" s="8"/>
      <c r="C690" s="8"/>
      <c r="D690" s="8"/>
      <c r="E690" s="8"/>
      <c r="F690" s="8"/>
      <c r="G690" s="8"/>
    </row>
    <row r="691" ht="15.75" customHeight="1">
      <c r="A691" s="8"/>
      <c r="B691" s="8"/>
      <c r="C691" s="8"/>
      <c r="D691" s="8"/>
      <c r="E691" s="8"/>
      <c r="F691" s="8"/>
      <c r="G691" s="8"/>
    </row>
    <row r="692" ht="15.75" customHeight="1">
      <c r="A692" s="8"/>
      <c r="B692" s="8"/>
      <c r="C692" s="8"/>
      <c r="D692" s="8"/>
      <c r="E692" s="8"/>
      <c r="F692" s="8"/>
      <c r="G692" s="8"/>
    </row>
    <row r="693" ht="15.75" customHeight="1">
      <c r="A693" s="8"/>
      <c r="B693" s="8"/>
      <c r="C693" s="8"/>
      <c r="D693" s="8"/>
      <c r="E693" s="8"/>
      <c r="F693" s="8"/>
      <c r="G693" s="8"/>
    </row>
    <row r="694" ht="15.75" customHeight="1">
      <c r="A694" s="8"/>
      <c r="B694" s="8"/>
      <c r="C694" s="8"/>
      <c r="D694" s="8"/>
      <c r="E694" s="8"/>
      <c r="F694" s="8"/>
      <c r="G694" s="8"/>
    </row>
    <row r="695" ht="15.75" customHeight="1">
      <c r="A695" s="8"/>
      <c r="B695" s="8"/>
      <c r="C695" s="8"/>
      <c r="D695" s="8"/>
      <c r="E695" s="8"/>
      <c r="F695" s="8"/>
      <c r="G695" s="8"/>
    </row>
    <row r="696" ht="15.75" customHeight="1">
      <c r="A696" s="8"/>
      <c r="B696" s="8"/>
      <c r="C696" s="8"/>
      <c r="D696" s="8"/>
      <c r="E696" s="8"/>
      <c r="F696" s="8"/>
      <c r="G696" s="8"/>
    </row>
    <row r="697" ht="15.75" customHeight="1">
      <c r="A697" s="8"/>
      <c r="B697" s="8"/>
      <c r="C697" s="8"/>
      <c r="D697" s="8"/>
      <c r="E697" s="8"/>
      <c r="F697" s="8"/>
      <c r="G697" s="8"/>
    </row>
    <row r="698" ht="15.75" customHeight="1">
      <c r="A698" s="8"/>
      <c r="B698" s="8"/>
      <c r="C698" s="8"/>
      <c r="D698" s="8"/>
      <c r="E698" s="8"/>
      <c r="F698" s="8"/>
      <c r="G698" s="8"/>
    </row>
    <row r="699" ht="15.75" customHeight="1">
      <c r="A699" s="8"/>
      <c r="B699" s="8"/>
      <c r="C699" s="8"/>
      <c r="D699" s="8"/>
      <c r="E699" s="8"/>
      <c r="F699" s="8"/>
      <c r="G699" s="8"/>
    </row>
    <row r="700" ht="15.75" customHeight="1">
      <c r="A700" s="8"/>
      <c r="B700" s="8"/>
      <c r="C700" s="8"/>
      <c r="D700" s="8"/>
      <c r="E700" s="8"/>
      <c r="F700" s="8"/>
      <c r="G700" s="8"/>
    </row>
    <row r="701" ht="15.75" customHeight="1">
      <c r="A701" s="8"/>
      <c r="B701" s="8"/>
      <c r="C701" s="8"/>
      <c r="D701" s="8"/>
      <c r="E701" s="8"/>
      <c r="F701" s="8"/>
      <c r="G701" s="8"/>
    </row>
    <row r="702" ht="15.75" customHeight="1">
      <c r="A702" s="8"/>
      <c r="B702" s="8"/>
      <c r="C702" s="8"/>
      <c r="D702" s="8"/>
      <c r="E702" s="8"/>
      <c r="F702" s="8"/>
      <c r="G702" s="8"/>
    </row>
    <row r="703" ht="15.75" customHeight="1">
      <c r="A703" s="8"/>
      <c r="B703" s="8"/>
      <c r="C703" s="8"/>
      <c r="D703" s="8"/>
      <c r="E703" s="8"/>
      <c r="F703" s="8"/>
      <c r="G703" s="8"/>
    </row>
    <row r="704" ht="15.75" customHeight="1">
      <c r="A704" s="8"/>
      <c r="B704" s="8"/>
      <c r="C704" s="8"/>
      <c r="D704" s="8"/>
      <c r="E704" s="8"/>
      <c r="F704" s="8"/>
      <c r="G704" s="8"/>
    </row>
    <row r="705" ht="15.75" customHeight="1">
      <c r="A705" s="8"/>
      <c r="B705" s="8"/>
      <c r="C705" s="8"/>
      <c r="D705" s="8"/>
      <c r="E705" s="8"/>
      <c r="F705" s="8"/>
      <c r="G705" s="8"/>
    </row>
    <row r="706" ht="15.75" customHeight="1">
      <c r="A706" s="8"/>
      <c r="B706" s="8"/>
      <c r="C706" s="8"/>
      <c r="D706" s="8"/>
      <c r="E706" s="8"/>
      <c r="F706" s="8"/>
      <c r="G706" s="8"/>
    </row>
    <row r="707" ht="15.75" customHeight="1">
      <c r="A707" s="8"/>
      <c r="B707" s="8"/>
      <c r="C707" s="8"/>
      <c r="D707" s="8"/>
      <c r="E707" s="8"/>
      <c r="F707" s="8"/>
      <c r="G707" s="8"/>
    </row>
    <row r="708" ht="15.75" customHeight="1">
      <c r="A708" s="8"/>
      <c r="B708" s="8"/>
      <c r="C708" s="8"/>
      <c r="D708" s="8"/>
      <c r="E708" s="8"/>
      <c r="F708" s="8"/>
      <c r="G708" s="8"/>
    </row>
    <row r="709" ht="15.75" customHeight="1">
      <c r="A709" s="8"/>
      <c r="B709" s="8"/>
      <c r="C709" s="8"/>
      <c r="D709" s="8"/>
      <c r="E709" s="8"/>
      <c r="F709" s="8"/>
      <c r="G709" s="8"/>
    </row>
    <row r="710" ht="15.75" customHeight="1">
      <c r="A710" s="8"/>
      <c r="B710" s="8"/>
      <c r="C710" s="8"/>
      <c r="D710" s="8"/>
      <c r="E710" s="8"/>
      <c r="F710" s="8"/>
      <c r="G710" s="8"/>
    </row>
    <row r="711" ht="15.75" customHeight="1">
      <c r="A711" s="8"/>
      <c r="B711" s="8"/>
      <c r="C711" s="8"/>
      <c r="D711" s="8"/>
      <c r="E711" s="8"/>
      <c r="F711" s="8"/>
      <c r="G711" s="8"/>
    </row>
    <row r="712" ht="15.75" customHeight="1">
      <c r="A712" s="8"/>
      <c r="B712" s="8"/>
      <c r="C712" s="8"/>
      <c r="D712" s="8"/>
      <c r="E712" s="8"/>
      <c r="F712" s="8"/>
      <c r="G712" s="8"/>
    </row>
    <row r="713" ht="15.75" customHeight="1">
      <c r="A713" s="8"/>
      <c r="B713" s="8"/>
      <c r="C713" s="8"/>
      <c r="D713" s="8"/>
      <c r="E713" s="8"/>
      <c r="F713" s="8"/>
      <c r="G713" s="8"/>
    </row>
    <row r="714" ht="15.75" customHeight="1">
      <c r="A714" s="8"/>
      <c r="B714" s="8"/>
      <c r="C714" s="8"/>
      <c r="D714" s="8"/>
      <c r="E714" s="8"/>
      <c r="F714" s="8"/>
      <c r="G714" s="8"/>
    </row>
    <row r="715" ht="15.75" customHeight="1">
      <c r="A715" s="8"/>
      <c r="B715" s="8"/>
      <c r="C715" s="8"/>
      <c r="D715" s="8"/>
      <c r="E715" s="8"/>
      <c r="F715" s="8"/>
      <c r="G715" s="8"/>
    </row>
    <row r="716" ht="15.75" customHeight="1">
      <c r="A716" s="8"/>
      <c r="B716" s="8"/>
      <c r="C716" s="8"/>
      <c r="D716" s="8"/>
      <c r="E716" s="8"/>
      <c r="F716" s="8"/>
      <c r="G716" s="8"/>
    </row>
    <row r="717" ht="15.75" customHeight="1">
      <c r="A717" s="8"/>
      <c r="B717" s="8"/>
      <c r="C717" s="8"/>
      <c r="D717" s="8"/>
      <c r="E717" s="8"/>
      <c r="F717" s="8"/>
      <c r="G717" s="8"/>
    </row>
    <row r="718" ht="15.75" customHeight="1">
      <c r="A718" s="8"/>
      <c r="B718" s="8"/>
      <c r="C718" s="8"/>
      <c r="D718" s="8"/>
      <c r="E718" s="8"/>
      <c r="F718" s="8"/>
      <c r="G718" s="8"/>
    </row>
    <row r="719" ht="15.75" customHeight="1">
      <c r="A719" s="8"/>
      <c r="B719" s="8"/>
      <c r="C719" s="8"/>
      <c r="D719" s="8"/>
      <c r="E719" s="8"/>
      <c r="F719" s="8"/>
      <c r="G719" s="8"/>
    </row>
    <row r="720" ht="15.75" customHeight="1">
      <c r="A720" s="8"/>
      <c r="B720" s="8"/>
      <c r="C720" s="8"/>
      <c r="D720" s="8"/>
      <c r="E720" s="8"/>
      <c r="F720" s="8"/>
      <c r="G720" s="8"/>
    </row>
    <row r="721" ht="15.75" customHeight="1">
      <c r="A721" s="8"/>
      <c r="B721" s="8"/>
      <c r="C721" s="8"/>
      <c r="D721" s="8"/>
      <c r="E721" s="8"/>
      <c r="F721" s="8"/>
      <c r="G721" s="8"/>
    </row>
    <row r="722" ht="15.75" customHeight="1">
      <c r="A722" s="8"/>
      <c r="B722" s="8"/>
      <c r="C722" s="8"/>
      <c r="D722" s="8"/>
      <c r="E722" s="8"/>
      <c r="F722" s="8"/>
      <c r="G722" s="8"/>
    </row>
    <row r="723" ht="15.75" customHeight="1">
      <c r="A723" s="8"/>
      <c r="B723" s="8"/>
      <c r="C723" s="8"/>
      <c r="D723" s="8"/>
      <c r="E723" s="8"/>
      <c r="F723" s="8"/>
      <c r="G723" s="8"/>
    </row>
    <row r="724" ht="15.75" customHeight="1">
      <c r="A724" s="8"/>
      <c r="B724" s="8"/>
      <c r="C724" s="8"/>
      <c r="D724" s="8"/>
      <c r="E724" s="8"/>
      <c r="F724" s="8"/>
      <c r="G724" s="8"/>
    </row>
    <row r="725" ht="15.75" customHeight="1">
      <c r="A725" s="8"/>
      <c r="B725" s="8"/>
      <c r="C725" s="8"/>
      <c r="D725" s="8"/>
      <c r="E725" s="8"/>
      <c r="F725" s="8"/>
      <c r="G725" s="8"/>
    </row>
    <row r="726" ht="15.75" customHeight="1">
      <c r="A726" s="8"/>
      <c r="B726" s="8"/>
      <c r="C726" s="8"/>
      <c r="D726" s="8"/>
      <c r="E726" s="8"/>
      <c r="F726" s="8"/>
      <c r="G726" s="8"/>
    </row>
    <row r="727" ht="15.75" customHeight="1">
      <c r="A727" s="8"/>
      <c r="B727" s="8"/>
      <c r="C727" s="8"/>
      <c r="D727" s="8"/>
      <c r="E727" s="8"/>
      <c r="F727" s="8"/>
      <c r="G727" s="8"/>
    </row>
    <row r="728" ht="15.75" customHeight="1">
      <c r="A728" s="8"/>
      <c r="B728" s="8"/>
      <c r="C728" s="8"/>
      <c r="D728" s="8"/>
      <c r="E728" s="8"/>
      <c r="F728" s="8"/>
      <c r="G728" s="8"/>
    </row>
    <row r="729" ht="15.75" customHeight="1">
      <c r="A729" s="8"/>
      <c r="B729" s="8"/>
      <c r="C729" s="8"/>
      <c r="D729" s="8"/>
      <c r="E729" s="8"/>
      <c r="F729" s="8"/>
      <c r="G729" s="8"/>
    </row>
    <row r="730" ht="15.75" customHeight="1">
      <c r="A730" s="8"/>
      <c r="B730" s="8"/>
      <c r="C730" s="8"/>
      <c r="D730" s="8"/>
      <c r="E730" s="8"/>
      <c r="F730" s="8"/>
      <c r="G730" s="8"/>
    </row>
    <row r="731" ht="15.75" customHeight="1">
      <c r="A731" s="8"/>
      <c r="B731" s="8"/>
      <c r="C731" s="8"/>
      <c r="D731" s="8"/>
      <c r="E731" s="8"/>
      <c r="F731" s="8"/>
      <c r="G731" s="8"/>
    </row>
    <row r="732" ht="15.75" customHeight="1">
      <c r="A732" s="8"/>
      <c r="B732" s="8"/>
      <c r="C732" s="8"/>
      <c r="D732" s="8"/>
      <c r="E732" s="8"/>
      <c r="F732" s="8"/>
      <c r="G732" s="8"/>
    </row>
    <row r="733" ht="15.75" customHeight="1">
      <c r="A733" s="8"/>
      <c r="B733" s="8"/>
      <c r="C733" s="8"/>
      <c r="D733" s="8"/>
      <c r="E733" s="8"/>
      <c r="F733" s="8"/>
      <c r="G733" s="8"/>
    </row>
    <row r="734" ht="15.75" customHeight="1">
      <c r="A734" s="8"/>
      <c r="B734" s="8"/>
      <c r="C734" s="8"/>
      <c r="D734" s="8"/>
      <c r="E734" s="8"/>
      <c r="F734" s="8"/>
      <c r="G734" s="8"/>
    </row>
    <row r="735" ht="15.75" customHeight="1">
      <c r="A735" s="8"/>
      <c r="B735" s="8"/>
      <c r="C735" s="8"/>
      <c r="D735" s="8"/>
      <c r="E735" s="8"/>
      <c r="F735" s="8"/>
      <c r="G735" s="8"/>
    </row>
    <row r="736" ht="15.75" customHeight="1">
      <c r="A736" s="8"/>
      <c r="B736" s="8"/>
      <c r="C736" s="8"/>
      <c r="D736" s="8"/>
      <c r="E736" s="8"/>
      <c r="F736" s="8"/>
      <c r="G736" s="8"/>
    </row>
    <row r="737" ht="15.75" customHeight="1">
      <c r="A737" s="8"/>
      <c r="B737" s="8"/>
      <c r="C737" s="8"/>
      <c r="D737" s="8"/>
      <c r="E737" s="8"/>
      <c r="F737" s="8"/>
      <c r="G737" s="8"/>
    </row>
    <row r="738" ht="15.75" customHeight="1">
      <c r="A738" s="8"/>
      <c r="B738" s="8"/>
      <c r="C738" s="8"/>
      <c r="D738" s="8"/>
      <c r="E738" s="8"/>
      <c r="F738" s="8"/>
      <c r="G738" s="8"/>
    </row>
    <row r="739" ht="15.75" customHeight="1">
      <c r="A739" s="8"/>
      <c r="B739" s="8"/>
      <c r="C739" s="8"/>
      <c r="D739" s="8"/>
      <c r="E739" s="8"/>
      <c r="F739" s="8"/>
      <c r="G739" s="8"/>
    </row>
    <row r="740" ht="15.75" customHeight="1">
      <c r="A740" s="8"/>
      <c r="B740" s="8"/>
      <c r="C740" s="8"/>
      <c r="D740" s="8"/>
      <c r="E740" s="8"/>
      <c r="F740" s="8"/>
      <c r="G740" s="8"/>
    </row>
    <row r="741" ht="15.75" customHeight="1">
      <c r="A741" s="8"/>
      <c r="B741" s="8"/>
      <c r="C741" s="8"/>
      <c r="D741" s="8"/>
      <c r="E741" s="8"/>
      <c r="F741" s="8"/>
      <c r="G741" s="8"/>
    </row>
    <row r="742" ht="15.75" customHeight="1">
      <c r="A742" s="8"/>
      <c r="B742" s="8"/>
      <c r="C742" s="8"/>
      <c r="D742" s="8"/>
      <c r="E742" s="8"/>
      <c r="F742" s="8"/>
      <c r="G742" s="8"/>
    </row>
    <row r="743" ht="15.75" customHeight="1">
      <c r="A743" s="8"/>
      <c r="B743" s="8"/>
      <c r="C743" s="8"/>
      <c r="D743" s="8"/>
      <c r="E743" s="8"/>
      <c r="F743" s="8"/>
      <c r="G743" s="8"/>
    </row>
    <row r="744" ht="15.75" customHeight="1">
      <c r="A744" s="8"/>
      <c r="B744" s="8"/>
      <c r="C744" s="8"/>
      <c r="D744" s="8"/>
      <c r="E744" s="8"/>
      <c r="F744" s="8"/>
      <c r="G744" s="8"/>
    </row>
    <row r="745" ht="15.75" customHeight="1">
      <c r="A745" s="8"/>
      <c r="B745" s="8"/>
      <c r="C745" s="8"/>
      <c r="D745" s="8"/>
      <c r="E745" s="8"/>
      <c r="F745" s="8"/>
      <c r="G745" s="8"/>
    </row>
    <row r="746" ht="15.75" customHeight="1">
      <c r="A746" s="8"/>
      <c r="B746" s="8"/>
      <c r="C746" s="8"/>
      <c r="D746" s="8"/>
      <c r="E746" s="8"/>
      <c r="F746" s="8"/>
      <c r="G746" s="8"/>
    </row>
    <row r="747" ht="15.75" customHeight="1">
      <c r="A747" s="8"/>
      <c r="B747" s="8"/>
      <c r="C747" s="8"/>
      <c r="D747" s="8"/>
      <c r="E747" s="8"/>
      <c r="F747" s="8"/>
      <c r="G747" s="8"/>
    </row>
    <row r="748" ht="15.75" customHeight="1">
      <c r="A748" s="8"/>
      <c r="B748" s="8"/>
      <c r="C748" s="8"/>
      <c r="D748" s="8"/>
      <c r="E748" s="8"/>
      <c r="F748" s="8"/>
      <c r="G748" s="8"/>
    </row>
    <row r="749" ht="15.75" customHeight="1">
      <c r="A749" s="8"/>
      <c r="B749" s="8"/>
      <c r="C749" s="8"/>
      <c r="D749" s="8"/>
      <c r="E749" s="8"/>
      <c r="F749" s="8"/>
      <c r="G749" s="8"/>
    </row>
    <row r="750" ht="15.75" customHeight="1">
      <c r="A750" s="8"/>
      <c r="B750" s="8"/>
      <c r="C750" s="8"/>
      <c r="D750" s="8"/>
      <c r="E750" s="8"/>
      <c r="F750" s="8"/>
      <c r="G750" s="8"/>
    </row>
    <row r="751" ht="15.75" customHeight="1">
      <c r="A751" s="8"/>
      <c r="B751" s="8"/>
      <c r="C751" s="8"/>
      <c r="D751" s="8"/>
      <c r="E751" s="8"/>
      <c r="F751" s="8"/>
      <c r="G751" s="8"/>
    </row>
    <row r="752" ht="15.75" customHeight="1">
      <c r="A752" s="8"/>
      <c r="B752" s="8"/>
      <c r="C752" s="8"/>
      <c r="D752" s="8"/>
      <c r="E752" s="8"/>
      <c r="F752" s="8"/>
      <c r="G752" s="8"/>
    </row>
    <row r="753" ht="15.75" customHeight="1">
      <c r="A753" s="8"/>
      <c r="B753" s="8"/>
      <c r="C753" s="8"/>
      <c r="D753" s="8"/>
      <c r="E753" s="8"/>
      <c r="F753" s="8"/>
      <c r="G753" s="8"/>
    </row>
    <row r="754" ht="15.75" customHeight="1">
      <c r="A754" s="8"/>
      <c r="B754" s="8"/>
      <c r="C754" s="8"/>
      <c r="D754" s="8"/>
      <c r="E754" s="8"/>
      <c r="F754" s="8"/>
      <c r="G754" s="8"/>
    </row>
    <row r="755" ht="15.75" customHeight="1">
      <c r="A755" s="8"/>
      <c r="B755" s="8"/>
      <c r="C755" s="8"/>
      <c r="D755" s="8"/>
      <c r="E755" s="8"/>
      <c r="F755" s="8"/>
      <c r="G755" s="8"/>
    </row>
    <row r="756" ht="15.75" customHeight="1">
      <c r="A756" s="8"/>
      <c r="B756" s="8"/>
      <c r="C756" s="8"/>
      <c r="D756" s="8"/>
      <c r="E756" s="8"/>
      <c r="F756" s="8"/>
      <c r="G756" s="8"/>
    </row>
    <row r="757" ht="15.75" customHeight="1">
      <c r="A757" s="8"/>
      <c r="B757" s="8"/>
      <c r="C757" s="8"/>
      <c r="D757" s="8"/>
      <c r="E757" s="8"/>
      <c r="F757" s="8"/>
      <c r="G757" s="8"/>
    </row>
    <row r="758" ht="15.75" customHeight="1">
      <c r="A758" s="8"/>
      <c r="B758" s="8"/>
      <c r="C758" s="8"/>
      <c r="D758" s="8"/>
      <c r="E758" s="8"/>
      <c r="F758" s="8"/>
      <c r="G758" s="8"/>
    </row>
    <row r="759" ht="15.75" customHeight="1">
      <c r="A759" s="8"/>
      <c r="B759" s="8"/>
      <c r="C759" s="8"/>
      <c r="D759" s="8"/>
      <c r="E759" s="8"/>
      <c r="F759" s="8"/>
      <c r="G759" s="8"/>
    </row>
    <row r="760" ht="15.75" customHeight="1">
      <c r="A760" s="8"/>
      <c r="B760" s="8"/>
      <c r="C760" s="8"/>
      <c r="D760" s="8"/>
      <c r="E760" s="8"/>
      <c r="F760" s="8"/>
      <c r="G760" s="8"/>
    </row>
    <row r="761" ht="15.75" customHeight="1">
      <c r="A761" s="8"/>
      <c r="B761" s="8"/>
      <c r="C761" s="8"/>
      <c r="D761" s="8"/>
      <c r="E761" s="8"/>
      <c r="F761" s="8"/>
      <c r="G761" s="8"/>
    </row>
    <row r="762" ht="15.75" customHeight="1">
      <c r="A762" s="8"/>
      <c r="B762" s="8"/>
      <c r="C762" s="8"/>
      <c r="D762" s="8"/>
      <c r="E762" s="8"/>
      <c r="F762" s="8"/>
      <c r="G762" s="8"/>
    </row>
    <row r="763" ht="15.75" customHeight="1">
      <c r="A763" s="8"/>
      <c r="B763" s="8"/>
      <c r="C763" s="8"/>
      <c r="D763" s="8"/>
      <c r="E763" s="8"/>
      <c r="F763" s="8"/>
      <c r="G763" s="8"/>
    </row>
    <row r="764" ht="15.75" customHeight="1">
      <c r="A764" s="8"/>
      <c r="B764" s="8"/>
      <c r="C764" s="8"/>
      <c r="D764" s="8"/>
      <c r="E764" s="8"/>
      <c r="F764" s="8"/>
      <c r="G764" s="8"/>
    </row>
    <row r="765" ht="15.75" customHeight="1">
      <c r="A765" s="8"/>
      <c r="B765" s="8"/>
      <c r="C765" s="8"/>
      <c r="D765" s="8"/>
      <c r="E765" s="8"/>
      <c r="F765" s="8"/>
      <c r="G765" s="8"/>
    </row>
    <row r="766" ht="15.75" customHeight="1">
      <c r="A766" s="8"/>
      <c r="B766" s="8"/>
      <c r="C766" s="8"/>
      <c r="D766" s="8"/>
      <c r="E766" s="8"/>
      <c r="F766" s="8"/>
      <c r="G766" s="8"/>
    </row>
    <row r="767" ht="15.75" customHeight="1">
      <c r="A767" s="8"/>
      <c r="B767" s="8"/>
      <c r="C767" s="8"/>
      <c r="D767" s="8"/>
      <c r="E767" s="8"/>
      <c r="F767" s="8"/>
      <c r="G767" s="8"/>
    </row>
    <row r="768" ht="15.75" customHeight="1">
      <c r="A768" s="8"/>
      <c r="B768" s="8"/>
      <c r="C768" s="8"/>
      <c r="D768" s="8"/>
      <c r="E768" s="8"/>
      <c r="F768" s="8"/>
      <c r="G768" s="8"/>
    </row>
    <row r="769" ht="15.75" customHeight="1">
      <c r="A769" s="8"/>
      <c r="B769" s="8"/>
      <c r="C769" s="8"/>
      <c r="D769" s="8"/>
      <c r="E769" s="8"/>
      <c r="F769" s="8"/>
      <c r="G769" s="8"/>
    </row>
    <row r="770" ht="15.75" customHeight="1">
      <c r="A770" s="8"/>
      <c r="B770" s="8"/>
      <c r="C770" s="8"/>
      <c r="D770" s="8"/>
      <c r="E770" s="8"/>
      <c r="F770" s="8"/>
      <c r="G770" s="8"/>
    </row>
    <row r="771" ht="15.75" customHeight="1">
      <c r="A771" s="8"/>
      <c r="B771" s="8"/>
      <c r="C771" s="8"/>
      <c r="D771" s="8"/>
      <c r="E771" s="8"/>
      <c r="F771" s="8"/>
      <c r="G771" s="8"/>
    </row>
    <row r="772" ht="15.75" customHeight="1">
      <c r="A772" s="8"/>
      <c r="B772" s="8"/>
      <c r="C772" s="8"/>
      <c r="D772" s="8"/>
      <c r="E772" s="8"/>
      <c r="F772" s="8"/>
      <c r="G772" s="8"/>
    </row>
    <row r="773" ht="15.75" customHeight="1">
      <c r="A773" s="8"/>
      <c r="B773" s="8"/>
      <c r="C773" s="8"/>
      <c r="D773" s="8"/>
      <c r="E773" s="8"/>
      <c r="F773" s="8"/>
      <c r="G773" s="8"/>
    </row>
    <row r="774" ht="15.75" customHeight="1">
      <c r="A774" s="8"/>
      <c r="B774" s="8"/>
      <c r="C774" s="8"/>
      <c r="D774" s="8"/>
      <c r="E774" s="8"/>
      <c r="F774" s="8"/>
      <c r="G774" s="8"/>
    </row>
    <row r="775" ht="15.75" customHeight="1">
      <c r="A775" s="8"/>
      <c r="B775" s="8"/>
      <c r="C775" s="8"/>
      <c r="D775" s="8"/>
      <c r="E775" s="8"/>
      <c r="F775" s="8"/>
      <c r="G775" s="8"/>
    </row>
    <row r="776" ht="15.75" customHeight="1">
      <c r="A776" s="8"/>
      <c r="B776" s="8"/>
      <c r="C776" s="8"/>
      <c r="D776" s="8"/>
      <c r="E776" s="8"/>
      <c r="F776" s="8"/>
      <c r="G776" s="8"/>
    </row>
    <row r="777" ht="15.75" customHeight="1">
      <c r="A777" s="8"/>
      <c r="B777" s="8"/>
      <c r="C777" s="8"/>
      <c r="D777" s="8"/>
      <c r="E777" s="8"/>
      <c r="F777" s="8"/>
      <c r="G777" s="8"/>
    </row>
    <row r="778" ht="15.75" customHeight="1">
      <c r="A778" s="8"/>
      <c r="B778" s="8"/>
      <c r="C778" s="8"/>
      <c r="D778" s="8"/>
      <c r="E778" s="8"/>
      <c r="F778" s="8"/>
      <c r="G778" s="8"/>
    </row>
    <row r="779" ht="15.75" customHeight="1">
      <c r="A779" s="8"/>
      <c r="B779" s="8"/>
      <c r="C779" s="8"/>
      <c r="D779" s="8"/>
      <c r="E779" s="8"/>
      <c r="F779" s="8"/>
      <c r="G779" s="8"/>
    </row>
    <row r="780" ht="15.75" customHeight="1">
      <c r="A780" s="8"/>
      <c r="B780" s="8"/>
      <c r="C780" s="8"/>
      <c r="D780" s="8"/>
      <c r="E780" s="8"/>
      <c r="F780" s="8"/>
      <c r="G780" s="8"/>
    </row>
    <row r="781" ht="15.75" customHeight="1">
      <c r="A781" s="8"/>
      <c r="B781" s="8"/>
      <c r="C781" s="8"/>
      <c r="D781" s="8"/>
      <c r="E781" s="8"/>
      <c r="F781" s="8"/>
      <c r="G781" s="8"/>
    </row>
    <row r="782" ht="15.75" customHeight="1">
      <c r="A782" s="8"/>
      <c r="B782" s="8"/>
      <c r="C782" s="8"/>
      <c r="D782" s="8"/>
      <c r="E782" s="8"/>
      <c r="F782" s="8"/>
      <c r="G782" s="8"/>
    </row>
    <row r="783" ht="15.75" customHeight="1">
      <c r="A783" s="8"/>
      <c r="B783" s="8"/>
      <c r="C783" s="8"/>
      <c r="D783" s="8"/>
      <c r="E783" s="8"/>
      <c r="F783" s="8"/>
      <c r="G783" s="8"/>
    </row>
    <row r="784" ht="15.75" customHeight="1">
      <c r="A784" s="8"/>
      <c r="B784" s="8"/>
      <c r="C784" s="8"/>
      <c r="D784" s="8"/>
      <c r="E784" s="8"/>
      <c r="F784" s="8"/>
      <c r="G784" s="8"/>
    </row>
    <row r="785" ht="15.75" customHeight="1">
      <c r="A785" s="8"/>
      <c r="B785" s="8"/>
      <c r="C785" s="8"/>
      <c r="D785" s="8"/>
      <c r="E785" s="8"/>
      <c r="F785" s="8"/>
      <c r="G785" s="8"/>
    </row>
    <row r="786" ht="15.75" customHeight="1">
      <c r="A786" s="8"/>
      <c r="B786" s="8"/>
      <c r="C786" s="8"/>
      <c r="D786" s="8"/>
      <c r="E786" s="8"/>
      <c r="F786" s="8"/>
      <c r="G786" s="8"/>
    </row>
    <row r="787" ht="15.75" customHeight="1">
      <c r="A787" s="8"/>
      <c r="B787" s="8"/>
      <c r="C787" s="8"/>
      <c r="D787" s="8"/>
      <c r="E787" s="8"/>
      <c r="F787" s="8"/>
      <c r="G787" s="8"/>
    </row>
    <row r="788" ht="15.75" customHeight="1">
      <c r="A788" s="8"/>
      <c r="B788" s="8"/>
      <c r="C788" s="8"/>
      <c r="D788" s="8"/>
      <c r="E788" s="8"/>
      <c r="F788" s="8"/>
      <c r="G788" s="8"/>
    </row>
    <row r="789" ht="15.75" customHeight="1">
      <c r="A789" s="8"/>
      <c r="B789" s="8"/>
      <c r="C789" s="8"/>
      <c r="D789" s="8"/>
      <c r="E789" s="8"/>
      <c r="F789" s="8"/>
      <c r="G789" s="8"/>
    </row>
    <row r="790" ht="15.75" customHeight="1">
      <c r="A790" s="8"/>
      <c r="B790" s="8"/>
      <c r="C790" s="8"/>
      <c r="D790" s="8"/>
      <c r="E790" s="8"/>
      <c r="F790" s="8"/>
      <c r="G790" s="8"/>
    </row>
    <row r="791" ht="15.75" customHeight="1">
      <c r="A791" s="8"/>
      <c r="B791" s="8"/>
      <c r="C791" s="8"/>
      <c r="D791" s="8"/>
      <c r="E791" s="8"/>
      <c r="F791" s="8"/>
      <c r="G791" s="8"/>
    </row>
    <row r="792" ht="15.75" customHeight="1">
      <c r="A792" s="8"/>
      <c r="B792" s="8"/>
      <c r="C792" s="8"/>
      <c r="D792" s="8"/>
      <c r="E792" s="8"/>
      <c r="F792" s="8"/>
      <c r="G792" s="8"/>
    </row>
    <row r="793" ht="15.75" customHeight="1">
      <c r="A793" s="8"/>
      <c r="B793" s="8"/>
      <c r="C793" s="8"/>
      <c r="D793" s="8"/>
      <c r="E793" s="8"/>
      <c r="F793" s="8"/>
      <c r="G793" s="8"/>
    </row>
    <row r="794" ht="15.75" customHeight="1">
      <c r="A794" s="8"/>
      <c r="B794" s="8"/>
      <c r="C794" s="8"/>
      <c r="D794" s="8"/>
      <c r="E794" s="8"/>
      <c r="F794" s="8"/>
      <c r="G794" s="8"/>
    </row>
    <row r="795" ht="15.75" customHeight="1">
      <c r="A795" s="8"/>
      <c r="B795" s="8"/>
      <c r="C795" s="8"/>
      <c r="D795" s="8"/>
      <c r="E795" s="8"/>
      <c r="F795" s="8"/>
      <c r="G795" s="8"/>
    </row>
    <row r="796" ht="15.75" customHeight="1">
      <c r="A796" s="8"/>
      <c r="B796" s="8"/>
      <c r="C796" s="8"/>
      <c r="D796" s="8"/>
      <c r="E796" s="8"/>
      <c r="F796" s="8"/>
      <c r="G796" s="8"/>
    </row>
    <row r="797" ht="15.75" customHeight="1">
      <c r="A797" s="8"/>
      <c r="B797" s="8"/>
      <c r="C797" s="8"/>
      <c r="D797" s="8"/>
      <c r="E797" s="8"/>
      <c r="F797" s="8"/>
      <c r="G797" s="8"/>
    </row>
    <row r="798" ht="15.75" customHeight="1">
      <c r="A798" s="8"/>
      <c r="B798" s="8"/>
      <c r="C798" s="8"/>
      <c r="D798" s="8"/>
      <c r="E798" s="8"/>
      <c r="F798" s="8"/>
      <c r="G798" s="8"/>
    </row>
    <row r="799" ht="15.75" customHeight="1">
      <c r="A799" s="8"/>
      <c r="B799" s="8"/>
      <c r="C799" s="8"/>
      <c r="D799" s="8"/>
      <c r="E799" s="8"/>
      <c r="F799" s="8"/>
      <c r="G799" s="8"/>
    </row>
    <row r="800" ht="15.75" customHeight="1">
      <c r="A800" s="8"/>
      <c r="B800" s="8"/>
      <c r="C800" s="8"/>
      <c r="D800" s="8"/>
      <c r="E800" s="8"/>
      <c r="F800" s="8"/>
      <c r="G800" s="8"/>
    </row>
    <row r="801" ht="15.75" customHeight="1">
      <c r="A801" s="8"/>
      <c r="B801" s="8"/>
      <c r="C801" s="8"/>
      <c r="D801" s="8"/>
      <c r="E801" s="8"/>
      <c r="F801" s="8"/>
      <c r="G801" s="8"/>
    </row>
    <row r="802" ht="15.75" customHeight="1">
      <c r="A802" s="8"/>
      <c r="B802" s="8"/>
      <c r="C802" s="8"/>
      <c r="D802" s="8"/>
      <c r="E802" s="8"/>
      <c r="F802" s="8"/>
      <c r="G802" s="8"/>
    </row>
    <row r="803" ht="15.75" customHeight="1">
      <c r="A803" s="8"/>
      <c r="B803" s="8"/>
      <c r="C803" s="8"/>
      <c r="D803" s="8"/>
      <c r="E803" s="8"/>
      <c r="F803" s="8"/>
      <c r="G803" s="8"/>
    </row>
    <row r="804" ht="15.75" customHeight="1">
      <c r="A804" s="8"/>
      <c r="B804" s="8"/>
      <c r="C804" s="8"/>
      <c r="D804" s="8"/>
      <c r="E804" s="8"/>
      <c r="F804" s="8"/>
      <c r="G804" s="8"/>
    </row>
    <row r="805" ht="15.75" customHeight="1">
      <c r="A805" s="8"/>
      <c r="B805" s="8"/>
      <c r="C805" s="8"/>
      <c r="D805" s="8"/>
      <c r="E805" s="8"/>
      <c r="F805" s="8"/>
      <c r="G805" s="8"/>
    </row>
    <row r="806" ht="15.75" customHeight="1">
      <c r="A806" s="8"/>
      <c r="B806" s="8"/>
      <c r="C806" s="8"/>
      <c r="D806" s="8"/>
      <c r="E806" s="8"/>
      <c r="F806" s="8"/>
      <c r="G806" s="8"/>
    </row>
    <row r="807" ht="15.75" customHeight="1">
      <c r="A807" s="8"/>
      <c r="B807" s="8"/>
      <c r="C807" s="8"/>
      <c r="D807" s="8"/>
      <c r="E807" s="8"/>
      <c r="F807" s="8"/>
      <c r="G807" s="8"/>
    </row>
    <row r="808" ht="15.75" customHeight="1">
      <c r="A808" s="8"/>
      <c r="B808" s="8"/>
      <c r="C808" s="8"/>
      <c r="D808" s="8"/>
      <c r="E808" s="8"/>
      <c r="F808" s="8"/>
      <c r="G808" s="8"/>
    </row>
    <row r="809" ht="15.75" customHeight="1">
      <c r="A809" s="8"/>
      <c r="B809" s="8"/>
      <c r="C809" s="8"/>
      <c r="D809" s="8"/>
      <c r="E809" s="8"/>
      <c r="F809" s="8"/>
      <c r="G809" s="8"/>
    </row>
    <row r="810" ht="15.75" customHeight="1">
      <c r="A810" s="8"/>
      <c r="B810" s="8"/>
      <c r="C810" s="8"/>
      <c r="D810" s="8"/>
      <c r="E810" s="8"/>
      <c r="F810" s="8"/>
      <c r="G810" s="8"/>
    </row>
    <row r="811" ht="15.75" customHeight="1">
      <c r="A811" s="8"/>
      <c r="B811" s="8"/>
      <c r="C811" s="8"/>
      <c r="D811" s="8"/>
      <c r="E811" s="8"/>
      <c r="F811" s="8"/>
      <c r="G811" s="8"/>
    </row>
    <row r="812" ht="15.75" customHeight="1">
      <c r="A812" s="8"/>
      <c r="B812" s="8"/>
      <c r="C812" s="8"/>
      <c r="D812" s="8"/>
      <c r="E812" s="8"/>
      <c r="F812" s="8"/>
      <c r="G812" s="8"/>
    </row>
    <row r="813" ht="15.75" customHeight="1">
      <c r="A813" s="8"/>
      <c r="B813" s="8"/>
      <c r="C813" s="8"/>
      <c r="D813" s="8"/>
      <c r="E813" s="8"/>
      <c r="F813" s="8"/>
      <c r="G813" s="8"/>
    </row>
    <row r="814" ht="15.75" customHeight="1">
      <c r="A814" s="8"/>
      <c r="B814" s="8"/>
      <c r="C814" s="8"/>
      <c r="D814" s="8"/>
      <c r="E814" s="8"/>
      <c r="F814" s="8"/>
      <c r="G814" s="8"/>
    </row>
    <row r="815" ht="15.75" customHeight="1">
      <c r="A815" s="8"/>
      <c r="B815" s="8"/>
      <c r="C815" s="8"/>
      <c r="D815" s="8"/>
      <c r="E815" s="8"/>
      <c r="F815" s="8"/>
      <c r="G815" s="8"/>
    </row>
    <row r="816" ht="15.75" customHeight="1">
      <c r="A816" s="8"/>
      <c r="B816" s="8"/>
      <c r="C816" s="8"/>
      <c r="D816" s="8"/>
      <c r="E816" s="8"/>
      <c r="F816" s="8"/>
      <c r="G816" s="8"/>
    </row>
    <row r="817" ht="15.75" customHeight="1">
      <c r="A817" s="8"/>
      <c r="B817" s="8"/>
      <c r="C817" s="8"/>
      <c r="D817" s="8"/>
      <c r="E817" s="8"/>
      <c r="F817" s="8"/>
      <c r="G817" s="8"/>
    </row>
    <row r="818" ht="15.75" customHeight="1">
      <c r="A818" s="8"/>
      <c r="B818" s="8"/>
      <c r="C818" s="8"/>
      <c r="D818" s="8"/>
      <c r="E818" s="8"/>
      <c r="F818" s="8"/>
      <c r="G818" s="8"/>
    </row>
    <row r="819" ht="15.75" customHeight="1">
      <c r="A819" s="8"/>
      <c r="B819" s="8"/>
      <c r="C819" s="8"/>
      <c r="D819" s="8"/>
      <c r="E819" s="8"/>
      <c r="F819" s="8"/>
      <c r="G819" s="8"/>
    </row>
    <row r="820" ht="15.75" customHeight="1">
      <c r="A820" s="8"/>
      <c r="B820" s="8"/>
      <c r="C820" s="8"/>
      <c r="D820" s="8"/>
      <c r="E820" s="8"/>
      <c r="F820" s="8"/>
      <c r="G820" s="8"/>
    </row>
    <row r="821" ht="15.75" customHeight="1">
      <c r="A821" s="8"/>
      <c r="B821" s="8"/>
      <c r="C821" s="8"/>
      <c r="D821" s="8"/>
      <c r="E821" s="8"/>
      <c r="F821" s="8"/>
      <c r="G821" s="8"/>
    </row>
    <row r="822" ht="15.75" customHeight="1">
      <c r="A822" s="8"/>
      <c r="B822" s="8"/>
      <c r="C822" s="8"/>
      <c r="D822" s="8"/>
      <c r="E822" s="8"/>
      <c r="F822" s="8"/>
      <c r="G822" s="8"/>
    </row>
    <row r="823" ht="15.75" customHeight="1">
      <c r="A823" s="8"/>
      <c r="B823" s="8"/>
      <c r="C823" s="8"/>
      <c r="D823" s="8"/>
      <c r="E823" s="8"/>
      <c r="F823" s="8"/>
      <c r="G823" s="8"/>
    </row>
    <row r="824" ht="15.75" customHeight="1">
      <c r="A824" s="8"/>
      <c r="B824" s="8"/>
      <c r="C824" s="8"/>
      <c r="D824" s="8"/>
      <c r="E824" s="8"/>
      <c r="F824" s="8"/>
      <c r="G824" s="8"/>
    </row>
    <row r="825" ht="15.75" customHeight="1">
      <c r="A825" s="8"/>
      <c r="B825" s="8"/>
      <c r="C825" s="8"/>
      <c r="D825" s="8"/>
      <c r="E825" s="8"/>
      <c r="F825" s="8"/>
      <c r="G825" s="8"/>
    </row>
    <row r="826" ht="15.75" customHeight="1">
      <c r="A826" s="8"/>
      <c r="B826" s="8"/>
      <c r="C826" s="8"/>
      <c r="D826" s="8"/>
      <c r="E826" s="8"/>
      <c r="F826" s="8"/>
      <c r="G826" s="8"/>
    </row>
    <row r="827" ht="15.75" customHeight="1">
      <c r="A827" s="8"/>
      <c r="B827" s="8"/>
      <c r="C827" s="8"/>
      <c r="D827" s="8"/>
      <c r="E827" s="8"/>
      <c r="F827" s="8"/>
      <c r="G827" s="8"/>
    </row>
    <row r="828" ht="15.75" customHeight="1">
      <c r="A828" s="8"/>
      <c r="B828" s="8"/>
      <c r="C828" s="8"/>
      <c r="D828" s="8"/>
      <c r="E828" s="8"/>
      <c r="F828" s="8"/>
      <c r="G828" s="8"/>
    </row>
    <row r="829" ht="15.75" customHeight="1">
      <c r="A829" s="8"/>
      <c r="B829" s="8"/>
      <c r="C829" s="8"/>
      <c r="D829" s="8"/>
      <c r="E829" s="8"/>
      <c r="F829" s="8"/>
      <c r="G829" s="8"/>
    </row>
    <row r="830" ht="15.75" customHeight="1">
      <c r="A830" s="8"/>
      <c r="B830" s="8"/>
      <c r="C830" s="8"/>
      <c r="D830" s="8"/>
      <c r="E830" s="8"/>
      <c r="F830" s="8"/>
      <c r="G830" s="8"/>
    </row>
    <row r="831" ht="15.75" customHeight="1">
      <c r="A831" s="8"/>
      <c r="B831" s="8"/>
      <c r="C831" s="8"/>
      <c r="D831" s="8"/>
      <c r="E831" s="8"/>
      <c r="F831" s="8"/>
      <c r="G831" s="8"/>
    </row>
    <row r="832" ht="15.75" customHeight="1">
      <c r="A832" s="8"/>
      <c r="B832" s="8"/>
      <c r="C832" s="8"/>
      <c r="D832" s="8"/>
      <c r="E832" s="8"/>
      <c r="F832" s="8"/>
      <c r="G832" s="8"/>
    </row>
    <row r="833" ht="15.75" customHeight="1">
      <c r="A833" s="8"/>
      <c r="B833" s="8"/>
      <c r="C833" s="8"/>
      <c r="D833" s="8"/>
      <c r="E833" s="8"/>
      <c r="F833" s="8"/>
      <c r="G833" s="8"/>
    </row>
    <row r="834" ht="15.75" customHeight="1">
      <c r="A834" s="8"/>
      <c r="B834" s="8"/>
      <c r="C834" s="8"/>
      <c r="D834" s="8"/>
      <c r="E834" s="8"/>
      <c r="F834" s="8"/>
      <c r="G834" s="8"/>
    </row>
    <row r="835" ht="15.75" customHeight="1">
      <c r="A835" s="8"/>
      <c r="B835" s="8"/>
      <c r="C835" s="8"/>
      <c r="D835" s="8"/>
      <c r="E835" s="8"/>
      <c r="F835" s="8"/>
      <c r="G835" s="8"/>
    </row>
    <row r="836" ht="15.75" customHeight="1">
      <c r="A836" s="8"/>
      <c r="B836" s="8"/>
      <c r="C836" s="8"/>
      <c r="D836" s="8"/>
      <c r="E836" s="8"/>
      <c r="F836" s="8"/>
      <c r="G836" s="8"/>
    </row>
    <row r="837" ht="15.75" customHeight="1">
      <c r="A837" s="8"/>
      <c r="B837" s="8"/>
      <c r="C837" s="8"/>
      <c r="D837" s="8"/>
      <c r="E837" s="8"/>
      <c r="F837" s="8"/>
      <c r="G837" s="8"/>
    </row>
    <row r="838" ht="15.75" customHeight="1">
      <c r="A838" s="8"/>
      <c r="B838" s="8"/>
      <c r="C838" s="8"/>
      <c r="D838" s="8"/>
      <c r="E838" s="8"/>
      <c r="F838" s="8"/>
      <c r="G838" s="8"/>
    </row>
    <row r="839" ht="15.75" customHeight="1">
      <c r="A839" s="8"/>
      <c r="B839" s="8"/>
      <c r="C839" s="8"/>
      <c r="D839" s="8"/>
      <c r="E839" s="8"/>
      <c r="F839" s="8"/>
      <c r="G839" s="8"/>
    </row>
    <row r="840" ht="15.75" customHeight="1">
      <c r="A840" s="8"/>
      <c r="B840" s="8"/>
      <c r="C840" s="8"/>
      <c r="D840" s="8"/>
      <c r="E840" s="8"/>
      <c r="F840" s="8"/>
      <c r="G840" s="8"/>
    </row>
    <row r="841" ht="15.75" customHeight="1">
      <c r="A841" s="8"/>
      <c r="B841" s="8"/>
      <c r="C841" s="8"/>
      <c r="D841" s="8"/>
      <c r="E841" s="8"/>
      <c r="F841" s="8"/>
      <c r="G841" s="8"/>
    </row>
    <row r="842" ht="15.75" customHeight="1">
      <c r="A842" s="8"/>
      <c r="B842" s="8"/>
      <c r="C842" s="8"/>
      <c r="D842" s="8"/>
      <c r="E842" s="8"/>
      <c r="F842" s="8"/>
      <c r="G842" s="8"/>
    </row>
    <row r="843" ht="15.75" customHeight="1">
      <c r="A843" s="8"/>
      <c r="B843" s="8"/>
      <c r="C843" s="8"/>
      <c r="D843" s="8"/>
      <c r="E843" s="8"/>
      <c r="F843" s="8"/>
      <c r="G843" s="8"/>
    </row>
    <row r="844" ht="15.75" customHeight="1">
      <c r="A844" s="8"/>
      <c r="B844" s="8"/>
      <c r="C844" s="8"/>
      <c r="D844" s="8"/>
      <c r="E844" s="8"/>
      <c r="F844" s="8"/>
      <c r="G844" s="8"/>
    </row>
    <row r="845" ht="15.75" customHeight="1">
      <c r="A845" s="8"/>
      <c r="B845" s="8"/>
      <c r="C845" s="8"/>
      <c r="D845" s="8"/>
      <c r="E845" s="8"/>
      <c r="F845" s="8"/>
      <c r="G845" s="8"/>
    </row>
    <row r="846" ht="15.75" customHeight="1">
      <c r="A846" s="8"/>
      <c r="B846" s="8"/>
      <c r="C846" s="8"/>
      <c r="D846" s="8"/>
      <c r="E846" s="8"/>
      <c r="F846" s="8"/>
      <c r="G846" s="8"/>
    </row>
    <row r="847" ht="15.75" customHeight="1">
      <c r="A847" s="8"/>
      <c r="B847" s="8"/>
      <c r="C847" s="8"/>
      <c r="D847" s="8"/>
      <c r="E847" s="8"/>
      <c r="F847" s="8"/>
      <c r="G847" s="8"/>
    </row>
    <row r="848" ht="15.75" customHeight="1">
      <c r="A848" s="8"/>
      <c r="B848" s="8"/>
      <c r="C848" s="8"/>
      <c r="D848" s="8"/>
      <c r="E848" s="8"/>
      <c r="F848" s="8"/>
      <c r="G848" s="8"/>
    </row>
    <row r="849" ht="15.75" customHeight="1">
      <c r="A849" s="8"/>
      <c r="B849" s="8"/>
      <c r="C849" s="8"/>
      <c r="D849" s="8"/>
      <c r="E849" s="8"/>
      <c r="F849" s="8"/>
      <c r="G849" s="8"/>
    </row>
    <row r="850" ht="15.75" customHeight="1">
      <c r="A850" s="8"/>
      <c r="B850" s="8"/>
      <c r="C850" s="8"/>
      <c r="D850" s="8"/>
      <c r="E850" s="8"/>
      <c r="F850" s="8"/>
      <c r="G850" s="8"/>
    </row>
    <row r="851" ht="15.75" customHeight="1">
      <c r="A851" s="8"/>
      <c r="B851" s="8"/>
      <c r="C851" s="8"/>
      <c r="D851" s="8"/>
      <c r="E851" s="8"/>
      <c r="F851" s="8"/>
      <c r="G851" s="8"/>
    </row>
    <row r="852" ht="15.75" customHeight="1">
      <c r="A852" s="8"/>
      <c r="B852" s="8"/>
      <c r="C852" s="8"/>
      <c r="D852" s="8"/>
      <c r="E852" s="8"/>
      <c r="F852" s="8"/>
      <c r="G852" s="8"/>
    </row>
    <row r="853" ht="15.75" customHeight="1">
      <c r="A853" s="8"/>
      <c r="B853" s="8"/>
      <c r="C853" s="8"/>
      <c r="D853" s="8"/>
      <c r="E853" s="8"/>
      <c r="F853" s="8"/>
      <c r="G853" s="8"/>
    </row>
    <row r="854" ht="15.75" customHeight="1">
      <c r="A854" s="8"/>
      <c r="B854" s="8"/>
      <c r="C854" s="8"/>
      <c r="D854" s="8"/>
      <c r="E854" s="8"/>
      <c r="F854" s="8"/>
      <c r="G854" s="8"/>
    </row>
    <row r="855" ht="15.75" customHeight="1">
      <c r="A855" s="8"/>
      <c r="B855" s="8"/>
      <c r="C855" s="8"/>
      <c r="D855" s="8"/>
      <c r="E855" s="8"/>
      <c r="F855" s="8"/>
      <c r="G855" s="8"/>
    </row>
    <row r="856" ht="15.75" customHeight="1">
      <c r="A856" s="8"/>
      <c r="B856" s="8"/>
      <c r="C856" s="8"/>
      <c r="D856" s="8"/>
      <c r="E856" s="8"/>
      <c r="F856" s="8"/>
      <c r="G856" s="8"/>
    </row>
    <row r="857" ht="15.75" customHeight="1">
      <c r="A857" s="8"/>
      <c r="B857" s="8"/>
      <c r="C857" s="8"/>
      <c r="D857" s="8"/>
      <c r="E857" s="8"/>
      <c r="F857" s="8"/>
      <c r="G857" s="8"/>
    </row>
    <row r="858" ht="15.75" customHeight="1">
      <c r="A858" s="8"/>
      <c r="B858" s="8"/>
      <c r="C858" s="8"/>
      <c r="D858" s="8"/>
      <c r="E858" s="8"/>
      <c r="F858" s="8"/>
      <c r="G858" s="8"/>
    </row>
    <row r="859" ht="15.75" customHeight="1">
      <c r="A859" s="8"/>
      <c r="B859" s="8"/>
      <c r="C859" s="8"/>
      <c r="D859" s="8"/>
      <c r="E859" s="8"/>
      <c r="F859" s="8"/>
      <c r="G859" s="8"/>
    </row>
    <row r="860" ht="15.75" customHeight="1">
      <c r="A860" s="8"/>
      <c r="B860" s="8"/>
      <c r="C860" s="8"/>
      <c r="D860" s="8"/>
      <c r="E860" s="8"/>
      <c r="F860" s="8"/>
      <c r="G860" s="8"/>
    </row>
    <row r="861" ht="15.75" customHeight="1">
      <c r="A861" s="8"/>
      <c r="B861" s="8"/>
      <c r="C861" s="8"/>
      <c r="D861" s="8"/>
      <c r="E861" s="8"/>
      <c r="F861" s="8"/>
      <c r="G861" s="8"/>
    </row>
    <row r="862" ht="15.75" customHeight="1">
      <c r="A862" s="8"/>
      <c r="B862" s="8"/>
      <c r="C862" s="8"/>
      <c r="D862" s="8"/>
      <c r="E862" s="8"/>
      <c r="F862" s="8"/>
      <c r="G862" s="8"/>
    </row>
    <row r="863" ht="15.75" customHeight="1">
      <c r="A863" s="8"/>
      <c r="B863" s="8"/>
      <c r="C863" s="8"/>
      <c r="D863" s="8"/>
      <c r="E863" s="8"/>
      <c r="F863" s="8"/>
      <c r="G863" s="8"/>
    </row>
    <row r="864" ht="15.75" customHeight="1">
      <c r="A864" s="8"/>
      <c r="B864" s="8"/>
      <c r="C864" s="8"/>
      <c r="D864" s="8"/>
      <c r="E864" s="8"/>
      <c r="F864" s="8"/>
      <c r="G864" s="8"/>
    </row>
    <row r="865" ht="15.75" customHeight="1">
      <c r="A865" s="8"/>
      <c r="B865" s="8"/>
      <c r="C865" s="8"/>
      <c r="D865" s="8"/>
      <c r="E865" s="8"/>
      <c r="F865" s="8"/>
      <c r="G865" s="8"/>
    </row>
    <row r="866" ht="15.75" customHeight="1">
      <c r="A866" s="8"/>
      <c r="B866" s="8"/>
      <c r="C866" s="8"/>
      <c r="D866" s="8"/>
      <c r="E866" s="8"/>
      <c r="F866" s="8"/>
      <c r="G866" s="8"/>
    </row>
    <row r="867" ht="15.75" customHeight="1">
      <c r="A867" s="8"/>
      <c r="B867" s="8"/>
      <c r="C867" s="8"/>
      <c r="D867" s="8"/>
      <c r="E867" s="8"/>
      <c r="F867" s="8"/>
      <c r="G867" s="8"/>
    </row>
    <row r="868" ht="15.75" customHeight="1">
      <c r="A868" s="8"/>
      <c r="B868" s="8"/>
      <c r="C868" s="8"/>
      <c r="D868" s="8"/>
      <c r="E868" s="8"/>
      <c r="F868" s="8"/>
      <c r="G868" s="8"/>
    </row>
    <row r="869" ht="15.75" customHeight="1">
      <c r="A869" s="8"/>
      <c r="B869" s="8"/>
      <c r="C869" s="8"/>
      <c r="D869" s="8"/>
      <c r="E869" s="8"/>
      <c r="F869" s="8"/>
      <c r="G869" s="8"/>
    </row>
    <row r="870" ht="15.75" customHeight="1">
      <c r="A870" s="8"/>
      <c r="B870" s="8"/>
      <c r="C870" s="8"/>
      <c r="D870" s="8"/>
      <c r="E870" s="8"/>
      <c r="F870" s="8"/>
      <c r="G870" s="8"/>
    </row>
    <row r="871" ht="15.75" customHeight="1">
      <c r="A871" s="8"/>
      <c r="B871" s="8"/>
      <c r="C871" s="8"/>
      <c r="D871" s="8"/>
      <c r="E871" s="8"/>
      <c r="F871" s="8"/>
      <c r="G871" s="8"/>
    </row>
    <row r="872" ht="15.75" customHeight="1">
      <c r="A872" s="8"/>
      <c r="B872" s="8"/>
      <c r="C872" s="8"/>
      <c r="D872" s="8"/>
      <c r="E872" s="8"/>
      <c r="F872" s="8"/>
      <c r="G872" s="8"/>
    </row>
    <row r="873" ht="15.75" customHeight="1">
      <c r="A873" s="8"/>
      <c r="B873" s="8"/>
      <c r="C873" s="8"/>
      <c r="D873" s="8"/>
      <c r="E873" s="8"/>
      <c r="F873" s="8"/>
      <c r="G873" s="8"/>
    </row>
    <row r="874" ht="15.75" customHeight="1">
      <c r="A874" s="8"/>
      <c r="B874" s="8"/>
      <c r="C874" s="8"/>
      <c r="D874" s="8"/>
      <c r="E874" s="8"/>
      <c r="F874" s="8"/>
      <c r="G874" s="8"/>
    </row>
    <row r="875" ht="15.75" customHeight="1">
      <c r="A875" s="8"/>
      <c r="B875" s="8"/>
      <c r="C875" s="8"/>
      <c r="D875" s="8"/>
      <c r="E875" s="8"/>
      <c r="F875" s="8"/>
      <c r="G875" s="8"/>
    </row>
    <row r="876" ht="15.75" customHeight="1">
      <c r="A876" s="8"/>
      <c r="B876" s="8"/>
      <c r="C876" s="8"/>
      <c r="D876" s="8"/>
      <c r="E876" s="8"/>
      <c r="F876" s="8"/>
      <c r="G876" s="8"/>
    </row>
    <row r="877" ht="15.75" customHeight="1">
      <c r="A877" s="8"/>
      <c r="B877" s="8"/>
      <c r="C877" s="8"/>
      <c r="D877" s="8"/>
      <c r="E877" s="8"/>
      <c r="F877" s="8"/>
      <c r="G877" s="8"/>
    </row>
    <row r="878" ht="15.75" customHeight="1">
      <c r="A878" s="8"/>
      <c r="B878" s="8"/>
      <c r="C878" s="8"/>
      <c r="D878" s="8"/>
      <c r="E878" s="8"/>
      <c r="F878" s="8"/>
      <c r="G878" s="8"/>
    </row>
    <row r="879" ht="15.75" customHeight="1">
      <c r="A879" s="8"/>
      <c r="B879" s="8"/>
      <c r="C879" s="8"/>
      <c r="D879" s="8"/>
      <c r="E879" s="8"/>
      <c r="F879" s="8"/>
      <c r="G879" s="8"/>
    </row>
    <row r="880" ht="15.75" customHeight="1">
      <c r="A880" s="8"/>
      <c r="B880" s="8"/>
      <c r="C880" s="8"/>
      <c r="D880" s="8"/>
      <c r="E880" s="8"/>
      <c r="F880" s="8"/>
      <c r="G880" s="8"/>
    </row>
    <row r="881" ht="15.75" customHeight="1">
      <c r="A881" s="8"/>
      <c r="B881" s="8"/>
      <c r="C881" s="8"/>
      <c r="D881" s="8"/>
      <c r="E881" s="8"/>
      <c r="F881" s="8"/>
      <c r="G881" s="8"/>
    </row>
    <row r="882" ht="15.75" customHeight="1">
      <c r="A882" s="8"/>
      <c r="B882" s="8"/>
      <c r="C882" s="8"/>
      <c r="D882" s="8"/>
      <c r="E882" s="8"/>
      <c r="F882" s="8"/>
      <c r="G882" s="8"/>
    </row>
    <row r="883" ht="15.75" customHeight="1">
      <c r="A883" s="8"/>
      <c r="B883" s="8"/>
      <c r="C883" s="8"/>
      <c r="D883" s="8"/>
      <c r="E883" s="8"/>
      <c r="F883" s="8"/>
      <c r="G883" s="8"/>
    </row>
    <row r="884" ht="15.75" customHeight="1">
      <c r="A884" s="8"/>
      <c r="B884" s="8"/>
      <c r="C884" s="8"/>
      <c r="D884" s="8"/>
      <c r="E884" s="8"/>
      <c r="F884" s="8"/>
      <c r="G884" s="8"/>
    </row>
    <row r="885" ht="15.75" customHeight="1">
      <c r="A885" s="8"/>
      <c r="B885" s="8"/>
      <c r="C885" s="8"/>
      <c r="D885" s="8"/>
      <c r="E885" s="8"/>
      <c r="F885" s="8"/>
      <c r="G885" s="8"/>
    </row>
    <row r="886" ht="15.75" customHeight="1">
      <c r="A886" s="8"/>
      <c r="B886" s="8"/>
      <c r="C886" s="8"/>
      <c r="D886" s="8"/>
      <c r="E886" s="8"/>
      <c r="F886" s="8"/>
      <c r="G886" s="8"/>
    </row>
    <row r="887" ht="15.75" customHeight="1">
      <c r="A887" s="8"/>
      <c r="B887" s="8"/>
      <c r="C887" s="8"/>
      <c r="D887" s="8"/>
      <c r="E887" s="8"/>
      <c r="F887" s="8"/>
      <c r="G887" s="8"/>
    </row>
    <row r="888" ht="15.75" customHeight="1">
      <c r="A888" s="8"/>
      <c r="B888" s="8"/>
      <c r="C888" s="8"/>
      <c r="D888" s="8"/>
      <c r="E888" s="8"/>
      <c r="F888" s="8"/>
      <c r="G888" s="8"/>
    </row>
    <row r="889" ht="15.75" customHeight="1">
      <c r="A889" s="8"/>
      <c r="B889" s="8"/>
      <c r="C889" s="8"/>
      <c r="D889" s="8"/>
      <c r="E889" s="8"/>
      <c r="F889" s="8"/>
      <c r="G889" s="8"/>
    </row>
    <row r="890" ht="15.75" customHeight="1">
      <c r="A890" s="8"/>
      <c r="B890" s="8"/>
      <c r="C890" s="8"/>
      <c r="D890" s="8"/>
      <c r="E890" s="8"/>
      <c r="F890" s="8"/>
      <c r="G890" s="8"/>
    </row>
    <row r="891" ht="15.75" customHeight="1">
      <c r="A891" s="8"/>
      <c r="B891" s="8"/>
      <c r="C891" s="8"/>
      <c r="D891" s="8"/>
      <c r="E891" s="8"/>
      <c r="F891" s="8"/>
      <c r="G891" s="8"/>
    </row>
    <row r="892" ht="15.75" customHeight="1">
      <c r="A892" s="8"/>
      <c r="B892" s="8"/>
      <c r="C892" s="8"/>
      <c r="D892" s="8"/>
      <c r="E892" s="8"/>
      <c r="F892" s="8"/>
      <c r="G892" s="8"/>
    </row>
    <row r="893" ht="15.75" customHeight="1">
      <c r="A893" s="8"/>
      <c r="B893" s="8"/>
      <c r="C893" s="8"/>
      <c r="D893" s="8"/>
      <c r="E893" s="8"/>
      <c r="F893" s="8"/>
      <c r="G893" s="8"/>
    </row>
    <row r="894" ht="15.75" customHeight="1">
      <c r="A894" s="8"/>
      <c r="B894" s="8"/>
      <c r="C894" s="8"/>
      <c r="D894" s="8"/>
      <c r="E894" s="8"/>
      <c r="F894" s="8"/>
      <c r="G894" s="8"/>
    </row>
    <row r="895" ht="15.75" customHeight="1">
      <c r="A895" s="8"/>
      <c r="B895" s="8"/>
      <c r="C895" s="8"/>
      <c r="D895" s="8"/>
      <c r="E895" s="8"/>
      <c r="F895" s="8"/>
      <c r="G895" s="8"/>
    </row>
    <row r="896" ht="15.75" customHeight="1">
      <c r="A896" s="8"/>
      <c r="B896" s="8"/>
      <c r="C896" s="8"/>
      <c r="D896" s="8"/>
      <c r="E896" s="8"/>
      <c r="F896" s="8"/>
      <c r="G896" s="8"/>
    </row>
    <row r="897" ht="15.75" customHeight="1">
      <c r="A897" s="8"/>
      <c r="B897" s="8"/>
      <c r="C897" s="8"/>
      <c r="D897" s="8"/>
      <c r="E897" s="8"/>
      <c r="F897" s="8"/>
      <c r="G897" s="8"/>
    </row>
    <row r="898" ht="15.75" customHeight="1">
      <c r="A898" s="8"/>
      <c r="B898" s="8"/>
      <c r="C898" s="8"/>
      <c r="D898" s="8"/>
      <c r="E898" s="8"/>
      <c r="F898" s="8"/>
      <c r="G898" s="8"/>
    </row>
    <row r="899" ht="15.75" customHeight="1">
      <c r="A899" s="8"/>
      <c r="B899" s="8"/>
      <c r="C899" s="8"/>
      <c r="D899" s="8"/>
      <c r="E899" s="8"/>
      <c r="F899" s="8"/>
      <c r="G899" s="8"/>
    </row>
    <row r="900" ht="15.75" customHeight="1">
      <c r="A900" s="8"/>
      <c r="B900" s="8"/>
      <c r="C900" s="8"/>
      <c r="D900" s="8"/>
      <c r="E900" s="8"/>
      <c r="F900" s="8"/>
      <c r="G900" s="8"/>
    </row>
    <row r="901" ht="15.75" customHeight="1">
      <c r="A901" s="8"/>
      <c r="B901" s="8"/>
      <c r="C901" s="8"/>
      <c r="D901" s="8"/>
      <c r="E901" s="8"/>
      <c r="F901" s="8"/>
      <c r="G901" s="8"/>
    </row>
    <row r="902" ht="15.75" customHeight="1">
      <c r="A902" s="8"/>
      <c r="B902" s="8"/>
      <c r="C902" s="8"/>
      <c r="D902" s="8"/>
      <c r="E902" s="8"/>
      <c r="F902" s="8"/>
      <c r="G902" s="8"/>
    </row>
    <row r="903" ht="15.75" customHeight="1">
      <c r="A903" s="8"/>
      <c r="B903" s="8"/>
      <c r="C903" s="8"/>
      <c r="D903" s="8"/>
      <c r="E903" s="8"/>
      <c r="F903" s="8"/>
      <c r="G903" s="8"/>
    </row>
    <row r="904" ht="15.75" customHeight="1">
      <c r="A904" s="8"/>
      <c r="B904" s="8"/>
      <c r="C904" s="8"/>
      <c r="D904" s="8"/>
      <c r="E904" s="8"/>
      <c r="F904" s="8"/>
      <c r="G904" s="8"/>
    </row>
    <row r="905" ht="15.75" customHeight="1">
      <c r="A905" s="8"/>
      <c r="B905" s="8"/>
      <c r="C905" s="8"/>
      <c r="D905" s="8"/>
      <c r="E905" s="8"/>
      <c r="F905" s="8"/>
      <c r="G905" s="8"/>
    </row>
    <row r="906" ht="15.75" customHeight="1">
      <c r="A906" s="8"/>
      <c r="B906" s="8"/>
      <c r="C906" s="8"/>
      <c r="D906" s="8"/>
      <c r="E906" s="8"/>
      <c r="F906" s="8"/>
      <c r="G906" s="8"/>
    </row>
    <row r="907" ht="15.75" customHeight="1">
      <c r="A907" s="8"/>
      <c r="B907" s="8"/>
      <c r="C907" s="8"/>
      <c r="D907" s="8"/>
      <c r="E907" s="8"/>
      <c r="F907" s="8"/>
      <c r="G907" s="8"/>
    </row>
    <row r="908" ht="15.75" customHeight="1">
      <c r="A908" s="8"/>
      <c r="B908" s="8"/>
      <c r="C908" s="8"/>
      <c r="D908" s="8"/>
      <c r="E908" s="8"/>
      <c r="F908" s="8"/>
      <c r="G908" s="8"/>
    </row>
    <row r="909" ht="15.75" customHeight="1">
      <c r="A909" s="8"/>
      <c r="B909" s="8"/>
      <c r="C909" s="8"/>
      <c r="D909" s="8"/>
      <c r="E909" s="8"/>
      <c r="F909" s="8"/>
      <c r="G909" s="8"/>
    </row>
    <row r="910" ht="15.75" customHeight="1">
      <c r="A910" s="8"/>
      <c r="B910" s="8"/>
      <c r="C910" s="8"/>
      <c r="D910" s="8"/>
      <c r="E910" s="8"/>
      <c r="F910" s="8"/>
      <c r="G910" s="8"/>
    </row>
    <row r="911" ht="15.75" customHeight="1">
      <c r="A911" s="8"/>
      <c r="B911" s="8"/>
      <c r="C911" s="8"/>
      <c r="D911" s="8"/>
      <c r="E911" s="8"/>
      <c r="F911" s="8"/>
      <c r="G911" s="8"/>
    </row>
    <row r="912" ht="15.75" customHeight="1">
      <c r="A912" s="8"/>
      <c r="B912" s="8"/>
      <c r="C912" s="8"/>
      <c r="D912" s="8"/>
      <c r="E912" s="8"/>
      <c r="F912" s="8"/>
      <c r="G912" s="8"/>
    </row>
    <row r="913" ht="15.75" customHeight="1">
      <c r="A913" s="8"/>
      <c r="B913" s="8"/>
      <c r="C913" s="8"/>
      <c r="D913" s="8"/>
      <c r="E913" s="8"/>
      <c r="F913" s="8"/>
      <c r="G913" s="8"/>
    </row>
    <row r="914" ht="15.75" customHeight="1">
      <c r="A914" s="8"/>
      <c r="B914" s="8"/>
      <c r="C914" s="8"/>
      <c r="D914" s="8"/>
      <c r="E914" s="8"/>
      <c r="F914" s="8"/>
      <c r="G914" s="8"/>
    </row>
    <row r="915" ht="15.75" customHeight="1">
      <c r="A915" s="8"/>
      <c r="B915" s="8"/>
      <c r="C915" s="8"/>
      <c r="D915" s="8"/>
      <c r="E915" s="8"/>
      <c r="F915" s="8"/>
      <c r="G915" s="8"/>
    </row>
    <row r="916" ht="15.75" customHeight="1">
      <c r="A916" s="8"/>
      <c r="B916" s="8"/>
      <c r="C916" s="8"/>
      <c r="D916" s="8"/>
      <c r="E916" s="8"/>
      <c r="F916" s="8"/>
      <c r="G916" s="8"/>
    </row>
    <row r="917" ht="15.75" customHeight="1">
      <c r="A917" s="8"/>
      <c r="B917" s="8"/>
      <c r="C917" s="8"/>
      <c r="D917" s="8"/>
      <c r="E917" s="8"/>
      <c r="F917" s="8"/>
      <c r="G917" s="8"/>
    </row>
    <row r="918" ht="15.75" customHeight="1">
      <c r="A918" s="8"/>
      <c r="B918" s="8"/>
      <c r="C918" s="8"/>
      <c r="D918" s="8"/>
      <c r="E918" s="8"/>
      <c r="F918" s="8"/>
      <c r="G918" s="8"/>
    </row>
    <row r="919" ht="15.75" customHeight="1">
      <c r="A919" s="8"/>
      <c r="B919" s="8"/>
      <c r="C919" s="8"/>
      <c r="D919" s="8"/>
      <c r="E919" s="8"/>
      <c r="F919" s="8"/>
      <c r="G919" s="8"/>
    </row>
    <row r="920" ht="15.75" customHeight="1">
      <c r="A920" s="8"/>
      <c r="B920" s="8"/>
      <c r="C920" s="8"/>
      <c r="D920" s="8"/>
      <c r="E920" s="8"/>
      <c r="F920" s="8"/>
      <c r="G920" s="8"/>
    </row>
    <row r="921" ht="15.75" customHeight="1">
      <c r="A921" s="8"/>
      <c r="B921" s="8"/>
      <c r="C921" s="8"/>
      <c r="D921" s="8"/>
      <c r="E921" s="8"/>
      <c r="F921" s="8"/>
      <c r="G921" s="8"/>
    </row>
    <row r="922" ht="15.75" customHeight="1">
      <c r="A922" s="8"/>
      <c r="B922" s="8"/>
      <c r="C922" s="8"/>
      <c r="D922" s="8"/>
      <c r="E922" s="8"/>
      <c r="F922" s="8"/>
      <c r="G922" s="8"/>
    </row>
    <row r="923" ht="15.75" customHeight="1">
      <c r="A923" s="8"/>
      <c r="B923" s="8"/>
      <c r="C923" s="8"/>
      <c r="D923" s="8"/>
      <c r="E923" s="8"/>
      <c r="F923" s="8"/>
      <c r="G923" s="8"/>
    </row>
    <row r="924" ht="15.75" customHeight="1">
      <c r="A924" s="8"/>
      <c r="B924" s="8"/>
      <c r="C924" s="8"/>
      <c r="D924" s="8"/>
      <c r="E924" s="8"/>
      <c r="F924" s="8"/>
      <c r="G924" s="8"/>
    </row>
    <row r="925" ht="15.75" customHeight="1">
      <c r="A925" s="8"/>
      <c r="B925" s="8"/>
      <c r="C925" s="8"/>
      <c r="D925" s="8"/>
      <c r="E925" s="8"/>
      <c r="F925" s="8"/>
      <c r="G925" s="8"/>
    </row>
    <row r="926" ht="15.75" customHeight="1">
      <c r="A926" s="8"/>
      <c r="B926" s="8"/>
      <c r="C926" s="8"/>
      <c r="D926" s="8"/>
      <c r="E926" s="8"/>
      <c r="F926" s="8"/>
      <c r="G926" s="8"/>
    </row>
    <row r="927" ht="15.75" customHeight="1">
      <c r="A927" s="8"/>
      <c r="B927" s="8"/>
      <c r="C927" s="8"/>
      <c r="D927" s="8"/>
      <c r="E927" s="8"/>
      <c r="F927" s="8"/>
      <c r="G927" s="8"/>
    </row>
    <row r="928" ht="15.75" customHeight="1">
      <c r="A928" s="8"/>
      <c r="B928" s="8"/>
      <c r="C928" s="8"/>
      <c r="D928" s="8"/>
      <c r="E928" s="8"/>
      <c r="F928" s="8"/>
      <c r="G928" s="8"/>
    </row>
    <row r="929" ht="15.75" customHeight="1">
      <c r="A929" s="8"/>
      <c r="B929" s="8"/>
      <c r="C929" s="8"/>
      <c r="D929" s="8"/>
      <c r="E929" s="8"/>
      <c r="F929" s="8"/>
      <c r="G929" s="8"/>
    </row>
    <row r="930" ht="15.75" customHeight="1">
      <c r="A930" s="8"/>
      <c r="B930" s="8"/>
      <c r="C930" s="8"/>
      <c r="D930" s="8"/>
      <c r="E930" s="8"/>
      <c r="F930" s="8"/>
      <c r="G930" s="8"/>
    </row>
    <row r="931" ht="15.75" customHeight="1">
      <c r="A931" s="8"/>
      <c r="B931" s="8"/>
      <c r="C931" s="8"/>
      <c r="D931" s="8"/>
      <c r="E931" s="8"/>
      <c r="F931" s="8"/>
      <c r="G931" s="8"/>
    </row>
    <row r="932" ht="15.75" customHeight="1">
      <c r="A932" s="8"/>
      <c r="B932" s="8"/>
      <c r="C932" s="8"/>
      <c r="D932" s="8"/>
      <c r="E932" s="8"/>
      <c r="F932" s="8"/>
      <c r="G932" s="8"/>
    </row>
    <row r="933" ht="15.75" customHeight="1">
      <c r="A933" s="8"/>
      <c r="B933" s="8"/>
      <c r="C933" s="8"/>
      <c r="D933" s="8"/>
      <c r="E933" s="8"/>
      <c r="F933" s="8"/>
      <c r="G933" s="8"/>
    </row>
    <row r="934" ht="15.75" customHeight="1">
      <c r="A934" s="8"/>
      <c r="B934" s="8"/>
      <c r="C934" s="8"/>
      <c r="D934" s="8"/>
      <c r="E934" s="8"/>
      <c r="F934" s="8"/>
      <c r="G934" s="8"/>
    </row>
    <row r="935" ht="15.75" customHeight="1">
      <c r="A935" s="8"/>
      <c r="B935" s="8"/>
      <c r="C935" s="8"/>
      <c r="D935" s="8"/>
      <c r="E935" s="8"/>
      <c r="F935" s="8"/>
      <c r="G935" s="8"/>
    </row>
    <row r="936" ht="15.75" customHeight="1">
      <c r="A936" s="8"/>
      <c r="B936" s="8"/>
      <c r="C936" s="8"/>
      <c r="D936" s="8"/>
      <c r="E936" s="8"/>
      <c r="F936" s="8"/>
      <c r="G936" s="8"/>
    </row>
    <row r="937" ht="15.75" customHeight="1">
      <c r="A937" s="8"/>
      <c r="B937" s="8"/>
      <c r="C937" s="8"/>
      <c r="D937" s="8"/>
      <c r="E937" s="8"/>
      <c r="F937" s="8"/>
      <c r="G937" s="8"/>
    </row>
    <row r="938" ht="15.75" customHeight="1">
      <c r="A938" s="8"/>
      <c r="B938" s="8"/>
      <c r="C938" s="8"/>
      <c r="D938" s="8"/>
      <c r="E938" s="8"/>
      <c r="F938" s="8"/>
      <c r="G938" s="8"/>
    </row>
    <row r="939" ht="15.75" customHeight="1">
      <c r="A939" s="8"/>
      <c r="B939" s="8"/>
      <c r="C939" s="8"/>
      <c r="D939" s="8"/>
      <c r="E939" s="8"/>
      <c r="F939" s="8"/>
      <c r="G939" s="8"/>
    </row>
    <row r="940" ht="15.75" customHeight="1">
      <c r="A940" s="8"/>
      <c r="B940" s="8"/>
      <c r="C940" s="8"/>
      <c r="D940" s="8"/>
      <c r="E940" s="8"/>
      <c r="F940" s="8"/>
      <c r="G940" s="8"/>
    </row>
    <row r="941" ht="15.75" customHeight="1">
      <c r="A941" s="8"/>
      <c r="B941" s="8"/>
      <c r="C941" s="8"/>
      <c r="D941" s="8"/>
      <c r="E941" s="8"/>
      <c r="F941" s="8"/>
      <c r="G941" s="8"/>
    </row>
    <row r="942" ht="15.75" customHeight="1">
      <c r="A942" s="8"/>
      <c r="B942" s="8"/>
      <c r="C942" s="8"/>
      <c r="D942" s="8"/>
      <c r="E942" s="8"/>
      <c r="F942" s="8"/>
      <c r="G942" s="8"/>
    </row>
    <row r="943" ht="15.75" customHeight="1">
      <c r="A943" s="8"/>
      <c r="B943" s="8"/>
      <c r="C943" s="8"/>
      <c r="D943" s="8"/>
      <c r="E943" s="8"/>
      <c r="F943" s="8"/>
      <c r="G943" s="8"/>
    </row>
    <row r="944" ht="15.75" customHeight="1">
      <c r="A944" s="8"/>
      <c r="B944" s="8"/>
      <c r="C944" s="8"/>
      <c r="D944" s="8"/>
      <c r="E944" s="8"/>
      <c r="F944" s="8"/>
      <c r="G944" s="8"/>
    </row>
    <row r="945" ht="15.75" customHeight="1">
      <c r="A945" s="8"/>
      <c r="B945" s="8"/>
      <c r="C945" s="8"/>
      <c r="D945" s="8"/>
      <c r="E945" s="8"/>
      <c r="F945" s="8"/>
      <c r="G945" s="8"/>
    </row>
    <row r="946" ht="15.75" customHeight="1">
      <c r="A946" s="8"/>
      <c r="B946" s="8"/>
      <c r="C946" s="8"/>
      <c r="D946" s="8"/>
      <c r="E946" s="8"/>
      <c r="F946" s="8"/>
      <c r="G946" s="8"/>
    </row>
    <row r="947" ht="15.75" customHeight="1">
      <c r="A947" s="8"/>
      <c r="B947" s="8"/>
      <c r="C947" s="8"/>
      <c r="D947" s="8"/>
      <c r="E947" s="8"/>
      <c r="F947" s="8"/>
      <c r="G947" s="8"/>
    </row>
    <row r="948" ht="15.75" customHeight="1">
      <c r="A948" s="8"/>
      <c r="B948" s="8"/>
      <c r="C948" s="8"/>
      <c r="D948" s="8"/>
      <c r="E948" s="8"/>
      <c r="F948" s="8"/>
      <c r="G948" s="8"/>
    </row>
    <row r="949" ht="15.75" customHeight="1">
      <c r="A949" s="8"/>
      <c r="B949" s="8"/>
      <c r="C949" s="8"/>
      <c r="D949" s="8"/>
      <c r="E949" s="8"/>
      <c r="F949" s="8"/>
      <c r="G949" s="8"/>
    </row>
    <row r="950" ht="15.75" customHeight="1">
      <c r="A950" s="8"/>
      <c r="B950" s="8"/>
      <c r="C950" s="8"/>
      <c r="D950" s="8"/>
      <c r="E950" s="8"/>
      <c r="F950" s="8"/>
      <c r="G950" s="8"/>
    </row>
    <row r="951" ht="15.75" customHeight="1">
      <c r="A951" s="8"/>
      <c r="B951" s="8"/>
      <c r="C951" s="8"/>
      <c r="D951" s="8"/>
      <c r="E951" s="8"/>
      <c r="F951" s="8"/>
      <c r="G951" s="8"/>
    </row>
    <row r="952" ht="15.75" customHeight="1">
      <c r="A952" s="8"/>
      <c r="B952" s="8"/>
      <c r="C952" s="8"/>
      <c r="D952" s="8"/>
      <c r="E952" s="8"/>
      <c r="F952" s="8"/>
      <c r="G952" s="8"/>
    </row>
    <row r="953" ht="15.75" customHeight="1">
      <c r="A953" s="8"/>
      <c r="B953" s="8"/>
      <c r="C953" s="8"/>
      <c r="D953" s="8"/>
      <c r="E953" s="8"/>
      <c r="F953" s="8"/>
      <c r="G953" s="8"/>
    </row>
    <row r="954" ht="15.75" customHeight="1">
      <c r="A954" s="8"/>
      <c r="B954" s="8"/>
      <c r="C954" s="8"/>
      <c r="D954" s="8"/>
      <c r="E954" s="8"/>
      <c r="F954" s="8"/>
      <c r="G954" s="8"/>
    </row>
    <row r="955" ht="15.75" customHeight="1">
      <c r="A955" s="8"/>
      <c r="B955" s="8"/>
      <c r="C955" s="8"/>
      <c r="D955" s="8"/>
      <c r="E955" s="8"/>
      <c r="F955" s="8"/>
      <c r="G955" s="8"/>
    </row>
    <row r="956" ht="15.75" customHeight="1">
      <c r="A956" s="8"/>
      <c r="B956" s="8"/>
      <c r="C956" s="8"/>
      <c r="D956" s="8"/>
      <c r="E956" s="8"/>
      <c r="F956" s="8"/>
      <c r="G956" s="8"/>
    </row>
    <row r="957" ht="15.75" customHeight="1">
      <c r="A957" s="8"/>
      <c r="B957" s="8"/>
      <c r="C957" s="8"/>
      <c r="D957" s="8"/>
      <c r="E957" s="8"/>
      <c r="F957" s="8"/>
      <c r="G957" s="8"/>
    </row>
    <row r="958" ht="15.75" customHeight="1">
      <c r="A958" s="8"/>
      <c r="B958" s="8"/>
      <c r="C958" s="8"/>
      <c r="D958" s="8"/>
      <c r="E958" s="8"/>
      <c r="F958" s="8"/>
      <c r="G958" s="8"/>
    </row>
    <row r="959" ht="15.75" customHeight="1">
      <c r="A959" s="8"/>
      <c r="B959" s="8"/>
      <c r="C959" s="8"/>
      <c r="D959" s="8"/>
      <c r="E959" s="8"/>
      <c r="F959" s="8"/>
      <c r="G959" s="8"/>
    </row>
    <row r="960" ht="15.75" customHeight="1">
      <c r="A960" s="8"/>
      <c r="B960" s="8"/>
      <c r="C960" s="8"/>
      <c r="D960" s="8"/>
      <c r="E960" s="8"/>
      <c r="F960" s="8"/>
      <c r="G960" s="8"/>
    </row>
    <row r="961" ht="15.75" customHeight="1">
      <c r="A961" s="8"/>
      <c r="B961" s="8"/>
      <c r="C961" s="8"/>
      <c r="D961" s="8"/>
      <c r="E961" s="8"/>
      <c r="F961" s="8"/>
      <c r="G961" s="8"/>
    </row>
    <row r="962" ht="15.75" customHeight="1">
      <c r="A962" s="8"/>
      <c r="B962" s="8"/>
      <c r="C962" s="8"/>
      <c r="D962" s="8"/>
      <c r="E962" s="8"/>
      <c r="F962" s="8"/>
      <c r="G962" s="8"/>
    </row>
    <row r="963" ht="15.75" customHeight="1">
      <c r="A963" s="8"/>
      <c r="B963" s="8"/>
      <c r="C963" s="8"/>
      <c r="D963" s="8"/>
      <c r="E963" s="8"/>
      <c r="F963" s="8"/>
      <c r="G963" s="8"/>
    </row>
    <row r="964" ht="15.75" customHeight="1">
      <c r="A964" s="8"/>
      <c r="B964" s="8"/>
      <c r="C964" s="8"/>
      <c r="D964" s="8"/>
      <c r="E964" s="8"/>
      <c r="F964" s="8"/>
      <c r="G964" s="8"/>
    </row>
    <row r="965" ht="15.75" customHeight="1">
      <c r="A965" s="8"/>
      <c r="B965" s="8"/>
      <c r="C965" s="8"/>
      <c r="D965" s="8"/>
      <c r="E965" s="8"/>
      <c r="F965" s="8"/>
      <c r="G965" s="8"/>
    </row>
    <row r="966" ht="15.75" customHeight="1">
      <c r="A966" s="8"/>
      <c r="B966" s="8"/>
      <c r="C966" s="8"/>
      <c r="D966" s="8"/>
      <c r="E966" s="8"/>
      <c r="F966" s="8"/>
      <c r="G966" s="8"/>
    </row>
    <row r="967" ht="15.75" customHeight="1">
      <c r="A967" s="8"/>
      <c r="B967" s="8"/>
      <c r="C967" s="8"/>
      <c r="D967" s="8"/>
      <c r="E967" s="8"/>
      <c r="F967" s="8"/>
      <c r="G967" s="8"/>
    </row>
    <row r="968" ht="15.75" customHeight="1">
      <c r="A968" s="8"/>
      <c r="B968" s="8"/>
      <c r="C968" s="8"/>
      <c r="D968" s="8"/>
      <c r="E968" s="8"/>
      <c r="F968" s="8"/>
      <c r="G968" s="8"/>
    </row>
    <row r="969" ht="15.75" customHeight="1">
      <c r="A969" s="8"/>
      <c r="B969" s="8"/>
      <c r="C969" s="8"/>
      <c r="D969" s="8"/>
      <c r="E969" s="8"/>
      <c r="F969" s="8"/>
      <c r="G969" s="8"/>
    </row>
    <row r="970" ht="15.75" customHeight="1">
      <c r="A970" s="8"/>
      <c r="B970" s="8"/>
      <c r="C970" s="8"/>
      <c r="D970" s="8"/>
      <c r="E970" s="8"/>
      <c r="F970" s="8"/>
      <c r="G970" s="8"/>
    </row>
    <row r="971" ht="15.75" customHeight="1">
      <c r="A971" s="8"/>
      <c r="B971" s="8"/>
      <c r="C971" s="8"/>
      <c r="D971" s="8"/>
      <c r="E971" s="8"/>
      <c r="F971" s="8"/>
      <c r="G971" s="8"/>
    </row>
    <row r="972" ht="15.75" customHeight="1">
      <c r="A972" s="8"/>
      <c r="B972" s="8"/>
      <c r="C972" s="8"/>
      <c r="D972" s="8"/>
      <c r="E972" s="8"/>
      <c r="F972" s="8"/>
      <c r="G972" s="8"/>
    </row>
    <row r="973" ht="15.75" customHeight="1">
      <c r="A973" s="8"/>
      <c r="B973" s="8"/>
      <c r="C973" s="8"/>
      <c r="D973" s="8"/>
      <c r="E973" s="8"/>
      <c r="F973" s="8"/>
      <c r="G973" s="8"/>
    </row>
    <row r="974" ht="15.75" customHeight="1">
      <c r="A974" s="8"/>
      <c r="B974" s="8"/>
      <c r="C974" s="8"/>
      <c r="D974" s="8"/>
      <c r="E974" s="8"/>
      <c r="F974" s="8"/>
      <c r="G974" s="8"/>
    </row>
    <row r="975" ht="15.75" customHeight="1">
      <c r="A975" s="8"/>
      <c r="B975" s="8"/>
      <c r="C975" s="8"/>
      <c r="D975" s="8"/>
      <c r="E975" s="8"/>
      <c r="F975" s="8"/>
      <c r="G975" s="8"/>
    </row>
    <row r="976" ht="15.75" customHeight="1">
      <c r="A976" s="8"/>
      <c r="B976" s="8"/>
      <c r="C976" s="8"/>
      <c r="D976" s="8"/>
      <c r="E976" s="8"/>
      <c r="F976" s="8"/>
      <c r="G976" s="8"/>
    </row>
    <row r="977" ht="15.75" customHeight="1">
      <c r="A977" s="8"/>
      <c r="B977" s="8"/>
      <c r="C977" s="8"/>
      <c r="D977" s="8"/>
      <c r="E977" s="8"/>
      <c r="F977" s="8"/>
      <c r="G977" s="8"/>
    </row>
    <row r="978" ht="15.75" customHeight="1">
      <c r="A978" s="8"/>
      <c r="B978" s="8"/>
      <c r="C978" s="8"/>
      <c r="D978" s="8"/>
      <c r="E978" s="8"/>
      <c r="F978" s="8"/>
      <c r="G978" s="8"/>
    </row>
    <row r="979" ht="15.75" customHeight="1">
      <c r="A979" s="8"/>
      <c r="B979" s="8"/>
      <c r="C979" s="8"/>
      <c r="D979" s="8"/>
      <c r="E979" s="8"/>
      <c r="F979" s="8"/>
      <c r="G979" s="8"/>
    </row>
    <row r="980" ht="15.75" customHeight="1">
      <c r="A980" s="8"/>
      <c r="B980" s="8"/>
      <c r="C980" s="8"/>
      <c r="D980" s="8"/>
      <c r="E980" s="8"/>
      <c r="F980" s="8"/>
      <c r="G980" s="8"/>
    </row>
    <row r="981" ht="15.75" customHeight="1">
      <c r="A981" s="8"/>
      <c r="B981" s="8"/>
      <c r="C981" s="8"/>
      <c r="D981" s="8"/>
      <c r="E981" s="8"/>
      <c r="F981" s="8"/>
      <c r="G981" s="8"/>
    </row>
    <row r="982" ht="15.75" customHeight="1">
      <c r="A982" s="8"/>
      <c r="B982" s="8"/>
      <c r="C982" s="8"/>
      <c r="D982" s="8"/>
      <c r="E982" s="8"/>
      <c r="F982" s="8"/>
      <c r="G982" s="8"/>
    </row>
    <row r="983" ht="15.75" customHeight="1">
      <c r="A983" s="8"/>
      <c r="B983" s="8"/>
      <c r="C983" s="8"/>
      <c r="D983" s="8"/>
      <c r="E983" s="8"/>
      <c r="F983" s="8"/>
      <c r="G983" s="8"/>
    </row>
    <row r="984" ht="15.75" customHeight="1">
      <c r="A984" s="8"/>
      <c r="B984" s="8"/>
      <c r="C984" s="8"/>
      <c r="D984" s="8"/>
      <c r="E984" s="8"/>
      <c r="F984" s="8"/>
      <c r="G984" s="8"/>
    </row>
    <row r="985" ht="15.75" customHeight="1">
      <c r="A985" s="8"/>
      <c r="B985" s="8"/>
      <c r="C985" s="8"/>
      <c r="D985" s="8"/>
      <c r="E985" s="8"/>
      <c r="F985" s="8"/>
      <c r="G985" s="8"/>
    </row>
    <row r="986" ht="15.75" customHeight="1">
      <c r="A986" s="8"/>
      <c r="B986" s="8"/>
      <c r="C986" s="8"/>
      <c r="D986" s="8"/>
      <c r="E986" s="8"/>
      <c r="F986" s="8"/>
      <c r="G986" s="8"/>
    </row>
    <row r="987" ht="15.75" customHeight="1">
      <c r="A987" s="8"/>
      <c r="B987" s="8"/>
      <c r="C987" s="8"/>
      <c r="D987" s="8"/>
      <c r="E987" s="8"/>
      <c r="F987" s="8"/>
      <c r="G987" s="8"/>
    </row>
    <row r="988" ht="15.75" customHeight="1">
      <c r="A988" s="8"/>
      <c r="B988" s="8"/>
      <c r="C988" s="8"/>
      <c r="D988" s="8"/>
      <c r="E988" s="8"/>
      <c r="F988" s="8"/>
      <c r="G988" s="8"/>
    </row>
    <row r="989" ht="15.75" customHeight="1">
      <c r="A989" s="8"/>
      <c r="B989" s="8"/>
      <c r="C989" s="8"/>
      <c r="D989" s="8"/>
      <c r="E989" s="8"/>
      <c r="F989" s="8"/>
      <c r="G989" s="8"/>
    </row>
    <row r="990" ht="15.75" customHeight="1">
      <c r="A990" s="8"/>
      <c r="B990" s="8"/>
      <c r="C990" s="8"/>
      <c r="D990" s="8"/>
      <c r="E990" s="8"/>
      <c r="F990" s="8"/>
      <c r="G990" s="8"/>
    </row>
    <row r="991" ht="15.75" customHeight="1">
      <c r="A991" s="8"/>
      <c r="B991" s="8"/>
      <c r="C991" s="8"/>
      <c r="D991" s="8"/>
      <c r="E991" s="8"/>
      <c r="F991" s="8"/>
      <c r="G991" s="8"/>
    </row>
    <row r="992" ht="15.75" customHeight="1">
      <c r="A992" s="8"/>
      <c r="B992" s="8"/>
      <c r="C992" s="8"/>
      <c r="D992" s="8"/>
      <c r="E992" s="8"/>
      <c r="F992" s="8"/>
      <c r="G992" s="8"/>
    </row>
    <row r="993" ht="15.75" customHeight="1">
      <c r="A993" s="8"/>
      <c r="B993" s="8"/>
      <c r="C993" s="8"/>
      <c r="D993" s="8"/>
      <c r="E993" s="8"/>
      <c r="F993" s="8"/>
      <c r="G993" s="8"/>
    </row>
    <row r="994" ht="15.75" customHeight="1">
      <c r="A994" s="8"/>
      <c r="B994" s="8"/>
      <c r="C994" s="8"/>
      <c r="D994" s="8"/>
      <c r="E994" s="8"/>
      <c r="F994" s="8"/>
      <c r="G994" s="8"/>
    </row>
    <row r="995" ht="15.75" customHeight="1">
      <c r="A995" s="8"/>
      <c r="B995" s="8"/>
      <c r="C995" s="8"/>
      <c r="D995" s="8"/>
      <c r="E995" s="8"/>
      <c r="F995" s="8"/>
      <c r="G995" s="8"/>
    </row>
    <row r="996" ht="15.75" customHeight="1">
      <c r="A996" s="8"/>
      <c r="B996" s="8"/>
      <c r="C996" s="8"/>
      <c r="D996" s="8"/>
      <c r="E996" s="8"/>
      <c r="F996" s="8"/>
      <c r="G996" s="8"/>
    </row>
    <row r="997" ht="15.75" customHeight="1">
      <c r="A997" s="8"/>
      <c r="B997" s="8"/>
      <c r="C997" s="8"/>
      <c r="D997" s="8"/>
      <c r="E997" s="8"/>
      <c r="F997" s="8"/>
      <c r="G997" s="8"/>
    </row>
    <row r="998" ht="15.75" customHeight="1">
      <c r="A998" s="8"/>
      <c r="B998" s="8"/>
      <c r="C998" s="8"/>
      <c r="D998" s="8"/>
      <c r="E998" s="8"/>
      <c r="F998" s="8"/>
      <c r="G998" s="8"/>
    </row>
    <row r="999" ht="15.75" customHeight="1">
      <c r="A999" s="8"/>
      <c r="B999" s="8"/>
      <c r="C999" s="8"/>
      <c r="D999" s="8"/>
      <c r="E999" s="8"/>
      <c r="F999" s="8"/>
      <c r="G999" s="8"/>
    </row>
    <row r="1000" ht="15.75" customHeight="1">
      <c r="A1000" s="8"/>
      <c r="B1000" s="8"/>
      <c r="C1000" s="8"/>
      <c r="D1000" s="8"/>
      <c r="E1000" s="8"/>
      <c r="F1000" s="8"/>
      <c r="G1000" s="8"/>
    </row>
  </sheetData>
  <mergeCells count="113">
    <mergeCell ref="A107:G107"/>
    <mergeCell ref="A108:G108"/>
    <mergeCell ref="A109:G109"/>
    <mergeCell ref="A110:G110"/>
    <mergeCell ref="A111:G111"/>
    <mergeCell ref="A112:C112"/>
    <mergeCell ref="E112:G112"/>
    <mergeCell ref="A113:G113"/>
    <mergeCell ref="A114:G114"/>
    <mergeCell ref="A115:G115"/>
    <mergeCell ref="A116:G116"/>
    <mergeCell ref="A118:G118"/>
    <mergeCell ref="A124:G124"/>
    <mergeCell ref="A158:G158"/>
    <mergeCell ref="A186:G186"/>
    <mergeCell ref="A187:G187"/>
    <mergeCell ref="A188:G188"/>
    <mergeCell ref="A189:G189"/>
    <mergeCell ref="A190:G190"/>
    <mergeCell ref="A191:G191"/>
    <mergeCell ref="A192:G192"/>
    <mergeCell ref="A193:G193"/>
    <mergeCell ref="A194:G194"/>
    <mergeCell ref="A195:G195"/>
    <mergeCell ref="A196:G196"/>
    <mergeCell ref="A197:G197"/>
    <mergeCell ref="A198:G198"/>
    <mergeCell ref="A199:G199"/>
    <mergeCell ref="A200:G200"/>
    <mergeCell ref="A201:G201"/>
    <mergeCell ref="A202:C202"/>
    <mergeCell ref="E202:G202"/>
    <mergeCell ref="A203:G203"/>
    <mergeCell ref="A204:G204"/>
    <mergeCell ref="A205:G205"/>
    <mergeCell ref="A206:G206"/>
    <mergeCell ref="A208:G208"/>
    <mergeCell ref="A212:G212"/>
    <mergeCell ref="A221:G221"/>
    <mergeCell ref="A223:G223"/>
    <mergeCell ref="A233:G233"/>
    <mergeCell ref="A238:G238"/>
    <mergeCell ref="A239:G239"/>
    <mergeCell ref="A240:G240"/>
    <mergeCell ref="A241:G241"/>
    <mergeCell ref="A242:G242"/>
    <mergeCell ref="A243:G243"/>
    <mergeCell ref="A244:G244"/>
    <mergeCell ref="A245:G245"/>
    <mergeCell ref="A253:G253"/>
    <mergeCell ref="A254:G254"/>
    <mergeCell ref="A255:G255"/>
    <mergeCell ref="A256:G256"/>
    <mergeCell ref="A257:G257"/>
    <mergeCell ref="A258:G258"/>
    <mergeCell ref="A259:C259"/>
    <mergeCell ref="E259:G259"/>
    <mergeCell ref="A246:G246"/>
    <mergeCell ref="A247:G247"/>
    <mergeCell ref="A248:G248"/>
    <mergeCell ref="A249:G249"/>
    <mergeCell ref="A250:G250"/>
    <mergeCell ref="A251:G251"/>
    <mergeCell ref="A252:G252"/>
    <mergeCell ref="A1:G1"/>
    <mergeCell ref="A2:G2"/>
    <mergeCell ref="A3:G3"/>
    <mergeCell ref="A4:G4"/>
    <mergeCell ref="A5:G5"/>
    <mergeCell ref="A7:G7"/>
    <mergeCell ref="A22:G22"/>
    <mergeCell ref="A28:G28"/>
    <mergeCell ref="A33:G33"/>
    <mergeCell ref="A34:G34"/>
    <mergeCell ref="A35:G35"/>
    <mergeCell ref="A36:G36"/>
    <mergeCell ref="A37:G37"/>
    <mergeCell ref="A38:G38"/>
    <mergeCell ref="A39:G39"/>
    <mergeCell ref="A40:G40"/>
    <mergeCell ref="A41:G41"/>
    <mergeCell ref="A42:G42"/>
    <mergeCell ref="A43:G43"/>
    <mergeCell ref="A44:C44"/>
    <mergeCell ref="E44:G44"/>
    <mergeCell ref="A45:G45"/>
    <mergeCell ref="A46:G46"/>
    <mergeCell ref="A47:G47"/>
    <mergeCell ref="A48:G48"/>
    <mergeCell ref="A50:G50"/>
    <mergeCell ref="A71:G71"/>
    <mergeCell ref="A79:G79"/>
    <mergeCell ref="A89:G89"/>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68:G168"/>
    <mergeCell ref="A176:G176"/>
    <mergeCell ref="A181:G181"/>
    <mergeCell ref="A182:G182"/>
    <mergeCell ref="A183:G183"/>
    <mergeCell ref="A184:G184"/>
    <mergeCell ref="A185:G185"/>
  </mergeCells>
  <conditionalFormatting sqref="A4:G1000">
    <cfRule type="expression" dxfId="0" priority="1">
      <formula>$E4="Done"</formula>
    </cfRule>
  </conditionalFormatting>
  <conditionalFormatting sqref="A4:G1000">
    <cfRule type="expression" dxfId="1" priority="2">
      <formula>$E4="In Progress"</formula>
    </cfRule>
  </conditionalFormatting>
  <conditionalFormatting sqref="A4:G1000">
    <cfRule type="expression" dxfId="4" priority="3">
      <formula>$E4="To Do"</formula>
    </cfRule>
  </conditionalFormatting>
  <dataValidations>
    <dataValidation type="list" allowBlank="1" sqref="E6 E8:E21 E23:E27 E29:E32 E44 E49 E51:E70 E72:E78 E80:E88 E90:E93 E112 E117 E119:E123 E125:E157 E159:E167 E169:E175 E177:E180 E202 E207 E209:E211 E213:E220 E222 E224:E232 E234:E237 E259:E260">
      <formula1>"Done,In Progress,To Do"</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5.0"/>
    <col customWidth="1" min="3" max="3" width="10.0"/>
    <col customWidth="1" min="4" max="4" width="58.0"/>
    <col customWidth="1" min="5" max="5" width="14.0"/>
    <col customWidth="1" min="6" max="6" width="16.0"/>
    <col customWidth="1" min="7" max="7" width="45.0"/>
    <col customWidth="1" min="8" max="26" width="8.71"/>
  </cols>
  <sheetData>
    <row r="1" ht="15.0" customHeight="1">
      <c r="A1" s="171" t="s">
        <v>1106</v>
      </c>
      <c r="B1" s="121"/>
      <c r="C1" s="121"/>
      <c r="D1" s="121"/>
      <c r="E1" s="121"/>
      <c r="F1" s="121"/>
      <c r="G1" s="122"/>
    </row>
    <row r="2" ht="15.0" customHeight="1">
      <c r="A2" s="172" t="s">
        <v>70</v>
      </c>
      <c r="B2" s="172" t="s">
        <v>1107</v>
      </c>
      <c r="C2" s="172" t="s">
        <v>1108</v>
      </c>
      <c r="D2" s="172" t="s">
        <v>1109</v>
      </c>
      <c r="E2" s="172" t="s">
        <v>75</v>
      </c>
      <c r="F2" s="172" t="s">
        <v>423</v>
      </c>
      <c r="G2" s="172" t="s">
        <v>77</v>
      </c>
    </row>
    <row r="3" ht="19.5" customHeight="1">
      <c r="A3" s="98" t="s">
        <v>1110</v>
      </c>
      <c r="B3" s="10"/>
      <c r="C3" s="10"/>
      <c r="D3" s="10"/>
      <c r="E3" s="10"/>
      <c r="F3" s="10"/>
      <c r="G3" s="11"/>
    </row>
    <row r="4" ht="24.75" customHeight="1">
      <c r="A4" s="173" t="s">
        <v>1111</v>
      </c>
      <c r="B4" s="10"/>
      <c r="C4" s="10"/>
      <c r="D4" s="10"/>
      <c r="E4" s="10"/>
      <c r="F4" s="10"/>
      <c r="G4" s="11"/>
    </row>
    <row r="5" ht="69.75" customHeight="1">
      <c r="A5" s="174" t="s">
        <v>1112</v>
      </c>
      <c r="B5" s="175" t="s">
        <v>1113</v>
      </c>
      <c r="C5" s="176"/>
      <c r="D5" s="175" t="s">
        <v>1114</v>
      </c>
      <c r="E5" s="102" t="s">
        <v>131</v>
      </c>
      <c r="F5" s="176" t="s">
        <v>91</v>
      </c>
      <c r="G5" s="175" t="s">
        <v>1115</v>
      </c>
    </row>
    <row r="6" ht="69.75" customHeight="1">
      <c r="A6" s="177" t="s">
        <v>1116</v>
      </c>
      <c r="B6" s="118" t="s">
        <v>1117</v>
      </c>
      <c r="C6" s="117"/>
      <c r="D6" s="118" t="s">
        <v>1118</v>
      </c>
      <c r="E6" s="102" t="s">
        <v>131</v>
      </c>
      <c r="F6" s="117" t="s">
        <v>91</v>
      </c>
      <c r="G6" s="118" t="s">
        <v>1119</v>
      </c>
    </row>
    <row r="7" ht="69.75" customHeight="1">
      <c r="A7" s="174" t="s">
        <v>1120</v>
      </c>
      <c r="B7" s="175" t="s">
        <v>1121</v>
      </c>
      <c r="C7" s="176"/>
      <c r="D7" s="175" t="s">
        <v>1122</v>
      </c>
      <c r="E7" s="102" t="s">
        <v>131</v>
      </c>
      <c r="F7" s="176" t="s">
        <v>91</v>
      </c>
      <c r="G7" s="175" t="s">
        <v>1123</v>
      </c>
    </row>
    <row r="8" ht="69.75" customHeight="1">
      <c r="A8" s="177" t="s">
        <v>1124</v>
      </c>
      <c r="B8" s="118" t="s">
        <v>1125</v>
      </c>
      <c r="C8" s="117"/>
      <c r="D8" s="118" t="s">
        <v>1126</v>
      </c>
      <c r="E8" s="102" t="s">
        <v>131</v>
      </c>
      <c r="F8" s="117" t="s">
        <v>91</v>
      </c>
      <c r="G8" s="118" t="s">
        <v>1127</v>
      </c>
    </row>
    <row r="9" ht="69.75" customHeight="1">
      <c r="A9" s="174" t="s">
        <v>1128</v>
      </c>
      <c r="B9" s="175" t="s">
        <v>1129</v>
      </c>
      <c r="C9" s="176"/>
      <c r="D9" s="175" t="s">
        <v>1130</v>
      </c>
      <c r="E9" s="102" t="s">
        <v>131</v>
      </c>
      <c r="F9" s="176" t="s">
        <v>91</v>
      </c>
      <c r="G9" s="175" t="s">
        <v>1131</v>
      </c>
    </row>
    <row r="10">
      <c r="A10" s="8"/>
      <c r="B10" s="8"/>
      <c r="C10" s="8"/>
      <c r="D10" s="8"/>
      <c r="E10" s="8"/>
      <c r="F10" s="8"/>
      <c r="G10" s="8"/>
    </row>
    <row r="11" ht="15.0" customHeight="1">
      <c r="A11" s="178" t="s">
        <v>1132</v>
      </c>
      <c r="B11" s="10"/>
      <c r="C11" s="10"/>
      <c r="D11" s="10"/>
      <c r="E11" s="10"/>
      <c r="F11" s="10"/>
      <c r="G11" s="11"/>
    </row>
    <row r="12" ht="21.75" customHeight="1">
      <c r="A12" s="179" t="s">
        <v>1133</v>
      </c>
      <c r="B12" s="10"/>
      <c r="C12" s="10"/>
      <c r="D12" s="10"/>
      <c r="E12" s="10"/>
      <c r="F12" s="10"/>
      <c r="G12" s="11"/>
    </row>
    <row r="13" ht="21.75" customHeight="1">
      <c r="A13" s="180" t="s">
        <v>1134</v>
      </c>
      <c r="B13" s="10"/>
      <c r="C13" s="10"/>
      <c r="D13" s="10"/>
      <c r="E13" s="10"/>
      <c r="F13" s="10"/>
      <c r="G13" s="11"/>
    </row>
    <row r="14" ht="21.75" customHeight="1">
      <c r="A14" s="179" t="s">
        <v>1135</v>
      </c>
      <c r="B14" s="10"/>
      <c r="C14" s="10"/>
      <c r="D14" s="10"/>
      <c r="E14" s="10"/>
      <c r="F14" s="10"/>
      <c r="G14" s="11"/>
    </row>
    <row r="15" ht="21.75" customHeight="1">
      <c r="A15" s="180" t="s">
        <v>1136</v>
      </c>
      <c r="B15" s="10"/>
      <c r="C15" s="10"/>
      <c r="D15" s="10"/>
      <c r="E15" s="10"/>
      <c r="F15" s="10"/>
      <c r="G15" s="11"/>
    </row>
    <row r="16">
      <c r="A16" s="8"/>
      <c r="B16" s="8"/>
      <c r="C16" s="8"/>
      <c r="D16" s="8"/>
      <c r="E16" s="8"/>
      <c r="F16" s="8"/>
      <c r="G16" s="8"/>
    </row>
    <row r="17">
      <c r="A17" s="8"/>
      <c r="B17" s="8"/>
      <c r="C17" s="8"/>
      <c r="D17" s="8"/>
      <c r="E17" s="8"/>
      <c r="F17" s="8"/>
      <c r="G17" s="8"/>
    </row>
    <row r="18">
      <c r="A18" s="8"/>
      <c r="B18" s="8"/>
      <c r="C18" s="8"/>
      <c r="D18" s="8"/>
      <c r="E18" s="8"/>
      <c r="F18" s="8"/>
      <c r="G18" s="8"/>
    </row>
    <row r="19">
      <c r="A19" s="8"/>
      <c r="B19" s="8"/>
      <c r="C19" s="8"/>
      <c r="D19" s="8"/>
      <c r="E19" s="8"/>
      <c r="F19" s="8"/>
      <c r="G19" s="8"/>
    </row>
    <row r="20">
      <c r="A20" s="8"/>
      <c r="B20" s="8"/>
      <c r="C20" s="8"/>
      <c r="D20" s="8"/>
      <c r="E20" s="8"/>
      <c r="F20" s="8"/>
      <c r="G20" s="8"/>
    </row>
    <row r="21" ht="15.75" customHeight="1">
      <c r="A21" s="8"/>
      <c r="B21" s="8"/>
      <c r="C21" s="8"/>
      <c r="D21" s="8"/>
      <c r="E21" s="8"/>
      <c r="F21" s="8"/>
      <c r="G21" s="8"/>
    </row>
    <row r="22" ht="15.75" customHeight="1">
      <c r="A22" s="8"/>
      <c r="B22" s="8"/>
      <c r="C22" s="8"/>
      <c r="D22" s="8"/>
      <c r="E22" s="8"/>
      <c r="F22" s="8"/>
      <c r="G22" s="8"/>
    </row>
    <row r="23" ht="15.75" customHeight="1">
      <c r="A23" s="8"/>
      <c r="B23" s="8"/>
      <c r="C23" s="8"/>
      <c r="D23" s="8"/>
      <c r="E23" s="8"/>
      <c r="F23" s="8"/>
      <c r="G23" s="8"/>
    </row>
    <row r="24" ht="15.75" customHeight="1">
      <c r="A24" s="8"/>
      <c r="B24" s="8"/>
      <c r="C24" s="8"/>
      <c r="D24" s="8"/>
      <c r="E24" s="8"/>
      <c r="F24" s="8"/>
      <c r="G24" s="8"/>
    </row>
    <row r="25" ht="15.75" customHeight="1">
      <c r="A25" s="8"/>
      <c r="B25" s="8"/>
      <c r="C25" s="8"/>
      <c r="D25" s="8"/>
      <c r="E25" s="8"/>
      <c r="F25" s="8"/>
      <c r="G25" s="8"/>
    </row>
    <row r="26" ht="15.75" customHeight="1">
      <c r="A26" s="8"/>
      <c r="B26" s="8"/>
      <c r="C26" s="8"/>
      <c r="D26" s="8"/>
      <c r="E26" s="8"/>
      <c r="F26" s="8"/>
      <c r="G26" s="8"/>
    </row>
    <row r="27" ht="15.75" customHeight="1">
      <c r="A27" s="8"/>
      <c r="B27" s="8"/>
      <c r="C27" s="8"/>
      <c r="D27" s="8"/>
      <c r="E27" s="8"/>
      <c r="F27" s="8"/>
      <c r="G27" s="8"/>
    </row>
    <row r="28" ht="15.75" customHeight="1">
      <c r="A28" s="8"/>
      <c r="B28" s="8"/>
      <c r="C28" s="8"/>
      <c r="D28" s="8"/>
      <c r="E28" s="8"/>
      <c r="F28" s="8"/>
      <c r="G28" s="8"/>
    </row>
    <row r="29" ht="15.75" customHeight="1">
      <c r="A29" s="8"/>
      <c r="B29" s="8"/>
      <c r="C29" s="8"/>
      <c r="D29" s="8"/>
      <c r="E29" s="8"/>
      <c r="F29" s="8"/>
      <c r="G29" s="8"/>
    </row>
    <row r="30" ht="15.75" customHeight="1">
      <c r="A30" s="8"/>
      <c r="B30" s="8"/>
      <c r="C30" s="8"/>
      <c r="D30" s="8"/>
      <c r="E30" s="8"/>
      <c r="F30" s="8"/>
      <c r="G30" s="8"/>
    </row>
    <row r="31" ht="15.75" customHeight="1">
      <c r="A31" s="8"/>
      <c r="B31" s="8"/>
      <c r="C31" s="8"/>
      <c r="D31" s="8"/>
      <c r="E31" s="8"/>
      <c r="F31" s="8"/>
      <c r="G31" s="8"/>
    </row>
    <row r="32" ht="15.75" customHeight="1">
      <c r="A32" s="8"/>
      <c r="B32" s="8"/>
      <c r="C32" s="8"/>
      <c r="D32" s="8"/>
      <c r="E32" s="8"/>
      <c r="F32" s="8"/>
      <c r="G32" s="8"/>
    </row>
    <row r="33" ht="15.75" customHeight="1">
      <c r="A33" s="8"/>
      <c r="B33" s="8"/>
      <c r="C33" s="8"/>
      <c r="D33" s="8"/>
      <c r="E33" s="8"/>
      <c r="F33" s="8"/>
      <c r="G33" s="8"/>
    </row>
    <row r="34" ht="15.75" customHeight="1">
      <c r="A34" s="8"/>
      <c r="B34" s="8"/>
      <c r="C34" s="8"/>
      <c r="D34" s="8"/>
      <c r="E34" s="8"/>
      <c r="F34" s="8"/>
      <c r="G34" s="8"/>
    </row>
    <row r="35" ht="15.75" customHeight="1">
      <c r="A35" s="8"/>
      <c r="B35" s="8"/>
      <c r="C35" s="8"/>
      <c r="D35" s="8"/>
      <c r="E35" s="8"/>
      <c r="F35" s="8"/>
      <c r="G35" s="8"/>
    </row>
    <row r="36" ht="15.75" customHeight="1">
      <c r="A36" s="8"/>
      <c r="B36" s="8"/>
      <c r="C36" s="8"/>
      <c r="D36" s="8"/>
      <c r="E36" s="8"/>
      <c r="F36" s="8"/>
      <c r="G36" s="8"/>
    </row>
    <row r="37" ht="15.75" customHeight="1">
      <c r="A37" s="8"/>
      <c r="B37" s="8"/>
      <c r="C37" s="8"/>
      <c r="D37" s="8"/>
      <c r="E37" s="8"/>
      <c r="F37" s="8"/>
      <c r="G37" s="8"/>
    </row>
    <row r="38" ht="15.75" customHeight="1">
      <c r="A38" s="8"/>
      <c r="B38" s="8"/>
      <c r="C38" s="8"/>
      <c r="D38" s="8"/>
      <c r="E38" s="8"/>
      <c r="F38" s="8"/>
      <c r="G38" s="8"/>
    </row>
    <row r="39" ht="15.75" customHeight="1">
      <c r="A39" s="8"/>
      <c r="B39" s="8"/>
      <c r="C39" s="8"/>
      <c r="D39" s="8"/>
      <c r="E39" s="8"/>
      <c r="F39" s="8"/>
      <c r="G39" s="8"/>
    </row>
    <row r="40" ht="15.75" customHeight="1">
      <c r="A40" s="8"/>
      <c r="B40" s="8"/>
      <c r="C40" s="8"/>
      <c r="D40" s="8"/>
      <c r="E40" s="8"/>
      <c r="F40" s="8"/>
      <c r="G40" s="8"/>
    </row>
    <row r="41" ht="15.75" customHeight="1">
      <c r="A41" s="8"/>
      <c r="B41" s="8"/>
      <c r="C41" s="8"/>
      <c r="D41" s="8"/>
      <c r="E41" s="8"/>
      <c r="F41" s="8"/>
      <c r="G41" s="8"/>
    </row>
    <row r="42" ht="15.75" customHeight="1">
      <c r="A42" s="8"/>
      <c r="B42" s="8"/>
      <c r="C42" s="8"/>
      <c r="D42" s="8"/>
      <c r="E42" s="8"/>
      <c r="F42" s="8"/>
      <c r="G42" s="8"/>
    </row>
    <row r="43" ht="15.75" customHeight="1">
      <c r="A43" s="8"/>
      <c r="B43" s="8"/>
      <c r="C43" s="8"/>
      <c r="D43" s="8"/>
      <c r="E43" s="8"/>
      <c r="F43" s="8"/>
      <c r="G43" s="8"/>
    </row>
    <row r="44" ht="15.75" customHeight="1">
      <c r="A44" s="8"/>
      <c r="B44" s="8"/>
      <c r="C44" s="8"/>
      <c r="D44" s="8"/>
      <c r="E44" s="8"/>
      <c r="F44" s="8"/>
      <c r="G44" s="8"/>
    </row>
    <row r="45" ht="15.75" customHeight="1">
      <c r="A45" s="8"/>
      <c r="B45" s="8"/>
      <c r="C45" s="8"/>
      <c r="D45" s="8"/>
      <c r="E45" s="8"/>
      <c r="F45" s="8"/>
      <c r="G45" s="8"/>
    </row>
    <row r="46" ht="15.75" customHeight="1">
      <c r="A46" s="8"/>
      <c r="B46" s="8"/>
      <c r="C46" s="8"/>
      <c r="D46" s="8"/>
      <c r="E46" s="8"/>
      <c r="F46" s="8"/>
      <c r="G46" s="8"/>
    </row>
    <row r="47" ht="15.75" customHeight="1">
      <c r="A47" s="8"/>
      <c r="B47" s="8"/>
      <c r="C47" s="8"/>
      <c r="D47" s="8"/>
      <c r="E47" s="8"/>
      <c r="F47" s="8"/>
      <c r="G47" s="8"/>
    </row>
    <row r="48" ht="15.75" customHeight="1">
      <c r="A48" s="8"/>
      <c r="B48" s="8"/>
      <c r="C48" s="8"/>
      <c r="D48" s="8"/>
      <c r="E48" s="8"/>
      <c r="F48" s="8"/>
      <c r="G48" s="8"/>
    </row>
    <row r="49" ht="15.75" customHeight="1">
      <c r="A49" s="8"/>
      <c r="B49" s="8"/>
      <c r="C49" s="8"/>
      <c r="D49" s="8"/>
      <c r="E49" s="8"/>
      <c r="F49" s="8"/>
      <c r="G49" s="8"/>
    </row>
    <row r="50" ht="15.75" customHeight="1">
      <c r="A50" s="8"/>
      <c r="B50" s="8"/>
      <c r="C50" s="8"/>
      <c r="D50" s="8"/>
      <c r="E50" s="8"/>
      <c r="F50" s="8"/>
      <c r="G50" s="8"/>
    </row>
    <row r="51" ht="15.75" customHeight="1">
      <c r="A51" s="8"/>
      <c r="B51" s="8"/>
      <c r="C51" s="8"/>
      <c r="D51" s="8"/>
      <c r="E51" s="8"/>
      <c r="F51" s="8"/>
      <c r="G51" s="8"/>
    </row>
    <row r="52" ht="15.75" customHeight="1">
      <c r="A52" s="8"/>
      <c r="B52" s="8"/>
      <c r="C52" s="8"/>
      <c r="D52" s="8"/>
      <c r="E52" s="8"/>
      <c r="F52" s="8"/>
      <c r="G52" s="8"/>
    </row>
    <row r="53" ht="15.75" customHeight="1">
      <c r="A53" s="8"/>
      <c r="B53" s="8"/>
      <c r="C53" s="8"/>
      <c r="D53" s="8"/>
      <c r="E53" s="8"/>
      <c r="F53" s="8"/>
      <c r="G53" s="8"/>
    </row>
    <row r="54" ht="15.75" customHeight="1">
      <c r="A54" s="8"/>
      <c r="B54" s="8"/>
      <c r="C54" s="8"/>
      <c r="D54" s="8"/>
      <c r="E54" s="8"/>
      <c r="F54" s="8"/>
      <c r="G54" s="8"/>
    </row>
    <row r="55" ht="15.75" customHeight="1">
      <c r="A55" s="8"/>
      <c r="B55" s="8"/>
      <c r="C55" s="8"/>
      <c r="D55" s="8"/>
      <c r="E55" s="8"/>
      <c r="F55" s="8"/>
      <c r="G55" s="8"/>
    </row>
    <row r="56" ht="15.75" customHeight="1">
      <c r="A56" s="8"/>
      <c r="B56" s="8"/>
      <c r="C56" s="8"/>
      <c r="D56" s="8"/>
      <c r="E56" s="8"/>
      <c r="F56" s="8"/>
      <c r="G56" s="8"/>
    </row>
    <row r="57" ht="15.75" customHeight="1">
      <c r="A57" s="8"/>
      <c r="B57" s="8"/>
      <c r="C57" s="8"/>
      <c r="D57" s="8"/>
      <c r="E57" s="8"/>
      <c r="F57" s="8"/>
      <c r="G57" s="8"/>
    </row>
    <row r="58" ht="15.75" customHeight="1">
      <c r="A58" s="8"/>
      <c r="B58" s="8"/>
      <c r="C58" s="8"/>
      <c r="D58" s="8"/>
      <c r="E58" s="8"/>
      <c r="F58" s="8"/>
      <c r="G58" s="8"/>
    </row>
    <row r="59" ht="15.75" customHeight="1">
      <c r="A59" s="8"/>
      <c r="B59" s="8"/>
      <c r="C59" s="8"/>
      <c r="D59" s="8"/>
      <c r="E59" s="8"/>
      <c r="F59" s="8"/>
      <c r="G59" s="8"/>
    </row>
    <row r="60" ht="15.75" customHeight="1">
      <c r="A60" s="8"/>
      <c r="B60" s="8"/>
      <c r="C60" s="8"/>
      <c r="D60" s="8"/>
      <c r="E60" s="8"/>
      <c r="F60" s="8"/>
      <c r="G60" s="8"/>
    </row>
    <row r="61" ht="15.75" customHeight="1">
      <c r="A61" s="8"/>
      <c r="B61" s="8"/>
      <c r="C61" s="8"/>
      <c r="D61" s="8"/>
      <c r="E61" s="8"/>
      <c r="F61" s="8"/>
      <c r="G61" s="8"/>
    </row>
    <row r="62" ht="15.75" customHeight="1">
      <c r="A62" s="8"/>
      <c r="B62" s="8"/>
      <c r="C62" s="8"/>
      <c r="D62" s="8"/>
      <c r="E62" s="8"/>
      <c r="F62" s="8"/>
      <c r="G62" s="8"/>
    </row>
    <row r="63" ht="15.75" customHeight="1">
      <c r="A63" s="8"/>
      <c r="B63" s="8"/>
      <c r="C63" s="8"/>
      <c r="D63" s="8"/>
      <c r="E63" s="8"/>
      <c r="F63" s="8"/>
      <c r="G63" s="8"/>
    </row>
    <row r="64" ht="15.75" customHeight="1">
      <c r="A64" s="8"/>
      <c r="B64" s="8"/>
      <c r="C64" s="8"/>
      <c r="D64" s="8"/>
      <c r="E64" s="8"/>
      <c r="F64" s="8"/>
      <c r="G64" s="8"/>
    </row>
    <row r="65" ht="15.75" customHeight="1">
      <c r="A65" s="8"/>
      <c r="B65" s="8"/>
      <c r="C65" s="8"/>
      <c r="D65" s="8"/>
      <c r="E65" s="8"/>
      <c r="F65" s="8"/>
      <c r="G65" s="8"/>
    </row>
    <row r="66" ht="15.75" customHeight="1">
      <c r="A66" s="8"/>
      <c r="B66" s="8"/>
      <c r="C66" s="8"/>
      <c r="D66" s="8"/>
      <c r="E66" s="8"/>
      <c r="F66" s="8"/>
      <c r="G66" s="8"/>
    </row>
    <row r="67" ht="15.75" customHeight="1">
      <c r="A67" s="8"/>
      <c r="B67" s="8"/>
      <c r="C67" s="8"/>
      <c r="D67" s="8"/>
      <c r="E67" s="8"/>
      <c r="F67" s="8"/>
      <c r="G67" s="8"/>
    </row>
    <row r="68" ht="15.75" customHeight="1">
      <c r="A68" s="8"/>
      <c r="B68" s="8"/>
      <c r="C68" s="8"/>
      <c r="D68" s="8"/>
      <c r="E68" s="8"/>
      <c r="F68" s="8"/>
      <c r="G68" s="8"/>
    </row>
    <row r="69" ht="15.75" customHeight="1">
      <c r="A69" s="8"/>
      <c r="B69" s="8"/>
      <c r="C69" s="8"/>
      <c r="D69" s="8"/>
      <c r="E69" s="8"/>
      <c r="F69" s="8"/>
      <c r="G69" s="8"/>
    </row>
    <row r="70" ht="15.75" customHeight="1">
      <c r="A70" s="8"/>
      <c r="B70" s="8"/>
      <c r="C70" s="8"/>
      <c r="D70" s="8"/>
      <c r="E70" s="8"/>
      <c r="F70" s="8"/>
      <c r="G70" s="8"/>
    </row>
    <row r="71" ht="15.75" customHeight="1">
      <c r="A71" s="8"/>
      <c r="B71" s="8"/>
      <c r="C71" s="8"/>
      <c r="D71" s="8"/>
      <c r="E71" s="8"/>
      <c r="F71" s="8"/>
      <c r="G71" s="8"/>
    </row>
    <row r="72" ht="15.75" customHeight="1">
      <c r="A72" s="8"/>
      <c r="B72" s="8"/>
      <c r="C72" s="8"/>
      <c r="D72" s="8"/>
      <c r="E72" s="8"/>
      <c r="F72" s="8"/>
      <c r="G72" s="8"/>
    </row>
    <row r="73" ht="15.75" customHeight="1">
      <c r="A73" s="8"/>
      <c r="B73" s="8"/>
      <c r="C73" s="8"/>
      <c r="D73" s="8"/>
      <c r="E73" s="8"/>
      <c r="F73" s="8"/>
      <c r="G73" s="8"/>
    </row>
    <row r="74" ht="15.75" customHeight="1">
      <c r="A74" s="8"/>
      <c r="B74" s="8"/>
      <c r="C74" s="8"/>
      <c r="D74" s="8"/>
      <c r="E74" s="8"/>
      <c r="F74" s="8"/>
      <c r="G74" s="8"/>
    </row>
    <row r="75" ht="15.75" customHeight="1">
      <c r="A75" s="8"/>
      <c r="B75" s="8"/>
      <c r="C75" s="8"/>
      <c r="D75" s="8"/>
      <c r="E75" s="8"/>
      <c r="F75" s="8"/>
      <c r="G75" s="8"/>
    </row>
    <row r="76" ht="15.75" customHeight="1">
      <c r="A76" s="8"/>
      <c r="B76" s="8"/>
      <c r="C76" s="8"/>
      <c r="D76" s="8"/>
      <c r="E76" s="8"/>
      <c r="F76" s="8"/>
      <c r="G76" s="8"/>
    </row>
    <row r="77" ht="15.75" customHeight="1">
      <c r="A77" s="8"/>
      <c r="B77" s="8"/>
      <c r="C77" s="8"/>
      <c r="D77" s="8"/>
      <c r="E77" s="8"/>
      <c r="F77" s="8"/>
      <c r="G77" s="8"/>
    </row>
    <row r="78" ht="15.75" customHeight="1">
      <c r="A78" s="8"/>
      <c r="B78" s="8"/>
      <c r="C78" s="8"/>
      <c r="D78" s="8"/>
      <c r="E78" s="8"/>
      <c r="F78" s="8"/>
      <c r="G78" s="8"/>
    </row>
    <row r="79" ht="15.75" customHeight="1">
      <c r="A79" s="8"/>
      <c r="B79" s="8"/>
      <c r="C79" s="8"/>
      <c r="D79" s="8"/>
      <c r="E79" s="8"/>
      <c r="F79" s="8"/>
      <c r="G79" s="8"/>
    </row>
    <row r="80" ht="15.75" customHeight="1">
      <c r="A80" s="8"/>
      <c r="B80" s="8"/>
      <c r="C80" s="8"/>
      <c r="D80" s="8"/>
      <c r="E80" s="8"/>
      <c r="F80" s="8"/>
      <c r="G80" s="8"/>
    </row>
    <row r="81" ht="15.75" customHeight="1">
      <c r="A81" s="8"/>
      <c r="B81" s="8"/>
      <c r="C81" s="8"/>
      <c r="D81" s="8"/>
      <c r="E81" s="8"/>
      <c r="F81" s="8"/>
      <c r="G81" s="8"/>
    </row>
    <row r="82" ht="15.75" customHeight="1">
      <c r="A82" s="8"/>
      <c r="B82" s="8"/>
      <c r="C82" s="8"/>
      <c r="D82" s="8"/>
      <c r="E82" s="8"/>
      <c r="F82" s="8"/>
      <c r="G82" s="8"/>
    </row>
    <row r="83" ht="15.75" customHeight="1">
      <c r="A83" s="8"/>
      <c r="B83" s="8"/>
      <c r="C83" s="8"/>
      <c r="D83" s="8"/>
      <c r="E83" s="8"/>
      <c r="F83" s="8"/>
      <c r="G83" s="8"/>
    </row>
    <row r="84" ht="15.75" customHeight="1">
      <c r="A84" s="8"/>
      <c r="B84" s="8"/>
      <c r="C84" s="8"/>
      <c r="D84" s="8"/>
      <c r="E84" s="8"/>
      <c r="F84" s="8"/>
      <c r="G84" s="8"/>
    </row>
    <row r="85" ht="15.75" customHeight="1">
      <c r="A85" s="8"/>
      <c r="B85" s="8"/>
      <c r="C85" s="8"/>
      <c r="D85" s="8"/>
      <c r="E85" s="8"/>
      <c r="F85" s="8"/>
      <c r="G85" s="8"/>
    </row>
    <row r="86" ht="15.75" customHeight="1">
      <c r="A86" s="8"/>
      <c r="B86" s="8"/>
      <c r="C86" s="8"/>
      <c r="D86" s="8"/>
      <c r="E86" s="8"/>
      <c r="F86" s="8"/>
      <c r="G86" s="8"/>
    </row>
    <row r="87" ht="15.75" customHeight="1">
      <c r="A87" s="8"/>
      <c r="B87" s="8"/>
      <c r="C87" s="8"/>
      <c r="D87" s="8"/>
      <c r="E87" s="8"/>
      <c r="F87" s="8"/>
      <c r="G87" s="8"/>
    </row>
    <row r="88" ht="15.75" customHeight="1">
      <c r="A88" s="8"/>
      <c r="B88" s="8"/>
      <c r="C88" s="8"/>
      <c r="D88" s="8"/>
      <c r="E88" s="8"/>
      <c r="F88" s="8"/>
      <c r="G88" s="8"/>
    </row>
    <row r="89" ht="15.75" customHeight="1">
      <c r="A89" s="8"/>
      <c r="B89" s="8"/>
      <c r="C89" s="8"/>
      <c r="D89" s="8"/>
      <c r="E89" s="8"/>
      <c r="F89" s="8"/>
      <c r="G89" s="8"/>
    </row>
    <row r="90" ht="15.75" customHeight="1">
      <c r="A90" s="8"/>
      <c r="B90" s="8"/>
      <c r="C90" s="8"/>
      <c r="D90" s="8"/>
      <c r="E90" s="8"/>
      <c r="F90" s="8"/>
      <c r="G90" s="8"/>
    </row>
    <row r="91" ht="15.75" customHeight="1">
      <c r="A91" s="8"/>
      <c r="B91" s="8"/>
      <c r="C91" s="8"/>
      <c r="D91" s="8"/>
      <c r="E91" s="8"/>
      <c r="F91" s="8"/>
      <c r="G91" s="8"/>
    </row>
    <row r="92" ht="15.75" customHeight="1">
      <c r="A92" s="8"/>
      <c r="B92" s="8"/>
      <c r="C92" s="8"/>
      <c r="D92" s="8"/>
      <c r="E92" s="8"/>
      <c r="F92" s="8"/>
      <c r="G92" s="8"/>
    </row>
    <row r="93" ht="15.75" customHeight="1">
      <c r="A93" s="8"/>
      <c r="B93" s="8"/>
      <c r="C93" s="8"/>
      <c r="D93" s="8"/>
      <c r="E93" s="8"/>
      <c r="F93" s="8"/>
      <c r="G93" s="8"/>
    </row>
    <row r="94" ht="15.75" customHeight="1">
      <c r="A94" s="8"/>
      <c r="B94" s="8"/>
      <c r="C94" s="8"/>
      <c r="D94" s="8"/>
      <c r="E94" s="8"/>
      <c r="F94" s="8"/>
      <c r="G94" s="8"/>
    </row>
    <row r="95" ht="15.75" customHeight="1">
      <c r="A95" s="8"/>
      <c r="B95" s="8"/>
      <c r="C95" s="8"/>
      <c r="D95" s="8"/>
      <c r="E95" s="8"/>
      <c r="F95" s="8"/>
      <c r="G95" s="8"/>
    </row>
    <row r="96" ht="15.75" customHeight="1">
      <c r="A96" s="8"/>
      <c r="B96" s="8"/>
      <c r="C96" s="8"/>
      <c r="D96" s="8"/>
      <c r="E96" s="8"/>
      <c r="F96" s="8"/>
      <c r="G96" s="8"/>
    </row>
    <row r="97" ht="15.75" customHeight="1">
      <c r="A97" s="8"/>
      <c r="B97" s="8"/>
      <c r="C97" s="8"/>
      <c r="D97" s="8"/>
      <c r="E97" s="8"/>
      <c r="F97" s="8"/>
      <c r="G97" s="8"/>
    </row>
    <row r="98" ht="15.75" customHeight="1">
      <c r="A98" s="8"/>
      <c r="B98" s="8"/>
      <c r="C98" s="8"/>
      <c r="D98" s="8"/>
      <c r="E98" s="8"/>
      <c r="F98" s="8"/>
      <c r="G98" s="8"/>
    </row>
    <row r="99" ht="15.75" customHeight="1">
      <c r="A99" s="8"/>
      <c r="B99" s="8"/>
      <c r="C99" s="8"/>
      <c r="D99" s="8"/>
      <c r="E99" s="8"/>
      <c r="F99" s="8"/>
      <c r="G99" s="8"/>
    </row>
    <row r="100" ht="15.75" customHeight="1">
      <c r="A100" s="8"/>
      <c r="B100" s="8"/>
      <c r="C100" s="8"/>
      <c r="D100" s="8"/>
      <c r="E100" s="8"/>
      <c r="F100" s="8"/>
      <c r="G100" s="8"/>
    </row>
    <row r="101" ht="15.75" customHeight="1">
      <c r="A101" s="8"/>
      <c r="B101" s="8"/>
      <c r="C101" s="8"/>
      <c r="D101" s="8"/>
      <c r="E101" s="8"/>
      <c r="F101" s="8"/>
      <c r="G101" s="8"/>
    </row>
    <row r="102" ht="15.75" customHeight="1">
      <c r="A102" s="8"/>
      <c r="B102" s="8"/>
      <c r="C102" s="8"/>
      <c r="D102" s="8"/>
      <c r="E102" s="8"/>
      <c r="F102" s="8"/>
      <c r="G102" s="8"/>
    </row>
    <row r="103" ht="15.75" customHeight="1">
      <c r="A103" s="8"/>
      <c r="B103" s="8"/>
      <c r="C103" s="8"/>
      <c r="D103" s="8"/>
      <c r="E103" s="8"/>
      <c r="F103" s="8"/>
      <c r="G103" s="8"/>
    </row>
    <row r="104" ht="15.75" customHeight="1">
      <c r="A104" s="8"/>
      <c r="B104" s="8"/>
      <c r="C104" s="8"/>
      <c r="D104" s="8"/>
      <c r="E104" s="8"/>
      <c r="F104" s="8"/>
      <c r="G104" s="8"/>
    </row>
    <row r="105" ht="15.75" customHeight="1">
      <c r="A105" s="8"/>
      <c r="B105" s="8"/>
      <c r="C105" s="8"/>
      <c r="D105" s="8"/>
      <c r="E105" s="8"/>
      <c r="F105" s="8"/>
      <c r="G105" s="8"/>
    </row>
    <row r="106" ht="15.75" customHeight="1">
      <c r="A106" s="8"/>
      <c r="B106" s="8"/>
      <c r="C106" s="8"/>
      <c r="D106" s="8"/>
      <c r="E106" s="8"/>
      <c r="F106" s="8"/>
      <c r="G106" s="8"/>
    </row>
    <row r="107" ht="15.75" customHeight="1">
      <c r="A107" s="8"/>
      <c r="B107" s="8"/>
      <c r="C107" s="8"/>
      <c r="D107" s="8"/>
      <c r="E107" s="8"/>
      <c r="F107" s="8"/>
      <c r="G107" s="8"/>
    </row>
    <row r="108" ht="15.75" customHeight="1">
      <c r="A108" s="8"/>
      <c r="B108" s="8"/>
      <c r="C108" s="8"/>
      <c r="D108" s="8"/>
      <c r="E108" s="8"/>
      <c r="F108" s="8"/>
      <c r="G108" s="8"/>
    </row>
    <row r="109" ht="15.75" customHeight="1">
      <c r="A109" s="8"/>
      <c r="B109" s="8"/>
      <c r="C109" s="8"/>
      <c r="D109" s="8"/>
      <c r="E109" s="8"/>
      <c r="F109" s="8"/>
      <c r="G109" s="8"/>
    </row>
    <row r="110" ht="15.75" customHeight="1">
      <c r="A110" s="8"/>
      <c r="B110" s="8"/>
      <c r="C110" s="8"/>
      <c r="D110" s="8"/>
      <c r="E110" s="8"/>
      <c r="F110" s="8"/>
      <c r="G110" s="8"/>
    </row>
    <row r="111" ht="15.75" customHeight="1">
      <c r="A111" s="8"/>
      <c r="B111" s="8"/>
      <c r="C111" s="8"/>
      <c r="D111" s="8"/>
      <c r="E111" s="8"/>
      <c r="F111" s="8"/>
      <c r="G111" s="8"/>
    </row>
    <row r="112" ht="15.75" customHeight="1">
      <c r="A112" s="8"/>
      <c r="B112" s="8"/>
      <c r="C112" s="8"/>
      <c r="D112" s="8"/>
      <c r="E112" s="8"/>
      <c r="F112" s="8"/>
      <c r="G112" s="8"/>
    </row>
    <row r="113" ht="15.75" customHeight="1">
      <c r="A113" s="8"/>
      <c r="B113" s="8"/>
      <c r="C113" s="8"/>
      <c r="D113" s="8"/>
      <c r="E113" s="8"/>
      <c r="F113" s="8"/>
      <c r="G113" s="8"/>
    </row>
    <row r="114" ht="15.75" customHeight="1">
      <c r="A114" s="8"/>
      <c r="B114" s="8"/>
      <c r="C114" s="8"/>
      <c r="D114" s="8"/>
      <c r="E114" s="8"/>
      <c r="F114" s="8"/>
      <c r="G114" s="8"/>
    </row>
    <row r="115" ht="15.75" customHeight="1">
      <c r="A115" s="8"/>
      <c r="B115" s="8"/>
      <c r="C115" s="8"/>
      <c r="D115" s="8"/>
      <c r="E115" s="8"/>
      <c r="F115" s="8"/>
      <c r="G115" s="8"/>
    </row>
    <row r="116" ht="15.75" customHeight="1">
      <c r="A116" s="8"/>
      <c r="B116" s="8"/>
      <c r="C116" s="8"/>
      <c r="D116" s="8"/>
      <c r="E116" s="8"/>
      <c r="F116" s="8"/>
      <c r="G116" s="8"/>
    </row>
    <row r="117" ht="15.75" customHeight="1">
      <c r="A117" s="8"/>
      <c r="B117" s="8"/>
      <c r="C117" s="8"/>
      <c r="D117" s="8"/>
      <c r="E117" s="8"/>
      <c r="F117" s="8"/>
      <c r="G117" s="8"/>
    </row>
    <row r="118" ht="15.75" customHeight="1">
      <c r="A118" s="8"/>
      <c r="B118" s="8"/>
      <c r="C118" s="8"/>
      <c r="D118" s="8"/>
      <c r="E118" s="8"/>
      <c r="F118" s="8"/>
      <c r="G118" s="8"/>
    </row>
    <row r="119" ht="15.75" customHeight="1">
      <c r="A119" s="8"/>
      <c r="B119" s="8"/>
      <c r="C119" s="8"/>
      <c r="D119" s="8"/>
      <c r="E119" s="8"/>
      <c r="F119" s="8"/>
      <c r="G119" s="8"/>
    </row>
    <row r="120" ht="15.75" customHeight="1">
      <c r="A120" s="8"/>
      <c r="B120" s="8"/>
      <c r="C120" s="8"/>
      <c r="D120" s="8"/>
      <c r="E120" s="8"/>
      <c r="F120" s="8"/>
      <c r="G120" s="8"/>
    </row>
    <row r="121" ht="15.75" customHeight="1">
      <c r="A121" s="8"/>
      <c r="B121" s="8"/>
      <c r="C121" s="8"/>
      <c r="D121" s="8"/>
      <c r="E121" s="8"/>
      <c r="F121" s="8"/>
      <c r="G121" s="8"/>
    </row>
    <row r="122" ht="15.75" customHeight="1">
      <c r="A122" s="8"/>
      <c r="B122" s="8"/>
      <c r="C122" s="8"/>
      <c r="D122" s="8"/>
      <c r="E122" s="8"/>
      <c r="F122" s="8"/>
      <c r="G122" s="8"/>
    </row>
    <row r="123" ht="15.75" customHeight="1">
      <c r="A123" s="8"/>
      <c r="B123" s="8"/>
      <c r="C123" s="8"/>
      <c r="D123" s="8"/>
      <c r="E123" s="8"/>
      <c r="F123" s="8"/>
      <c r="G123" s="8"/>
    </row>
    <row r="124" ht="15.75" customHeight="1">
      <c r="A124" s="8"/>
      <c r="B124" s="8"/>
      <c r="C124" s="8"/>
      <c r="D124" s="8"/>
      <c r="E124" s="8"/>
      <c r="F124" s="8"/>
      <c r="G124" s="8"/>
    </row>
    <row r="125" ht="15.75" customHeight="1">
      <c r="A125" s="8"/>
      <c r="B125" s="8"/>
      <c r="C125" s="8"/>
      <c r="D125" s="8"/>
      <c r="E125" s="8"/>
      <c r="F125" s="8"/>
      <c r="G125" s="8"/>
    </row>
    <row r="126" ht="15.75" customHeight="1">
      <c r="A126" s="8"/>
      <c r="B126" s="8"/>
      <c r="C126" s="8"/>
      <c r="D126" s="8"/>
      <c r="E126" s="8"/>
      <c r="F126" s="8"/>
      <c r="G126" s="8"/>
    </row>
    <row r="127" ht="15.75" customHeight="1">
      <c r="A127" s="8"/>
      <c r="B127" s="8"/>
      <c r="C127" s="8"/>
      <c r="D127" s="8"/>
      <c r="E127" s="8"/>
      <c r="F127" s="8"/>
      <c r="G127" s="8"/>
    </row>
    <row r="128" ht="15.75" customHeight="1">
      <c r="A128" s="8"/>
      <c r="B128" s="8"/>
      <c r="C128" s="8"/>
      <c r="D128" s="8"/>
      <c r="E128" s="8"/>
      <c r="F128" s="8"/>
      <c r="G128" s="8"/>
    </row>
    <row r="129" ht="15.75" customHeight="1">
      <c r="A129" s="8"/>
      <c r="B129" s="8"/>
      <c r="C129" s="8"/>
      <c r="D129" s="8"/>
      <c r="E129" s="8"/>
      <c r="F129" s="8"/>
      <c r="G129" s="8"/>
    </row>
    <row r="130" ht="15.75" customHeight="1">
      <c r="A130" s="8"/>
      <c r="B130" s="8"/>
      <c r="C130" s="8"/>
      <c r="D130" s="8"/>
      <c r="E130" s="8"/>
      <c r="F130" s="8"/>
      <c r="G130" s="8"/>
    </row>
    <row r="131" ht="15.75" customHeight="1">
      <c r="A131" s="8"/>
      <c r="B131" s="8"/>
      <c r="C131" s="8"/>
      <c r="D131" s="8"/>
      <c r="E131" s="8"/>
      <c r="F131" s="8"/>
      <c r="G131" s="8"/>
    </row>
    <row r="132" ht="15.75" customHeight="1">
      <c r="A132" s="8"/>
      <c r="B132" s="8"/>
      <c r="C132" s="8"/>
      <c r="D132" s="8"/>
      <c r="E132" s="8"/>
      <c r="F132" s="8"/>
      <c r="G132" s="8"/>
    </row>
    <row r="133" ht="15.75" customHeight="1">
      <c r="A133" s="8"/>
      <c r="B133" s="8"/>
      <c r="C133" s="8"/>
      <c r="D133" s="8"/>
      <c r="E133" s="8"/>
      <c r="F133" s="8"/>
      <c r="G133" s="8"/>
    </row>
    <row r="134" ht="15.75" customHeight="1">
      <c r="A134" s="8"/>
      <c r="B134" s="8"/>
      <c r="C134" s="8"/>
      <c r="D134" s="8"/>
      <c r="E134" s="8"/>
      <c r="F134" s="8"/>
      <c r="G134" s="8"/>
    </row>
    <row r="135" ht="15.75" customHeight="1">
      <c r="A135" s="8"/>
      <c r="B135" s="8"/>
      <c r="C135" s="8"/>
      <c r="D135" s="8"/>
      <c r="E135" s="8"/>
      <c r="F135" s="8"/>
      <c r="G135" s="8"/>
    </row>
    <row r="136" ht="15.75" customHeight="1">
      <c r="A136" s="8"/>
      <c r="B136" s="8"/>
      <c r="C136" s="8"/>
      <c r="D136" s="8"/>
      <c r="E136" s="8"/>
      <c r="F136" s="8"/>
      <c r="G136" s="8"/>
    </row>
    <row r="137" ht="15.75" customHeight="1">
      <c r="A137" s="8"/>
      <c r="B137" s="8"/>
      <c r="C137" s="8"/>
      <c r="D137" s="8"/>
      <c r="E137" s="8"/>
      <c r="F137" s="8"/>
      <c r="G137" s="8"/>
    </row>
    <row r="138" ht="15.75" customHeight="1">
      <c r="A138" s="8"/>
      <c r="B138" s="8"/>
      <c r="C138" s="8"/>
      <c r="D138" s="8"/>
      <c r="E138" s="8"/>
      <c r="F138" s="8"/>
      <c r="G138" s="8"/>
    </row>
    <row r="139" ht="15.75" customHeight="1">
      <c r="A139" s="8"/>
      <c r="B139" s="8"/>
      <c r="C139" s="8"/>
      <c r="D139" s="8"/>
      <c r="E139" s="8"/>
      <c r="F139" s="8"/>
      <c r="G139" s="8"/>
    </row>
    <row r="140" ht="15.75" customHeight="1">
      <c r="A140" s="8"/>
      <c r="B140" s="8"/>
      <c r="C140" s="8"/>
      <c r="D140" s="8"/>
      <c r="E140" s="8"/>
      <c r="F140" s="8"/>
      <c r="G140" s="8"/>
    </row>
    <row r="141" ht="15.75" customHeight="1">
      <c r="A141" s="8"/>
      <c r="B141" s="8"/>
      <c r="C141" s="8"/>
      <c r="D141" s="8"/>
      <c r="E141" s="8"/>
      <c r="F141" s="8"/>
      <c r="G141" s="8"/>
    </row>
    <row r="142" ht="15.75" customHeight="1">
      <c r="A142" s="8"/>
      <c r="B142" s="8"/>
      <c r="C142" s="8"/>
      <c r="D142" s="8"/>
      <c r="E142" s="8"/>
      <c r="F142" s="8"/>
      <c r="G142" s="8"/>
    </row>
    <row r="143" ht="15.75" customHeight="1">
      <c r="A143" s="8"/>
      <c r="B143" s="8"/>
      <c r="C143" s="8"/>
      <c r="D143" s="8"/>
      <c r="E143" s="8"/>
      <c r="F143" s="8"/>
      <c r="G143" s="8"/>
    </row>
    <row r="144" ht="15.75" customHeight="1">
      <c r="A144" s="8"/>
      <c r="B144" s="8"/>
      <c r="C144" s="8"/>
      <c r="D144" s="8"/>
      <c r="E144" s="8"/>
      <c r="F144" s="8"/>
      <c r="G144" s="8"/>
    </row>
    <row r="145" ht="15.75" customHeight="1">
      <c r="A145" s="8"/>
      <c r="B145" s="8"/>
      <c r="C145" s="8"/>
      <c r="D145" s="8"/>
      <c r="E145" s="8"/>
      <c r="F145" s="8"/>
      <c r="G145" s="8"/>
    </row>
    <row r="146" ht="15.75" customHeight="1">
      <c r="A146" s="8"/>
      <c r="B146" s="8"/>
      <c r="C146" s="8"/>
      <c r="D146" s="8"/>
      <c r="E146" s="8"/>
      <c r="F146" s="8"/>
      <c r="G146" s="8"/>
    </row>
    <row r="147" ht="15.75" customHeight="1">
      <c r="A147" s="8"/>
      <c r="B147" s="8"/>
      <c r="C147" s="8"/>
      <c r="D147" s="8"/>
      <c r="E147" s="8"/>
      <c r="F147" s="8"/>
      <c r="G147" s="8"/>
    </row>
    <row r="148" ht="15.75" customHeight="1">
      <c r="A148" s="8"/>
      <c r="B148" s="8"/>
      <c r="C148" s="8"/>
      <c r="D148" s="8"/>
      <c r="E148" s="8"/>
      <c r="F148" s="8"/>
      <c r="G148" s="8"/>
    </row>
    <row r="149" ht="15.75" customHeight="1">
      <c r="A149" s="8"/>
      <c r="B149" s="8"/>
      <c r="C149" s="8"/>
      <c r="D149" s="8"/>
      <c r="E149" s="8"/>
      <c r="F149" s="8"/>
      <c r="G149" s="8"/>
    </row>
    <row r="150" ht="15.75" customHeight="1">
      <c r="A150" s="8"/>
      <c r="B150" s="8"/>
      <c r="C150" s="8"/>
      <c r="D150" s="8"/>
      <c r="E150" s="8"/>
      <c r="F150" s="8"/>
      <c r="G150" s="8"/>
    </row>
    <row r="151" ht="15.75" customHeight="1">
      <c r="A151" s="8"/>
      <c r="B151" s="8"/>
      <c r="C151" s="8"/>
      <c r="D151" s="8"/>
      <c r="E151" s="8"/>
      <c r="F151" s="8"/>
      <c r="G151" s="8"/>
    </row>
    <row r="152" ht="15.75" customHeight="1">
      <c r="A152" s="8"/>
      <c r="B152" s="8"/>
      <c r="C152" s="8"/>
      <c r="D152" s="8"/>
      <c r="E152" s="8"/>
      <c r="F152" s="8"/>
      <c r="G152" s="8"/>
    </row>
    <row r="153" ht="15.75" customHeight="1">
      <c r="A153" s="8"/>
      <c r="B153" s="8"/>
      <c r="C153" s="8"/>
      <c r="D153" s="8"/>
      <c r="E153" s="8"/>
      <c r="F153" s="8"/>
      <c r="G153" s="8"/>
    </row>
    <row r="154" ht="15.75" customHeight="1">
      <c r="A154" s="8"/>
      <c r="B154" s="8"/>
      <c r="C154" s="8"/>
      <c r="D154" s="8"/>
      <c r="E154" s="8"/>
      <c r="F154" s="8"/>
      <c r="G154" s="8"/>
    </row>
    <row r="155" ht="15.75" customHeight="1">
      <c r="A155" s="8"/>
      <c r="B155" s="8"/>
      <c r="C155" s="8"/>
      <c r="D155" s="8"/>
      <c r="E155" s="8"/>
      <c r="F155" s="8"/>
      <c r="G155" s="8"/>
    </row>
    <row r="156" ht="15.75" customHeight="1">
      <c r="A156" s="8"/>
      <c r="B156" s="8"/>
      <c r="C156" s="8"/>
      <c r="D156" s="8"/>
      <c r="E156" s="8"/>
      <c r="F156" s="8"/>
      <c r="G156" s="8"/>
    </row>
    <row r="157" ht="15.75" customHeight="1">
      <c r="A157" s="8"/>
      <c r="B157" s="8"/>
      <c r="C157" s="8"/>
      <c r="D157" s="8"/>
      <c r="E157" s="8"/>
      <c r="F157" s="8"/>
      <c r="G157" s="8"/>
    </row>
    <row r="158" ht="15.75" customHeight="1">
      <c r="A158" s="8"/>
      <c r="B158" s="8"/>
      <c r="C158" s="8"/>
      <c r="D158" s="8"/>
      <c r="E158" s="8"/>
      <c r="F158" s="8"/>
      <c r="G158" s="8"/>
    </row>
    <row r="159" ht="15.75" customHeight="1">
      <c r="A159" s="8"/>
      <c r="B159" s="8"/>
      <c r="C159" s="8"/>
      <c r="D159" s="8"/>
      <c r="E159" s="8"/>
      <c r="F159" s="8"/>
      <c r="G159" s="8"/>
    </row>
    <row r="160" ht="15.75" customHeight="1">
      <c r="A160" s="8"/>
      <c r="B160" s="8"/>
      <c r="C160" s="8"/>
      <c r="D160" s="8"/>
      <c r="E160" s="8"/>
      <c r="F160" s="8"/>
      <c r="G160" s="8"/>
    </row>
    <row r="161" ht="15.75" customHeight="1">
      <c r="A161" s="8"/>
      <c r="B161" s="8"/>
      <c r="C161" s="8"/>
      <c r="D161" s="8"/>
      <c r="E161" s="8"/>
      <c r="F161" s="8"/>
      <c r="G161" s="8"/>
    </row>
    <row r="162" ht="15.75" customHeight="1">
      <c r="A162" s="8"/>
      <c r="B162" s="8"/>
      <c r="C162" s="8"/>
      <c r="D162" s="8"/>
      <c r="E162" s="8"/>
      <c r="F162" s="8"/>
      <c r="G162" s="8"/>
    </row>
    <row r="163" ht="15.75" customHeight="1">
      <c r="A163" s="8"/>
      <c r="B163" s="8"/>
      <c r="C163" s="8"/>
      <c r="D163" s="8"/>
      <c r="E163" s="8"/>
      <c r="F163" s="8"/>
      <c r="G163" s="8"/>
    </row>
    <row r="164" ht="15.75" customHeight="1">
      <c r="A164" s="8"/>
      <c r="B164" s="8"/>
      <c r="C164" s="8"/>
      <c r="D164" s="8"/>
      <c r="E164" s="8"/>
      <c r="F164" s="8"/>
      <c r="G164" s="8"/>
    </row>
    <row r="165" ht="15.75" customHeight="1">
      <c r="A165" s="8"/>
      <c r="B165" s="8"/>
      <c r="C165" s="8"/>
      <c r="D165" s="8"/>
      <c r="E165" s="8"/>
      <c r="F165" s="8"/>
      <c r="G165" s="8"/>
    </row>
    <row r="166" ht="15.75" customHeight="1">
      <c r="A166" s="8"/>
      <c r="B166" s="8"/>
      <c r="C166" s="8"/>
      <c r="D166" s="8"/>
      <c r="E166" s="8"/>
      <c r="F166" s="8"/>
      <c r="G166" s="8"/>
    </row>
    <row r="167" ht="15.75" customHeight="1">
      <c r="A167" s="8"/>
      <c r="B167" s="8"/>
      <c r="C167" s="8"/>
      <c r="D167" s="8"/>
      <c r="E167" s="8"/>
      <c r="F167" s="8"/>
      <c r="G167" s="8"/>
    </row>
    <row r="168" ht="15.75" customHeight="1">
      <c r="A168" s="8"/>
      <c r="B168" s="8"/>
      <c r="C168" s="8"/>
      <c r="D168" s="8"/>
      <c r="E168" s="8"/>
      <c r="F168" s="8"/>
      <c r="G168" s="8"/>
    </row>
    <row r="169" ht="15.75" customHeight="1">
      <c r="A169" s="8"/>
      <c r="B169" s="8"/>
      <c r="C169" s="8"/>
      <c r="D169" s="8"/>
      <c r="E169" s="8"/>
      <c r="F169" s="8"/>
      <c r="G169" s="8"/>
    </row>
    <row r="170" ht="15.75" customHeight="1">
      <c r="A170" s="8"/>
      <c r="B170" s="8"/>
      <c r="C170" s="8"/>
      <c r="D170" s="8"/>
      <c r="E170" s="8"/>
      <c r="F170" s="8"/>
      <c r="G170" s="8"/>
    </row>
    <row r="171" ht="15.75" customHeight="1">
      <c r="A171" s="8"/>
      <c r="B171" s="8"/>
      <c r="C171" s="8"/>
      <c r="D171" s="8"/>
      <c r="E171" s="8"/>
      <c r="F171" s="8"/>
      <c r="G171" s="8"/>
    </row>
    <row r="172" ht="15.75" customHeight="1">
      <c r="A172" s="8"/>
      <c r="B172" s="8"/>
      <c r="C172" s="8"/>
      <c r="D172" s="8"/>
      <c r="E172" s="8"/>
      <c r="F172" s="8"/>
      <c r="G172" s="8"/>
    </row>
    <row r="173" ht="15.75" customHeight="1">
      <c r="A173" s="8"/>
      <c r="B173" s="8"/>
      <c r="C173" s="8"/>
      <c r="D173" s="8"/>
      <c r="E173" s="8"/>
      <c r="F173" s="8"/>
      <c r="G173" s="8"/>
    </row>
    <row r="174" ht="15.75" customHeight="1">
      <c r="A174" s="8"/>
      <c r="B174" s="8"/>
      <c r="C174" s="8"/>
      <c r="D174" s="8"/>
      <c r="E174" s="8"/>
      <c r="F174" s="8"/>
      <c r="G174" s="8"/>
    </row>
    <row r="175" ht="15.75" customHeight="1">
      <c r="A175" s="8"/>
      <c r="B175" s="8"/>
      <c r="C175" s="8"/>
      <c r="D175" s="8"/>
      <c r="E175" s="8"/>
      <c r="F175" s="8"/>
      <c r="G175" s="8"/>
    </row>
    <row r="176" ht="15.75" customHeight="1">
      <c r="A176" s="8"/>
      <c r="B176" s="8"/>
      <c r="C176" s="8"/>
      <c r="D176" s="8"/>
      <c r="E176" s="8"/>
      <c r="F176" s="8"/>
      <c r="G176" s="8"/>
    </row>
    <row r="177" ht="15.75" customHeight="1">
      <c r="A177" s="8"/>
      <c r="B177" s="8"/>
      <c r="C177" s="8"/>
      <c r="D177" s="8"/>
      <c r="E177" s="8"/>
      <c r="F177" s="8"/>
      <c r="G177" s="8"/>
    </row>
    <row r="178" ht="15.75" customHeight="1">
      <c r="A178" s="8"/>
      <c r="B178" s="8"/>
      <c r="C178" s="8"/>
      <c r="D178" s="8"/>
      <c r="E178" s="8"/>
      <c r="F178" s="8"/>
      <c r="G178" s="8"/>
    </row>
    <row r="179" ht="15.75" customHeight="1">
      <c r="A179" s="8"/>
      <c r="B179" s="8"/>
      <c r="C179" s="8"/>
      <c r="D179" s="8"/>
      <c r="E179" s="8"/>
      <c r="F179" s="8"/>
      <c r="G179" s="8"/>
    </row>
    <row r="180" ht="15.75" customHeight="1">
      <c r="A180" s="8"/>
      <c r="B180" s="8"/>
      <c r="C180" s="8"/>
      <c r="D180" s="8"/>
      <c r="E180" s="8"/>
      <c r="F180" s="8"/>
      <c r="G180" s="8"/>
    </row>
    <row r="181" ht="15.75" customHeight="1">
      <c r="A181" s="8"/>
      <c r="B181" s="8"/>
      <c r="C181" s="8"/>
      <c r="D181" s="8"/>
      <c r="E181" s="8"/>
      <c r="F181" s="8"/>
      <c r="G181" s="8"/>
    </row>
    <row r="182" ht="15.75" customHeight="1">
      <c r="A182" s="8"/>
      <c r="B182" s="8"/>
      <c r="C182" s="8"/>
      <c r="D182" s="8"/>
      <c r="E182" s="8"/>
      <c r="F182" s="8"/>
      <c r="G182" s="8"/>
    </row>
    <row r="183" ht="15.75" customHeight="1">
      <c r="A183" s="8"/>
      <c r="B183" s="8"/>
      <c r="C183" s="8"/>
      <c r="D183" s="8"/>
      <c r="E183" s="8"/>
      <c r="F183" s="8"/>
      <c r="G183" s="8"/>
    </row>
    <row r="184" ht="15.75" customHeight="1">
      <c r="A184" s="8"/>
      <c r="B184" s="8"/>
      <c r="C184" s="8"/>
      <c r="D184" s="8"/>
      <c r="E184" s="8"/>
      <c r="F184" s="8"/>
      <c r="G184" s="8"/>
    </row>
    <row r="185" ht="15.75" customHeight="1">
      <c r="A185" s="8"/>
      <c r="B185" s="8"/>
      <c r="C185" s="8"/>
      <c r="D185" s="8"/>
      <c r="E185" s="8"/>
      <c r="F185" s="8"/>
      <c r="G185" s="8"/>
    </row>
    <row r="186" ht="15.75" customHeight="1">
      <c r="A186" s="8"/>
      <c r="B186" s="8"/>
      <c r="C186" s="8"/>
      <c r="D186" s="8"/>
      <c r="E186" s="8"/>
      <c r="F186" s="8"/>
      <c r="G186" s="8"/>
    </row>
    <row r="187" ht="15.75" customHeight="1">
      <c r="A187" s="8"/>
      <c r="B187" s="8"/>
      <c r="C187" s="8"/>
      <c r="D187" s="8"/>
      <c r="E187" s="8"/>
      <c r="F187" s="8"/>
      <c r="G187" s="8"/>
    </row>
    <row r="188" ht="15.75" customHeight="1">
      <c r="A188" s="8"/>
      <c r="B188" s="8"/>
      <c r="C188" s="8"/>
      <c r="D188" s="8"/>
      <c r="E188" s="8"/>
      <c r="F188" s="8"/>
      <c r="G188" s="8"/>
    </row>
    <row r="189" ht="15.75" customHeight="1">
      <c r="A189" s="8"/>
      <c r="B189" s="8"/>
      <c r="C189" s="8"/>
      <c r="D189" s="8"/>
      <c r="E189" s="8"/>
      <c r="F189" s="8"/>
      <c r="G189" s="8"/>
    </row>
    <row r="190" ht="15.75" customHeight="1">
      <c r="A190" s="8"/>
      <c r="B190" s="8"/>
      <c r="C190" s="8"/>
      <c r="D190" s="8"/>
      <c r="E190" s="8"/>
      <c r="F190" s="8"/>
      <c r="G190" s="8"/>
    </row>
    <row r="191" ht="15.75" customHeight="1">
      <c r="A191" s="8"/>
      <c r="B191" s="8"/>
      <c r="C191" s="8"/>
      <c r="D191" s="8"/>
      <c r="E191" s="8"/>
      <c r="F191" s="8"/>
      <c r="G191" s="8"/>
    </row>
    <row r="192" ht="15.75" customHeight="1">
      <c r="A192" s="8"/>
      <c r="B192" s="8"/>
      <c r="C192" s="8"/>
      <c r="D192" s="8"/>
      <c r="E192" s="8"/>
      <c r="F192" s="8"/>
      <c r="G192" s="8"/>
    </row>
    <row r="193" ht="15.75" customHeight="1">
      <c r="A193" s="8"/>
      <c r="B193" s="8"/>
      <c r="C193" s="8"/>
      <c r="D193" s="8"/>
      <c r="E193" s="8"/>
      <c r="F193" s="8"/>
      <c r="G193" s="8"/>
    </row>
    <row r="194" ht="15.75" customHeight="1">
      <c r="A194" s="8"/>
      <c r="B194" s="8"/>
      <c r="C194" s="8"/>
      <c r="D194" s="8"/>
      <c r="E194" s="8"/>
      <c r="F194" s="8"/>
      <c r="G194" s="8"/>
    </row>
    <row r="195" ht="15.75" customHeight="1">
      <c r="A195" s="8"/>
      <c r="B195" s="8"/>
      <c r="C195" s="8"/>
      <c r="D195" s="8"/>
      <c r="E195" s="8"/>
      <c r="F195" s="8"/>
      <c r="G195" s="8"/>
    </row>
    <row r="196" ht="15.75" customHeight="1">
      <c r="A196" s="8"/>
      <c r="B196" s="8"/>
      <c r="C196" s="8"/>
      <c r="D196" s="8"/>
      <c r="E196" s="8"/>
      <c r="F196" s="8"/>
      <c r="G196" s="8"/>
    </row>
    <row r="197" ht="15.75" customHeight="1">
      <c r="A197" s="8"/>
      <c r="B197" s="8"/>
      <c r="C197" s="8"/>
      <c r="D197" s="8"/>
      <c r="E197" s="8"/>
      <c r="F197" s="8"/>
      <c r="G197" s="8"/>
    </row>
    <row r="198" ht="15.75" customHeight="1">
      <c r="A198" s="8"/>
      <c r="B198" s="8"/>
      <c r="C198" s="8"/>
      <c r="D198" s="8"/>
      <c r="E198" s="8"/>
      <c r="F198" s="8"/>
      <c r="G198" s="8"/>
    </row>
    <row r="199" ht="15.75" customHeight="1">
      <c r="A199" s="8"/>
      <c r="B199" s="8"/>
      <c r="C199" s="8"/>
      <c r="D199" s="8"/>
      <c r="E199" s="8"/>
      <c r="F199" s="8"/>
      <c r="G199" s="8"/>
    </row>
    <row r="200" ht="15.75" customHeight="1">
      <c r="A200" s="8"/>
      <c r="B200" s="8"/>
      <c r="C200" s="8"/>
      <c r="D200" s="8"/>
      <c r="E200" s="8"/>
      <c r="F200" s="8"/>
      <c r="G200" s="8"/>
    </row>
    <row r="201" ht="15.75" customHeight="1">
      <c r="A201" s="8"/>
      <c r="B201" s="8"/>
      <c r="C201" s="8"/>
      <c r="D201" s="8"/>
      <c r="E201" s="8"/>
      <c r="F201" s="8"/>
      <c r="G201" s="8"/>
    </row>
    <row r="202" ht="15.75" customHeight="1">
      <c r="A202" s="8"/>
      <c r="B202" s="8"/>
      <c r="C202" s="8"/>
      <c r="D202" s="8"/>
      <c r="E202" s="8"/>
      <c r="F202" s="8"/>
      <c r="G202" s="8"/>
    </row>
    <row r="203" ht="15.75" customHeight="1">
      <c r="A203" s="8"/>
      <c r="B203" s="8"/>
      <c r="C203" s="8"/>
      <c r="D203" s="8"/>
      <c r="E203" s="8"/>
      <c r="F203" s="8"/>
      <c r="G203" s="8"/>
    </row>
    <row r="204" ht="15.75" customHeight="1">
      <c r="A204" s="8"/>
      <c r="B204" s="8"/>
      <c r="C204" s="8"/>
      <c r="D204" s="8"/>
      <c r="E204" s="8"/>
      <c r="F204" s="8"/>
      <c r="G204" s="8"/>
    </row>
    <row r="205" ht="15.75" customHeight="1">
      <c r="A205" s="8"/>
      <c r="B205" s="8"/>
      <c r="C205" s="8"/>
      <c r="D205" s="8"/>
      <c r="E205" s="8"/>
      <c r="F205" s="8"/>
      <c r="G205" s="8"/>
    </row>
    <row r="206" ht="15.75" customHeight="1">
      <c r="A206" s="8"/>
      <c r="B206" s="8"/>
      <c r="C206" s="8"/>
      <c r="D206" s="8"/>
      <c r="E206" s="8"/>
      <c r="F206" s="8"/>
      <c r="G206" s="8"/>
    </row>
    <row r="207" ht="15.75" customHeight="1">
      <c r="A207" s="8"/>
      <c r="B207" s="8"/>
      <c r="C207" s="8"/>
      <c r="D207" s="8"/>
      <c r="E207" s="8"/>
      <c r="F207" s="8"/>
      <c r="G207" s="8"/>
    </row>
    <row r="208" ht="15.75" customHeight="1">
      <c r="A208" s="8"/>
      <c r="B208" s="8"/>
      <c r="C208" s="8"/>
      <c r="D208" s="8"/>
      <c r="E208" s="8"/>
      <c r="F208" s="8"/>
      <c r="G208" s="8"/>
    </row>
    <row r="209" ht="15.75" customHeight="1">
      <c r="A209" s="8"/>
      <c r="B209" s="8"/>
      <c r="C209" s="8"/>
      <c r="D209" s="8"/>
      <c r="E209" s="8"/>
      <c r="F209" s="8"/>
      <c r="G209" s="8"/>
    </row>
    <row r="210" ht="15.75" customHeight="1">
      <c r="A210" s="8"/>
      <c r="B210" s="8"/>
      <c r="C210" s="8"/>
      <c r="D210" s="8"/>
      <c r="E210" s="8"/>
      <c r="F210" s="8"/>
      <c r="G210" s="8"/>
    </row>
    <row r="211" ht="15.75" customHeight="1">
      <c r="A211" s="8"/>
      <c r="B211" s="8"/>
      <c r="C211" s="8"/>
      <c r="D211" s="8"/>
      <c r="E211" s="8"/>
      <c r="F211" s="8"/>
      <c r="G211" s="8"/>
    </row>
    <row r="212" ht="15.75" customHeight="1">
      <c r="A212" s="8"/>
      <c r="B212" s="8"/>
      <c r="C212" s="8"/>
      <c r="D212" s="8"/>
      <c r="E212" s="8"/>
      <c r="F212" s="8"/>
      <c r="G212" s="8"/>
    </row>
    <row r="213" ht="15.75" customHeight="1">
      <c r="A213" s="8"/>
      <c r="B213" s="8"/>
      <c r="C213" s="8"/>
      <c r="D213" s="8"/>
      <c r="E213" s="8"/>
      <c r="F213" s="8"/>
      <c r="G213" s="8"/>
    </row>
    <row r="214" ht="15.75" customHeight="1">
      <c r="A214" s="8"/>
      <c r="B214" s="8"/>
      <c r="C214" s="8"/>
      <c r="D214" s="8"/>
      <c r="E214" s="8"/>
      <c r="F214" s="8"/>
      <c r="G214" s="8"/>
    </row>
    <row r="215" ht="15.75" customHeight="1">
      <c r="A215" s="8"/>
      <c r="B215" s="8"/>
      <c r="C215" s="8"/>
      <c r="D215" s="8"/>
      <c r="E215" s="8"/>
      <c r="F215" s="8"/>
      <c r="G215" s="8"/>
    </row>
    <row r="216" ht="15.75" customHeight="1">
      <c r="A216" s="8"/>
      <c r="B216" s="8"/>
      <c r="C216" s="8"/>
      <c r="D216" s="8"/>
      <c r="E216" s="8"/>
      <c r="F216" s="8"/>
      <c r="G216" s="8"/>
    </row>
    <row r="217" ht="15.75" customHeight="1">
      <c r="A217" s="8"/>
      <c r="B217" s="8"/>
      <c r="C217" s="8"/>
      <c r="D217" s="8"/>
      <c r="E217" s="8"/>
      <c r="F217" s="8"/>
      <c r="G217" s="8"/>
    </row>
    <row r="218" ht="15.75" customHeight="1">
      <c r="A218" s="8"/>
      <c r="B218" s="8"/>
      <c r="C218" s="8"/>
      <c r="D218" s="8"/>
      <c r="E218" s="8"/>
      <c r="F218" s="8"/>
      <c r="G218" s="8"/>
    </row>
    <row r="219" ht="15.75" customHeight="1">
      <c r="A219" s="8"/>
      <c r="B219" s="8"/>
      <c r="C219" s="8"/>
      <c r="D219" s="8"/>
      <c r="E219" s="8"/>
      <c r="F219" s="8"/>
      <c r="G219" s="8"/>
    </row>
    <row r="220" ht="15.75" customHeight="1">
      <c r="A220" s="8"/>
      <c r="B220" s="8"/>
      <c r="C220" s="8"/>
      <c r="D220" s="8"/>
      <c r="E220" s="8"/>
      <c r="F220" s="8"/>
      <c r="G220" s="8"/>
    </row>
    <row r="221" ht="15.75" customHeight="1">
      <c r="A221" s="8"/>
      <c r="B221" s="8"/>
      <c r="C221" s="8"/>
      <c r="D221" s="8"/>
      <c r="E221" s="8"/>
      <c r="F221" s="8"/>
      <c r="G221" s="8"/>
    </row>
    <row r="222" ht="15.75" customHeight="1">
      <c r="A222" s="8"/>
      <c r="B222" s="8"/>
      <c r="C222" s="8"/>
      <c r="D222" s="8"/>
      <c r="E222" s="8"/>
      <c r="F222" s="8"/>
      <c r="G222" s="8"/>
    </row>
    <row r="223" ht="15.75" customHeight="1">
      <c r="A223" s="8"/>
      <c r="B223" s="8"/>
      <c r="C223" s="8"/>
      <c r="D223" s="8"/>
      <c r="E223" s="8"/>
      <c r="F223" s="8"/>
      <c r="G223" s="8"/>
    </row>
    <row r="224" ht="15.75" customHeight="1">
      <c r="A224" s="8"/>
      <c r="B224" s="8"/>
      <c r="C224" s="8"/>
      <c r="D224" s="8"/>
      <c r="E224" s="8"/>
      <c r="F224" s="8"/>
      <c r="G224" s="8"/>
    </row>
    <row r="225" ht="15.75" customHeight="1">
      <c r="A225" s="8"/>
      <c r="B225" s="8"/>
      <c r="C225" s="8"/>
      <c r="D225" s="8"/>
      <c r="E225" s="8"/>
      <c r="F225" s="8"/>
      <c r="G225" s="8"/>
    </row>
    <row r="226" ht="15.75" customHeight="1">
      <c r="A226" s="8"/>
      <c r="B226" s="8"/>
      <c r="C226" s="8"/>
      <c r="D226" s="8"/>
      <c r="E226" s="8"/>
      <c r="F226" s="8"/>
      <c r="G226" s="8"/>
    </row>
    <row r="227" ht="15.75" customHeight="1">
      <c r="A227" s="8"/>
      <c r="B227" s="8"/>
      <c r="C227" s="8"/>
      <c r="D227" s="8"/>
      <c r="E227" s="8"/>
      <c r="F227" s="8"/>
      <c r="G227" s="8"/>
    </row>
    <row r="228" ht="15.75" customHeight="1">
      <c r="A228" s="8"/>
      <c r="B228" s="8"/>
      <c r="C228" s="8"/>
      <c r="D228" s="8"/>
      <c r="E228" s="8"/>
      <c r="F228" s="8"/>
      <c r="G228" s="8"/>
    </row>
    <row r="229" ht="15.75" customHeight="1">
      <c r="A229" s="8"/>
      <c r="B229" s="8"/>
      <c r="C229" s="8"/>
      <c r="D229" s="8"/>
      <c r="E229" s="8"/>
      <c r="F229" s="8"/>
      <c r="G229" s="8"/>
    </row>
    <row r="230" ht="15.75" customHeight="1">
      <c r="A230" s="8"/>
      <c r="B230" s="8"/>
      <c r="C230" s="8"/>
      <c r="D230" s="8"/>
      <c r="E230" s="8"/>
      <c r="F230" s="8"/>
      <c r="G230" s="8"/>
    </row>
    <row r="231" ht="15.75" customHeight="1">
      <c r="A231" s="8"/>
      <c r="B231" s="8"/>
      <c r="C231" s="8"/>
      <c r="D231" s="8"/>
      <c r="E231" s="8"/>
      <c r="F231" s="8"/>
      <c r="G231" s="8"/>
    </row>
    <row r="232" ht="15.75" customHeight="1">
      <c r="A232" s="8"/>
      <c r="B232" s="8"/>
      <c r="C232" s="8"/>
      <c r="D232" s="8"/>
      <c r="E232" s="8"/>
      <c r="F232" s="8"/>
      <c r="G232" s="8"/>
    </row>
    <row r="233" ht="15.75" customHeight="1">
      <c r="A233" s="8"/>
      <c r="B233" s="8"/>
      <c r="C233" s="8"/>
      <c r="D233" s="8"/>
      <c r="E233" s="8"/>
      <c r="F233" s="8"/>
      <c r="G233" s="8"/>
    </row>
    <row r="234" ht="15.75" customHeight="1">
      <c r="A234" s="8"/>
      <c r="B234" s="8"/>
      <c r="C234" s="8"/>
      <c r="D234" s="8"/>
      <c r="E234" s="8"/>
      <c r="F234" s="8"/>
      <c r="G234" s="8"/>
    </row>
    <row r="235" ht="15.75" customHeight="1">
      <c r="A235" s="8"/>
      <c r="B235" s="8"/>
      <c r="C235" s="8"/>
      <c r="D235" s="8"/>
      <c r="E235" s="8"/>
      <c r="F235" s="8"/>
      <c r="G235" s="8"/>
    </row>
    <row r="236" ht="15.75" customHeight="1">
      <c r="A236" s="8"/>
      <c r="B236" s="8"/>
      <c r="C236" s="8"/>
      <c r="D236" s="8"/>
      <c r="E236" s="8"/>
      <c r="F236" s="8"/>
      <c r="G236" s="8"/>
    </row>
    <row r="237" ht="15.75" customHeight="1">
      <c r="A237" s="8"/>
      <c r="B237" s="8"/>
      <c r="C237" s="8"/>
      <c r="D237" s="8"/>
      <c r="E237" s="8"/>
      <c r="F237" s="8"/>
      <c r="G237" s="8"/>
    </row>
    <row r="238" ht="15.75" customHeight="1">
      <c r="A238" s="8"/>
      <c r="B238" s="8"/>
      <c r="C238" s="8"/>
      <c r="D238" s="8"/>
      <c r="E238" s="8"/>
      <c r="F238" s="8"/>
      <c r="G238" s="8"/>
    </row>
    <row r="239" ht="15.75" customHeight="1">
      <c r="A239" s="8"/>
      <c r="B239" s="8"/>
      <c r="C239" s="8"/>
      <c r="D239" s="8"/>
      <c r="E239" s="8"/>
      <c r="F239" s="8"/>
      <c r="G239" s="8"/>
    </row>
    <row r="240" ht="15.75" customHeight="1">
      <c r="A240" s="8"/>
      <c r="B240" s="8"/>
      <c r="C240" s="8"/>
      <c r="D240" s="8"/>
      <c r="E240" s="8"/>
      <c r="F240" s="8"/>
      <c r="G240" s="8"/>
    </row>
    <row r="241" ht="15.75" customHeight="1">
      <c r="A241" s="8"/>
      <c r="B241" s="8"/>
      <c r="C241" s="8"/>
      <c r="D241" s="8"/>
      <c r="E241" s="8"/>
      <c r="F241" s="8"/>
      <c r="G241" s="8"/>
    </row>
    <row r="242" ht="15.75" customHeight="1">
      <c r="A242" s="8"/>
      <c r="B242" s="8"/>
      <c r="C242" s="8"/>
      <c r="D242" s="8"/>
      <c r="E242" s="8"/>
      <c r="F242" s="8"/>
      <c r="G242" s="8"/>
    </row>
    <row r="243" ht="15.75" customHeight="1">
      <c r="A243" s="8"/>
      <c r="B243" s="8"/>
      <c r="C243" s="8"/>
      <c r="D243" s="8"/>
      <c r="E243" s="8"/>
      <c r="F243" s="8"/>
      <c r="G243" s="8"/>
    </row>
    <row r="244" ht="15.75" customHeight="1">
      <c r="A244" s="8"/>
      <c r="B244" s="8"/>
      <c r="C244" s="8"/>
      <c r="D244" s="8"/>
      <c r="E244" s="8"/>
      <c r="F244" s="8"/>
      <c r="G244" s="8"/>
    </row>
    <row r="245" ht="15.75" customHeight="1">
      <c r="A245" s="8"/>
      <c r="B245" s="8"/>
      <c r="C245" s="8"/>
      <c r="D245" s="8"/>
      <c r="E245" s="8"/>
      <c r="F245" s="8"/>
      <c r="G245" s="8"/>
    </row>
    <row r="246" ht="15.75" customHeight="1">
      <c r="A246" s="8"/>
      <c r="B246" s="8"/>
      <c r="C246" s="8"/>
      <c r="D246" s="8"/>
      <c r="E246" s="8"/>
      <c r="F246" s="8"/>
      <c r="G246" s="8"/>
    </row>
    <row r="247" ht="15.75" customHeight="1">
      <c r="A247" s="8"/>
      <c r="B247" s="8"/>
      <c r="C247" s="8"/>
      <c r="D247" s="8"/>
      <c r="E247" s="8"/>
      <c r="F247" s="8"/>
      <c r="G247" s="8"/>
    </row>
    <row r="248" ht="15.75" customHeight="1">
      <c r="A248" s="8"/>
      <c r="B248" s="8"/>
      <c r="C248" s="8"/>
      <c r="D248" s="8"/>
      <c r="E248" s="8"/>
      <c r="F248" s="8"/>
      <c r="G248" s="8"/>
    </row>
    <row r="249" ht="15.75" customHeight="1">
      <c r="A249" s="8"/>
      <c r="B249" s="8"/>
      <c r="C249" s="8"/>
      <c r="D249" s="8"/>
      <c r="E249" s="8"/>
      <c r="F249" s="8"/>
      <c r="G249" s="8"/>
    </row>
    <row r="250" ht="15.75" customHeight="1">
      <c r="A250" s="8"/>
      <c r="B250" s="8"/>
      <c r="C250" s="8"/>
      <c r="D250" s="8"/>
      <c r="E250" s="8"/>
      <c r="F250" s="8"/>
      <c r="G250" s="8"/>
    </row>
    <row r="251" ht="15.75" customHeight="1">
      <c r="A251" s="8"/>
      <c r="B251" s="8"/>
      <c r="C251" s="8"/>
      <c r="D251" s="8"/>
      <c r="E251" s="8"/>
      <c r="F251" s="8"/>
      <c r="G251" s="8"/>
    </row>
    <row r="252" ht="15.75" customHeight="1">
      <c r="A252" s="8"/>
      <c r="B252" s="8"/>
      <c r="C252" s="8"/>
      <c r="D252" s="8"/>
      <c r="E252" s="8"/>
      <c r="F252" s="8"/>
      <c r="G252" s="8"/>
    </row>
    <row r="253" ht="15.75" customHeight="1">
      <c r="A253" s="8"/>
      <c r="B253" s="8"/>
      <c r="C253" s="8"/>
      <c r="D253" s="8"/>
      <c r="E253" s="8"/>
      <c r="F253" s="8"/>
      <c r="G253" s="8"/>
    </row>
    <row r="254" ht="15.75" customHeight="1">
      <c r="A254" s="8"/>
      <c r="B254" s="8"/>
      <c r="C254" s="8"/>
      <c r="D254" s="8"/>
      <c r="E254" s="8"/>
      <c r="F254" s="8"/>
      <c r="G254" s="8"/>
    </row>
    <row r="255" ht="15.75" customHeight="1">
      <c r="A255" s="8"/>
      <c r="B255" s="8"/>
      <c r="C255" s="8"/>
      <c r="D255" s="8"/>
      <c r="E255" s="8"/>
      <c r="F255" s="8"/>
      <c r="G255" s="8"/>
    </row>
    <row r="256" ht="15.75" customHeight="1">
      <c r="A256" s="8"/>
      <c r="B256" s="8"/>
      <c r="C256" s="8"/>
      <c r="D256" s="8"/>
      <c r="E256" s="8"/>
      <c r="F256" s="8"/>
      <c r="G256" s="8"/>
    </row>
    <row r="257" ht="15.75" customHeight="1">
      <c r="A257" s="8"/>
      <c r="B257" s="8"/>
      <c r="C257" s="8"/>
      <c r="D257" s="8"/>
      <c r="E257" s="8"/>
      <c r="F257" s="8"/>
      <c r="G257" s="8"/>
    </row>
    <row r="258" ht="15.75" customHeight="1">
      <c r="A258" s="8"/>
      <c r="B258" s="8"/>
      <c r="C258" s="8"/>
      <c r="D258" s="8"/>
      <c r="E258" s="8"/>
      <c r="F258" s="8"/>
      <c r="G258" s="8"/>
    </row>
    <row r="259" ht="15.75" customHeight="1">
      <c r="A259" s="8"/>
      <c r="B259" s="8"/>
      <c r="C259" s="8"/>
      <c r="D259" s="8"/>
      <c r="E259" s="8"/>
      <c r="F259" s="8"/>
      <c r="G259" s="8"/>
    </row>
    <row r="260" ht="15.75" customHeight="1">
      <c r="A260" s="8"/>
      <c r="B260" s="8"/>
      <c r="C260" s="8"/>
      <c r="D260" s="8"/>
      <c r="E260" s="8"/>
      <c r="F260" s="8"/>
      <c r="G260" s="8"/>
    </row>
    <row r="261" ht="15.75" customHeight="1">
      <c r="A261" s="8"/>
      <c r="B261" s="8"/>
      <c r="C261" s="8"/>
      <c r="D261" s="8"/>
      <c r="E261" s="8"/>
      <c r="F261" s="8"/>
      <c r="G261" s="8"/>
    </row>
    <row r="262" ht="15.75" customHeight="1">
      <c r="A262" s="8"/>
      <c r="B262" s="8"/>
      <c r="C262" s="8"/>
      <c r="D262" s="8"/>
      <c r="E262" s="8"/>
      <c r="F262" s="8"/>
      <c r="G262" s="8"/>
    </row>
    <row r="263" ht="15.75" customHeight="1">
      <c r="A263" s="8"/>
      <c r="B263" s="8"/>
      <c r="C263" s="8"/>
      <c r="D263" s="8"/>
      <c r="E263" s="8"/>
      <c r="F263" s="8"/>
      <c r="G263" s="8"/>
    </row>
    <row r="264" ht="15.75" customHeight="1">
      <c r="A264" s="8"/>
      <c r="B264" s="8"/>
      <c r="C264" s="8"/>
      <c r="D264" s="8"/>
      <c r="E264" s="8"/>
      <c r="F264" s="8"/>
      <c r="G264" s="8"/>
    </row>
    <row r="265" ht="15.75" customHeight="1">
      <c r="A265" s="8"/>
      <c r="B265" s="8"/>
      <c r="C265" s="8"/>
      <c r="D265" s="8"/>
      <c r="E265" s="8"/>
      <c r="F265" s="8"/>
      <c r="G265" s="8"/>
    </row>
    <row r="266" ht="15.75" customHeight="1">
      <c r="A266" s="8"/>
      <c r="B266" s="8"/>
      <c r="C266" s="8"/>
      <c r="D266" s="8"/>
      <c r="E266" s="8"/>
      <c r="F266" s="8"/>
      <c r="G266" s="8"/>
    </row>
    <row r="267" ht="15.75" customHeight="1">
      <c r="A267" s="8"/>
      <c r="B267" s="8"/>
      <c r="C267" s="8"/>
      <c r="D267" s="8"/>
      <c r="E267" s="8"/>
      <c r="F267" s="8"/>
      <c r="G267" s="8"/>
    </row>
    <row r="268" ht="15.75" customHeight="1">
      <c r="A268" s="8"/>
      <c r="B268" s="8"/>
      <c r="C268" s="8"/>
      <c r="D268" s="8"/>
      <c r="E268" s="8"/>
      <c r="F268" s="8"/>
      <c r="G268" s="8"/>
    </row>
    <row r="269" ht="15.75" customHeight="1">
      <c r="A269" s="8"/>
      <c r="B269" s="8"/>
      <c r="C269" s="8"/>
      <c r="D269" s="8"/>
      <c r="E269" s="8"/>
      <c r="F269" s="8"/>
      <c r="G269" s="8"/>
    </row>
    <row r="270" ht="15.75" customHeight="1">
      <c r="A270" s="8"/>
      <c r="B270" s="8"/>
      <c r="C270" s="8"/>
      <c r="D270" s="8"/>
      <c r="E270" s="8"/>
      <c r="F270" s="8"/>
      <c r="G270" s="8"/>
    </row>
    <row r="271" ht="15.75" customHeight="1">
      <c r="A271" s="8"/>
      <c r="B271" s="8"/>
      <c r="C271" s="8"/>
      <c r="D271" s="8"/>
      <c r="E271" s="8"/>
      <c r="F271" s="8"/>
      <c r="G271" s="8"/>
    </row>
    <row r="272" ht="15.75" customHeight="1">
      <c r="A272" s="8"/>
      <c r="B272" s="8"/>
      <c r="C272" s="8"/>
      <c r="D272" s="8"/>
      <c r="E272" s="8"/>
      <c r="F272" s="8"/>
      <c r="G272" s="8"/>
    </row>
    <row r="273" ht="15.75" customHeight="1">
      <c r="A273" s="8"/>
      <c r="B273" s="8"/>
      <c r="C273" s="8"/>
      <c r="D273" s="8"/>
      <c r="E273" s="8"/>
      <c r="F273" s="8"/>
      <c r="G273" s="8"/>
    </row>
    <row r="274" ht="15.75" customHeight="1">
      <c r="A274" s="8"/>
      <c r="B274" s="8"/>
      <c r="C274" s="8"/>
      <c r="D274" s="8"/>
      <c r="E274" s="8"/>
      <c r="F274" s="8"/>
      <c r="G274" s="8"/>
    </row>
    <row r="275" ht="15.75" customHeight="1">
      <c r="A275" s="8"/>
      <c r="B275" s="8"/>
      <c r="C275" s="8"/>
      <c r="D275" s="8"/>
      <c r="E275" s="8"/>
      <c r="F275" s="8"/>
      <c r="G275" s="8"/>
    </row>
    <row r="276" ht="15.75" customHeight="1">
      <c r="A276" s="8"/>
      <c r="B276" s="8"/>
      <c r="C276" s="8"/>
      <c r="D276" s="8"/>
      <c r="E276" s="8"/>
      <c r="F276" s="8"/>
      <c r="G276" s="8"/>
    </row>
    <row r="277" ht="15.75" customHeight="1">
      <c r="A277" s="8"/>
      <c r="B277" s="8"/>
      <c r="C277" s="8"/>
      <c r="D277" s="8"/>
      <c r="E277" s="8"/>
      <c r="F277" s="8"/>
      <c r="G277" s="8"/>
    </row>
    <row r="278" ht="15.75" customHeight="1">
      <c r="A278" s="8"/>
      <c r="B278" s="8"/>
      <c r="C278" s="8"/>
      <c r="D278" s="8"/>
      <c r="E278" s="8"/>
      <c r="F278" s="8"/>
      <c r="G278" s="8"/>
    </row>
    <row r="279" ht="15.75" customHeight="1">
      <c r="A279" s="8"/>
      <c r="B279" s="8"/>
      <c r="C279" s="8"/>
      <c r="D279" s="8"/>
      <c r="E279" s="8"/>
      <c r="F279" s="8"/>
      <c r="G279" s="8"/>
    </row>
    <row r="280" ht="15.75" customHeight="1">
      <c r="A280" s="8"/>
      <c r="B280" s="8"/>
      <c r="C280" s="8"/>
      <c r="D280" s="8"/>
      <c r="E280" s="8"/>
      <c r="F280" s="8"/>
      <c r="G280" s="8"/>
    </row>
    <row r="281" ht="15.75" customHeight="1">
      <c r="A281" s="8"/>
      <c r="B281" s="8"/>
      <c r="C281" s="8"/>
      <c r="D281" s="8"/>
      <c r="E281" s="8"/>
      <c r="F281" s="8"/>
      <c r="G281" s="8"/>
    </row>
    <row r="282" ht="15.75" customHeight="1">
      <c r="A282" s="8"/>
      <c r="B282" s="8"/>
      <c r="C282" s="8"/>
      <c r="D282" s="8"/>
      <c r="E282" s="8"/>
      <c r="F282" s="8"/>
      <c r="G282" s="8"/>
    </row>
    <row r="283" ht="15.75" customHeight="1">
      <c r="A283" s="8"/>
      <c r="B283" s="8"/>
      <c r="C283" s="8"/>
      <c r="D283" s="8"/>
      <c r="E283" s="8"/>
      <c r="F283" s="8"/>
      <c r="G283" s="8"/>
    </row>
    <row r="284" ht="15.75" customHeight="1">
      <c r="A284" s="8"/>
      <c r="B284" s="8"/>
      <c r="C284" s="8"/>
      <c r="D284" s="8"/>
      <c r="E284" s="8"/>
      <c r="F284" s="8"/>
      <c r="G284" s="8"/>
    </row>
    <row r="285" ht="15.75" customHeight="1">
      <c r="A285" s="8"/>
      <c r="B285" s="8"/>
      <c r="C285" s="8"/>
      <c r="D285" s="8"/>
      <c r="E285" s="8"/>
      <c r="F285" s="8"/>
      <c r="G285" s="8"/>
    </row>
    <row r="286" ht="15.75" customHeight="1">
      <c r="A286" s="8"/>
      <c r="B286" s="8"/>
      <c r="C286" s="8"/>
      <c r="D286" s="8"/>
      <c r="E286" s="8"/>
      <c r="F286" s="8"/>
      <c r="G286" s="8"/>
    </row>
    <row r="287" ht="15.75" customHeight="1">
      <c r="A287" s="8"/>
      <c r="B287" s="8"/>
      <c r="C287" s="8"/>
      <c r="D287" s="8"/>
      <c r="E287" s="8"/>
      <c r="F287" s="8"/>
      <c r="G287" s="8"/>
    </row>
    <row r="288" ht="15.75" customHeight="1">
      <c r="A288" s="8"/>
      <c r="B288" s="8"/>
      <c r="C288" s="8"/>
      <c r="D288" s="8"/>
      <c r="E288" s="8"/>
      <c r="F288" s="8"/>
      <c r="G288" s="8"/>
    </row>
    <row r="289" ht="15.75" customHeight="1">
      <c r="A289" s="8"/>
      <c r="B289" s="8"/>
      <c r="C289" s="8"/>
      <c r="D289" s="8"/>
      <c r="E289" s="8"/>
      <c r="F289" s="8"/>
      <c r="G289" s="8"/>
    </row>
    <row r="290" ht="15.75" customHeight="1">
      <c r="A290" s="8"/>
      <c r="B290" s="8"/>
      <c r="C290" s="8"/>
      <c r="D290" s="8"/>
      <c r="E290" s="8"/>
      <c r="F290" s="8"/>
      <c r="G290" s="8"/>
    </row>
    <row r="291" ht="15.75" customHeight="1">
      <c r="A291" s="8"/>
      <c r="B291" s="8"/>
      <c r="C291" s="8"/>
      <c r="D291" s="8"/>
      <c r="E291" s="8"/>
      <c r="F291" s="8"/>
      <c r="G291" s="8"/>
    </row>
    <row r="292" ht="15.75" customHeight="1">
      <c r="A292" s="8"/>
      <c r="B292" s="8"/>
      <c r="C292" s="8"/>
      <c r="D292" s="8"/>
      <c r="E292" s="8"/>
      <c r="F292" s="8"/>
      <c r="G292" s="8"/>
    </row>
    <row r="293" ht="15.75" customHeight="1">
      <c r="A293" s="8"/>
      <c r="B293" s="8"/>
      <c r="C293" s="8"/>
      <c r="D293" s="8"/>
      <c r="E293" s="8"/>
      <c r="F293" s="8"/>
      <c r="G293" s="8"/>
    </row>
    <row r="294" ht="15.75" customHeight="1">
      <c r="A294" s="8"/>
      <c r="B294" s="8"/>
      <c r="C294" s="8"/>
      <c r="D294" s="8"/>
      <c r="E294" s="8"/>
      <c r="F294" s="8"/>
      <c r="G294" s="8"/>
    </row>
    <row r="295" ht="15.75" customHeight="1">
      <c r="A295" s="8"/>
      <c r="B295" s="8"/>
      <c r="C295" s="8"/>
      <c r="D295" s="8"/>
      <c r="E295" s="8"/>
      <c r="F295" s="8"/>
      <c r="G295" s="8"/>
    </row>
    <row r="296" ht="15.75" customHeight="1">
      <c r="A296" s="8"/>
      <c r="B296" s="8"/>
      <c r="C296" s="8"/>
      <c r="D296" s="8"/>
      <c r="E296" s="8"/>
      <c r="F296" s="8"/>
      <c r="G296" s="8"/>
    </row>
    <row r="297" ht="15.75" customHeight="1">
      <c r="A297" s="8"/>
      <c r="B297" s="8"/>
      <c r="C297" s="8"/>
      <c r="D297" s="8"/>
      <c r="E297" s="8"/>
      <c r="F297" s="8"/>
      <c r="G297" s="8"/>
    </row>
    <row r="298" ht="15.75" customHeight="1">
      <c r="A298" s="8"/>
      <c r="B298" s="8"/>
      <c r="C298" s="8"/>
      <c r="D298" s="8"/>
      <c r="E298" s="8"/>
      <c r="F298" s="8"/>
      <c r="G298" s="8"/>
    </row>
    <row r="299" ht="15.75" customHeight="1">
      <c r="A299" s="8"/>
      <c r="B299" s="8"/>
      <c r="C299" s="8"/>
      <c r="D299" s="8"/>
      <c r="E299" s="8"/>
      <c r="F299" s="8"/>
      <c r="G299" s="8"/>
    </row>
    <row r="300" ht="15.75" customHeight="1">
      <c r="A300" s="8"/>
      <c r="B300" s="8"/>
      <c r="C300" s="8"/>
      <c r="D300" s="8"/>
      <c r="E300" s="8"/>
      <c r="F300" s="8"/>
      <c r="G300" s="8"/>
    </row>
    <row r="301" ht="15.75" customHeight="1">
      <c r="A301" s="8"/>
      <c r="B301" s="8"/>
      <c r="C301" s="8"/>
      <c r="D301" s="8"/>
      <c r="E301" s="8"/>
      <c r="F301" s="8"/>
      <c r="G301" s="8"/>
    </row>
    <row r="302" ht="15.75" customHeight="1">
      <c r="A302" s="8"/>
      <c r="B302" s="8"/>
      <c r="C302" s="8"/>
      <c r="D302" s="8"/>
      <c r="E302" s="8"/>
      <c r="F302" s="8"/>
      <c r="G302" s="8"/>
    </row>
    <row r="303" ht="15.75" customHeight="1">
      <c r="A303" s="8"/>
      <c r="B303" s="8"/>
      <c r="C303" s="8"/>
      <c r="D303" s="8"/>
      <c r="E303" s="8"/>
      <c r="F303" s="8"/>
      <c r="G303" s="8"/>
    </row>
    <row r="304" ht="15.75" customHeight="1">
      <c r="A304" s="8"/>
      <c r="B304" s="8"/>
      <c r="C304" s="8"/>
      <c r="D304" s="8"/>
      <c r="E304" s="8"/>
      <c r="F304" s="8"/>
      <c r="G304" s="8"/>
    </row>
    <row r="305" ht="15.75" customHeight="1">
      <c r="A305" s="8"/>
      <c r="B305" s="8"/>
      <c r="C305" s="8"/>
      <c r="D305" s="8"/>
      <c r="E305" s="8"/>
      <c r="F305" s="8"/>
      <c r="G305" s="8"/>
    </row>
    <row r="306" ht="15.75" customHeight="1">
      <c r="A306" s="8"/>
      <c r="B306" s="8"/>
      <c r="C306" s="8"/>
      <c r="D306" s="8"/>
      <c r="E306" s="8"/>
      <c r="F306" s="8"/>
      <c r="G306" s="8"/>
    </row>
    <row r="307" ht="15.75" customHeight="1">
      <c r="A307" s="8"/>
      <c r="B307" s="8"/>
      <c r="C307" s="8"/>
      <c r="D307" s="8"/>
      <c r="E307" s="8"/>
      <c r="F307" s="8"/>
      <c r="G307" s="8"/>
    </row>
    <row r="308" ht="15.75" customHeight="1">
      <c r="A308" s="8"/>
      <c r="B308" s="8"/>
      <c r="C308" s="8"/>
      <c r="D308" s="8"/>
      <c r="E308" s="8"/>
      <c r="F308" s="8"/>
      <c r="G308" s="8"/>
    </row>
    <row r="309" ht="15.75" customHeight="1">
      <c r="A309" s="8"/>
      <c r="B309" s="8"/>
      <c r="C309" s="8"/>
      <c r="D309" s="8"/>
      <c r="E309" s="8"/>
      <c r="F309" s="8"/>
      <c r="G309" s="8"/>
    </row>
    <row r="310" ht="15.75" customHeight="1">
      <c r="A310" s="8"/>
      <c r="B310" s="8"/>
      <c r="C310" s="8"/>
      <c r="D310" s="8"/>
      <c r="E310" s="8"/>
      <c r="F310" s="8"/>
      <c r="G310" s="8"/>
    </row>
    <row r="311" ht="15.75" customHeight="1">
      <c r="A311" s="8"/>
      <c r="B311" s="8"/>
      <c r="C311" s="8"/>
      <c r="D311" s="8"/>
      <c r="E311" s="8"/>
      <c r="F311" s="8"/>
      <c r="G311" s="8"/>
    </row>
    <row r="312" ht="15.75" customHeight="1">
      <c r="A312" s="8"/>
      <c r="B312" s="8"/>
      <c r="C312" s="8"/>
      <c r="D312" s="8"/>
      <c r="E312" s="8"/>
      <c r="F312" s="8"/>
      <c r="G312" s="8"/>
    </row>
    <row r="313" ht="15.75" customHeight="1">
      <c r="A313" s="8"/>
      <c r="B313" s="8"/>
      <c r="C313" s="8"/>
      <c r="D313" s="8"/>
      <c r="E313" s="8"/>
      <c r="F313" s="8"/>
      <c r="G313" s="8"/>
    </row>
    <row r="314" ht="15.75" customHeight="1">
      <c r="A314" s="8"/>
      <c r="B314" s="8"/>
      <c r="C314" s="8"/>
      <c r="D314" s="8"/>
      <c r="E314" s="8"/>
      <c r="F314" s="8"/>
      <c r="G314" s="8"/>
    </row>
    <row r="315" ht="15.75" customHeight="1">
      <c r="A315" s="8"/>
      <c r="B315" s="8"/>
      <c r="C315" s="8"/>
      <c r="D315" s="8"/>
      <c r="E315" s="8"/>
      <c r="F315" s="8"/>
      <c r="G315" s="8"/>
    </row>
    <row r="316" ht="15.75" customHeight="1">
      <c r="A316" s="8"/>
      <c r="B316" s="8"/>
      <c r="C316" s="8"/>
      <c r="D316" s="8"/>
      <c r="E316" s="8"/>
      <c r="F316" s="8"/>
      <c r="G316" s="8"/>
    </row>
    <row r="317" ht="15.75" customHeight="1">
      <c r="A317" s="8"/>
      <c r="B317" s="8"/>
      <c r="C317" s="8"/>
      <c r="D317" s="8"/>
      <c r="E317" s="8"/>
      <c r="F317" s="8"/>
      <c r="G317" s="8"/>
    </row>
    <row r="318" ht="15.75" customHeight="1">
      <c r="A318" s="8"/>
      <c r="B318" s="8"/>
      <c r="C318" s="8"/>
      <c r="D318" s="8"/>
      <c r="E318" s="8"/>
      <c r="F318" s="8"/>
      <c r="G318" s="8"/>
    </row>
    <row r="319" ht="15.75" customHeight="1">
      <c r="A319" s="8"/>
      <c r="B319" s="8"/>
      <c r="C319" s="8"/>
      <c r="D319" s="8"/>
      <c r="E319" s="8"/>
      <c r="F319" s="8"/>
      <c r="G319" s="8"/>
    </row>
    <row r="320" ht="15.75" customHeight="1">
      <c r="A320" s="8"/>
      <c r="B320" s="8"/>
      <c r="C320" s="8"/>
      <c r="D320" s="8"/>
      <c r="E320" s="8"/>
      <c r="F320" s="8"/>
      <c r="G320" s="8"/>
    </row>
    <row r="321" ht="15.75" customHeight="1">
      <c r="A321" s="8"/>
      <c r="B321" s="8"/>
      <c r="C321" s="8"/>
      <c r="D321" s="8"/>
      <c r="E321" s="8"/>
      <c r="F321" s="8"/>
      <c r="G321" s="8"/>
    </row>
    <row r="322" ht="15.75" customHeight="1">
      <c r="A322" s="8"/>
      <c r="B322" s="8"/>
      <c r="C322" s="8"/>
      <c r="D322" s="8"/>
      <c r="E322" s="8"/>
      <c r="F322" s="8"/>
      <c r="G322" s="8"/>
    </row>
    <row r="323" ht="15.75" customHeight="1">
      <c r="A323" s="8"/>
      <c r="B323" s="8"/>
      <c r="C323" s="8"/>
      <c r="D323" s="8"/>
      <c r="E323" s="8"/>
      <c r="F323" s="8"/>
      <c r="G323" s="8"/>
    </row>
    <row r="324" ht="15.75" customHeight="1">
      <c r="A324" s="8"/>
      <c r="B324" s="8"/>
      <c r="C324" s="8"/>
      <c r="D324" s="8"/>
      <c r="E324" s="8"/>
      <c r="F324" s="8"/>
      <c r="G324" s="8"/>
    </row>
    <row r="325" ht="15.75" customHeight="1">
      <c r="A325" s="8"/>
      <c r="B325" s="8"/>
      <c r="C325" s="8"/>
      <c r="D325" s="8"/>
      <c r="E325" s="8"/>
      <c r="F325" s="8"/>
      <c r="G325" s="8"/>
    </row>
    <row r="326" ht="15.75" customHeight="1">
      <c r="A326" s="8"/>
      <c r="B326" s="8"/>
      <c r="C326" s="8"/>
      <c r="D326" s="8"/>
      <c r="E326" s="8"/>
      <c r="F326" s="8"/>
      <c r="G326" s="8"/>
    </row>
    <row r="327" ht="15.75" customHeight="1">
      <c r="A327" s="8"/>
      <c r="B327" s="8"/>
      <c r="C327" s="8"/>
      <c r="D327" s="8"/>
      <c r="E327" s="8"/>
      <c r="F327" s="8"/>
      <c r="G327" s="8"/>
    </row>
    <row r="328" ht="15.75" customHeight="1">
      <c r="A328" s="8"/>
      <c r="B328" s="8"/>
      <c r="C328" s="8"/>
      <c r="D328" s="8"/>
      <c r="E328" s="8"/>
      <c r="F328" s="8"/>
      <c r="G328" s="8"/>
    </row>
    <row r="329" ht="15.75" customHeight="1">
      <c r="A329" s="8"/>
      <c r="B329" s="8"/>
      <c r="C329" s="8"/>
      <c r="D329" s="8"/>
      <c r="E329" s="8"/>
      <c r="F329" s="8"/>
      <c r="G329" s="8"/>
    </row>
    <row r="330" ht="15.75" customHeight="1">
      <c r="A330" s="8"/>
      <c r="B330" s="8"/>
      <c r="C330" s="8"/>
      <c r="D330" s="8"/>
      <c r="E330" s="8"/>
      <c r="F330" s="8"/>
      <c r="G330" s="8"/>
    </row>
    <row r="331" ht="15.75" customHeight="1">
      <c r="A331" s="8"/>
      <c r="B331" s="8"/>
      <c r="C331" s="8"/>
      <c r="D331" s="8"/>
      <c r="E331" s="8"/>
      <c r="F331" s="8"/>
      <c r="G331" s="8"/>
    </row>
    <row r="332" ht="15.75" customHeight="1">
      <c r="A332" s="8"/>
      <c r="B332" s="8"/>
      <c r="C332" s="8"/>
      <c r="D332" s="8"/>
      <c r="E332" s="8"/>
      <c r="F332" s="8"/>
      <c r="G332" s="8"/>
    </row>
    <row r="333" ht="15.75" customHeight="1">
      <c r="A333" s="8"/>
      <c r="B333" s="8"/>
      <c r="C333" s="8"/>
      <c r="D333" s="8"/>
      <c r="E333" s="8"/>
      <c r="F333" s="8"/>
      <c r="G333" s="8"/>
    </row>
    <row r="334" ht="15.75" customHeight="1">
      <c r="A334" s="8"/>
      <c r="B334" s="8"/>
      <c r="C334" s="8"/>
      <c r="D334" s="8"/>
      <c r="E334" s="8"/>
      <c r="F334" s="8"/>
      <c r="G334" s="8"/>
    </row>
    <row r="335" ht="15.75" customHeight="1">
      <c r="A335" s="8"/>
      <c r="B335" s="8"/>
      <c r="C335" s="8"/>
      <c r="D335" s="8"/>
      <c r="E335" s="8"/>
      <c r="F335" s="8"/>
      <c r="G335" s="8"/>
    </row>
    <row r="336" ht="15.75" customHeight="1">
      <c r="A336" s="8"/>
      <c r="B336" s="8"/>
      <c r="C336" s="8"/>
      <c r="D336" s="8"/>
      <c r="E336" s="8"/>
      <c r="F336" s="8"/>
      <c r="G336" s="8"/>
    </row>
    <row r="337" ht="15.75" customHeight="1">
      <c r="A337" s="8"/>
      <c r="B337" s="8"/>
      <c r="C337" s="8"/>
      <c r="D337" s="8"/>
      <c r="E337" s="8"/>
      <c r="F337" s="8"/>
      <c r="G337" s="8"/>
    </row>
    <row r="338" ht="15.75" customHeight="1">
      <c r="A338" s="8"/>
      <c r="B338" s="8"/>
      <c r="C338" s="8"/>
      <c r="D338" s="8"/>
      <c r="E338" s="8"/>
      <c r="F338" s="8"/>
      <c r="G338" s="8"/>
    </row>
    <row r="339" ht="15.75" customHeight="1">
      <c r="A339" s="8"/>
      <c r="B339" s="8"/>
      <c r="C339" s="8"/>
      <c r="D339" s="8"/>
      <c r="E339" s="8"/>
      <c r="F339" s="8"/>
      <c r="G339" s="8"/>
    </row>
    <row r="340" ht="15.75" customHeight="1">
      <c r="A340" s="8"/>
      <c r="B340" s="8"/>
      <c r="C340" s="8"/>
      <c r="D340" s="8"/>
      <c r="E340" s="8"/>
      <c r="F340" s="8"/>
      <c r="G340" s="8"/>
    </row>
    <row r="341" ht="15.75" customHeight="1">
      <c r="A341" s="8"/>
      <c r="B341" s="8"/>
      <c r="C341" s="8"/>
      <c r="D341" s="8"/>
      <c r="E341" s="8"/>
      <c r="F341" s="8"/>
      <c r="G341" s="8"/>
    </row>
    <row r="342" ht="15.75" customHeight="1">
      <c r="A342" s="8"/>
      <c r="B342" s="8"/>
      <c r="C342" s="8"/>
      <c r="D342" s="8"/>
      <c r="E342" s="8"/>
      <c r="F342" s="8"/>
      <c r="G342" s="8"/>
    </row>
    <row r="343" ht="15.75" customHeight="1">
      <c r="A343" s="8"/>
      <c r="B343" s="8"/>
      <c r="C343" s="8"/>
      <c r="D343" s="8"/>
      <c r="E343" s="8"/>
      <c r="F343" s="8"/>
      <c r="G343" s="8"/>
    </row>
    <row r="344" ht="15.75" customHeight="1">
      <c r="A344" s="8"/>
      <c r="B344" s="8"/>
      <c r="C344" s="8"/>
      <c r="D344" s="8"/>
      <c r="E344" s="8"/>
      <c r="F344" s="8"/>
      <c r="G344" s="8"/>
    </row>
    <row r="345" ht="15.75" customHeight="1">
      <c r="A345" s="8"/>
      <c r="B345" s="8"/>
      <c r="C345" s="8"/>
      <c r="D345" s="8"/>
      <c r="E345" s="8"/>
      <c r="F345" s="8"/>
      <c r="G345" s="8"/>
    </row>
    <row r="346" ht="15.75" customHeight="1">
      <c r="A346" s="8"/>
      <c r="B346" s="8"/>
      <c r="C346" s="8"/>
      <c r="D346" s="8"/>
      <c r="E346" s="8"/>
      <c r="F346" s="8"/>
      <c r="G346" s="8"/>
    </row>
    <row r="347" ht="15.75" customHeight="1">
      <c r="A347" s="8"/>
      <c r="B347" s="8"/>
      <c r="C347" s="8"/>
      <c r="D347" s="8"/>
      <c r="E347" s="8"/>
      <c r="F347" s="8"/>
      <c r="G347" s="8"/>
    </row>
    <row r="348" ht="15.75" customHeight="1">
      <c r="A348" s="8"/>
      <c r="B348" s="8"/>
      <c r="C348" s="8"/>
      <c r="D348" s="8"/>
      <c r="E348" s="8"/>
      <c r="F348" s="8"/>
      <c r="G348" s="8"/>
    </row>
    <row r="349" ht="15.75" customHeight="1">
      <c r="A349" s="8"/>
      <c r="B349" s="8"/>
      <c r="C349" s="8"/>
      <c r="D349" s="8"/>
      <c r="E349" s="8"/>
      <c r="F349" s="8"/>
      <c r="G349" s="8"/>
    </row>
    <row r="350" ht="15.75" customHeight="1">
      <c r="A350" s="8"/>
      <c r="B350" s="8"/>
      <c r="C350" s="8"/>
      <c r="D350" s="8"/>
      <c r="E350" s="8"/>
      <c r="F350" s="8"/>
      <c r="G350" s="8"/>
    </row>
    <row r="351" ht="15.75" customHeight="1">
      <c r="A351" s="8"/>
      <c r="B351" s="8"/>
      <c r="C351" s="8"/>
      <c r="D351" s="8"/>
      <c r="E351" s="8"/>
      <c r="F351" s="8"/>
      <c r="G351" s="8"/>
    </row>
    <row r="352" ht="15.75" customHeight="1">
      <c r="A352" s="8"/>
      <c r="B352" s="8"/>
      <c r="C352" s="8"/>
      <c r="D352" s="8"/>
      <c r="E352" s="8"/>
      <c r="F352" s="8"/>
      <c r="G352" s="8"/>
    </row>
    <row r="353" ht="15.75" customHeight="1">
      <c r="A353" s="8"/>
      <c r="B353" s="8"/>
      <c r="C353" s="8"/>
      <c r="D353" s="8"/>
      <c r="E353" s="8"/>
      <c r="F353" s="8"/>
      <c r="G353" s="8"/>
    </row>
    <row r="354" ht="15.75" customHeight="1">
      <c r="A354" s="8"/>
      <c r="B354" s="8"/>
      <c r="C354" s="8"/>
      <c r="D354" s="8"/>
      <c r="E354" s="8"/>
      <c r="F354" s="8"/>
      <c r="G354" s="8"/>
    </row>
    <row r="355" ht="15.75" customHeight="1">
      <c r="A355" s="8"/>
      <c r="B355" s="8"/>
      <c r="C355" s="8"/>
      <c r="D355" s="8"/>
      <c r="E355" s="8"/>
      <c r="F355" s="8"/>
      <c r="G355" s="8"/>
    </row>
    <row r="356" ht="15.75" customHeight="1">
      <c r="A356" s="8"/>
      <c r="B356" s="8"/>
      <c r="C356" s="8"/>
      <c r="D356" s="8"/>
      <c r="E356" s="8"/>
      <c r="F356" s="8"/>
      <c r="G356" s="8"/>
    </row>
    <row r="357" ht="15.75" customHeight="1">
      <c r="A357" s="8"/>
      <c r="B357" s="8"/>
      <c r="C357" s="8"/>
      <c r="D357" s="8"/>
      <c r="E357" s="8"/>
      <c r="F357" s="8"/>
      <c r="G357" s="8"/>
    </row>
    <row r="358" ht="15.75" customHeight="1">
      <c r="A358" s="8"/>
      <c r="B358" s="8"/>
      <c r="C358" s="8"/>
      <c r="D358" s="8"/>
      <c r="E358" s="8"/>
      <c r="F358" s="8"/>
      <c r="G358" s="8"/>
    </row>
    <row r="359" ht="15.75" customHeight="1">
      <c r="A359" s="8"/>
      <c r="B359" s="8"/>
      <c r="C359" s="8"/>
      <c r="D359" s="8"/>
      <c r="E359" s="8"/>
      <c r="F359" s="8"/>
      <c r="G359" s="8"/>
    </row>
    <row r="360" ht="15.75" customHeight="1">
      <c r="A360" s="8"/>
      <c r="B360" s="8"/>
      <c r="C360" s="8"/>
      <c r="D360" s="8"/>
      <c r="E360" s="8"/>
      <c r="F360" s="8"/>
      <c r="G360" s="8"/>
    </row>
    <row r="361" ht="15.75" customHeight="1">
      <c r="A361" s="8"/>
      <c r="B361" s="8"/>
      <c r="C361" s="8"/>
      <c r="D361" s="8"/>
      <c r="E361" s="8"/>
      <c r="F361" s="8"/>
      <c r="G361" s="8"/>
    </row>
    <row r="362" ht="15.75" customHeight="1">
      <c r="A362" s="8"/>
      <c r="B362" s="8"/>
      <c r="C362" s="8"/>
      <c r="D362" s="8"/>
      <c r="E362" s="8"/>
      <c r="F362" s="8"/>
      <c r="G362" s="8"/>
    </row>
    <row r="363" ht="15.75" customHeight="1">
      <c r="A363" s="8"/>
      <c r="B363" s="8"/>
      <c r="C363" s="8"/>
      <c r="D363" s="8"/>
      <c r="E363" s="8"/>
      <c r="F363" s="8"/>
      <c r="G363" s="8"/>
    </row>
    <row r="364" ht="15.75" customHeight="1">
      <c r="A364" s="8"/>
      <c r="B364" s="8"/>
      <c r="C364" s="8"/>
      <c r="D364" s="8"/>
      <c r="E364" s="8"/>
      <c r="F364" s="8"/>
      <c r="G364" s="8"/>
    </row>
    <row r="365" ht="15.75" customHeight="1">
      <c r="A365" s="8"/>
      <c r="B365" s="8"/>
      <c r="C365" s="8"/>
      <c r="D365" s="8"/>
      <c r="E365" s="8"/>
      <c r="F365" s="8"/>
      <c r="G365" s="8"/>
    </row>
    <row r="366" ht="15.75" customHeight="1">
      <c r="A366" s="8"/>
      <c r="B366" s="8"/>
      <c r="C366" s="8"/>
      <c r="D366" s="8"/>
      <c r="E366" s="8"/>
      <c r="F366" s="8"/>
      <c r="G366" s="8"/>
    </row>
    <row r="367" ht="15.75" customHeight="1">
      <c r="A367" s="8"/>
      <c r="B367" s="8"/>
      <c r="C367" s="8"/>
      <c r="D367" s="8"/>
      <c r="E367" s="8"/>
      <c r="F367" s="8"/>
      <c r="G367" s="8"/>
    </row>
    <row r="368" ht="15.75" customHeight="1">
      <c r="A368" s="8"/>
      <c r="B368" s="8"/>
      <c r="C368" s="8"/>
      <c r="D368" s="8"/>
      <c r="E368" s="8"/>
      <c r="F368" s="8"/>
      <c r="G368" s="8"/>
    </row>
    <row r="369" ht="15.75" customHeight="1">
      <c r="A369" s="8"/>
      <c r="B369" s="8"/>
      <c r="C369" s="8"/>
      <c r="D369" s="8"/>
      <c r="E369" s="8"/>
      <c r="F369" s="8"/>
      <c r="G369" s="8"/>
    </row>
    <row r="370" ht="15.75" customHeight="1">
      <c r="A370" s="8"/>
      <c r="B370" s="8"/>
      <c r="C370" s="8"/>
      <c r="D370" s="8"/>
      <c r="E370" s="8"/>
      <c r="F370" s="8"/>
      <c r="G370" s="8"/>
    </row>
    <row r="371" ht="15.75" customHeight="1">
      <c r="A371" s="8"/>
      <c r="B371" s="8"/>
      <c r="C371" s="8"/>
      <c r="D371" s="8"/>
      <c r="E371" s="8"/>
      <c r="F371" s="8"/>
      <c r="G371" s="8"/>
    </row>
    <row r="372" ht="15.75" customHeight="1">
      <c r="A372" s="8"/>
      <c r="B372" s="8"/>
      <c r="C372" s="8"/>
      <c r="D372" s="8"/>
      <c r="E372" s="8"/>
      <c r="F372" s="8"/>
      <c r="G372" s="8"/>
    </row>
    <row r="373" ht="15.75" customHeight="1">
      <c r="A373" s="8"/>
      <c r="B373" s="8"/>
      <c r="C373" s="8"/>
      <c r="D373" s="8"/>
      <c r="E373" s="8"/>
      <c r="F373" s="8"/>
      <c r="G373" s="8"/>
    </row>
    <row r="374" ht="15.75" customHeight="1">
      <c r="A374" s="8"/>
      <c r="B374" s="8"/>
      <c r="C374" s="8"/>
      <c r="D374" s="8"/>
      <c r="E374" s="8"/>
      <c r="F374" s="8"/>
      <c r="G374" s="8"/>
    </row>
    <row r="375" ht="15.75" customHeight="1">
      <c r="A375" s="8"/>
      <c r="B375" s="8"/>
      <c r="C375" s="8"/>
      <c r="D375" s="8"/>
      <c r="E375" s="8"/>
      <c r="F375" s="8"/>
      <c r="G375" s="8"/>
    </row>
    <row r="376" ht="15.75" customHeight="1">
      <c r="A376" s="8"/>
      <c r="B376" s="8"/>
      <c r="C376" s="8"/>
      <c r="D376" s="8"/>
      <c r="E376" s="8"/>
      <c r="F376" s="8"/>
      <c r="G376" s="8"/>
    </row>
    <row r="377" ht="15.75" customHeight="1">
      <c r="A377" s="8"/>
      <c r="B377" s="8"/>
      <c r="C377" s="8"/>
      <c r="D377" s="8"/>
      <c r="E377" s="8"/>
      <c r="F377" s="8"/>
      <c r="G377" s="8"/>
    </row>
    <row r="378" ht="15.75" customHeight="1">
      <c r="A378" s="8"/>
      <c r="B378" s="8"/>
      <c r="C378" s="8"/>
      <c r="D378" s="8"/>
      <c r="E378" s="8"/>
      <c r="F378" s="8"/>
      <c r="G378" s="8"/>
    </row>
    <row r="379" ht="15.75" customHeight="1">
      <c r="A379" s="8"/>
      <c r="B379" s="8"/>
      <c r="C379" s="8"/>
      <c r="D379" s="8"/>
      <c r="E379" s="8"/>
      <c r="F379" s="8"/>
      <c r="G379" s="8"/>
    </row>
    <row r="380" ht="15.75" customHeight="1">
      <c r="A380" s="8"/>
      <c r="B380" s="8"/>
      <c r="C380" s="8"/>
      <c r="D380" s="8"/>
      <c r="E380" s="8"/>
      <c r="F380" s="8"/>
      <c r="G380" s="8"/>
    </row>
    <row r="381" ht="15.75" customHeight="1">
      <c r="A381" s="8"/>
      <c r="B381" s="8"/>
      <c r="C381" s="8"/>
      <c r="D381" s="8"/>
      <c r="E381" s="8"/>
      <c r="F381" s="8"/>
      <c r="G381" s="8"/>
    </row>
    <row r="382" ht="15.75" customHeight="1">
      <c r="A382" s="8"/>
      <c r="B382" s="8"/>
      <c r="C382" s="8"/>
      <c r="D382" s="8"/>
      <c r="E382" s="8"/>
      <c r="F382" s="8"/>
      <c r="G382" s="8"/>
    </row>
    <row r="383" ht="15.75" customHeight="1">
      <c r="A383" s="8"/>
      <c r="B383" s="8"/>
      <c r="C383" s="8"/>
      <c r="D383" s="8"/>
      <c r="E383" s="8"/>
      <c r="F383" s="8"/>
      <c r="G383" s="8"/>
    </row>
    <row r="384" ht="15.75" customHeight="1">
      <c r="A384" s="8"/>
      <c r="B384" s="8"/>
      <c r="C384" s="8"/>
      <c r="D384" s="8"/>
      <c r="E384" s="8"/>
      <c r="F384" s="8"/>
      <c r="G384" s="8"/>
    </row>
    <row r="385" ht="15.75" customHeight="1">
      <c r="A385" s="8"/>
      <c r="B385" s="8"/>
      <c r="C385" s="8"/>
      <c r="D385" s="8"/>
      <c r="E385" s="8"/>
      <c r="F385" s="8"/>
      <c r="G385" s="8"/>
    </row>
    <row r="386" ht="15.75" customHeight="1">
      <c r="A386" s="8"/>
      <c r="B386" s="8"/>
      <c r="C386" s="8"/>
      <c r="D386" s="8"/>
      <c r="E386" s="8"/>
      <c r="F386" s="8"/>
      <c r="G386" s="8"/>
    </row>
    <row r="387" ht="15.75" customHeight="1">
      <c r="A387" s="8"/>
      <c r="B387" s="8"/>
      <c r="C387" s="8"/>
      <c r="D387" s="8"/>
      <c r="E387" s="8"/>
      <c r="F387" s="8"/>
      <c r="G387" s="8"/>
    </row>
    <row r="388" ht="15.75" customHeight="1">
      <c r="A388" s="8"/>
      <c r="B388" s="8"/>
      <c r="C388" s="8"/>
      <c r="D388" s="8"/>
      <c r="E388" s="8"/>
      <c r="F388" s="8"/>
      <c r="G388" s="8"/>
    </row>
    <row r="389" ht="15.75" customHeight="1">
      <c r="A389" s="8"/>
      <c r="B389" s="8"/>
      <c r="C389" s="8"/>
      <c r="D389" s="8"/>
      <c r="E389" s="8"/>
      <c r="F389" s="8"/>
      <c r="G389" s="8"/>
    </row>
    <row r="390" ht="15.75" customHeight="1">
      <c r="A390" s="8"/>
      <c r="B390" s="8"/>
      <c r="C390" s="8"/>
      <c r="D390" s="8"/>
      <c r="E390" s="8"/>
      <c r="F390" s="8"/>
      <c r="G390" s="8"/>
    </row>
    <row r="391" ht="15.75" customHeight="1">
      <c r="A391" s="8"/>
      <c r="B391" s="8"/>
      <c r="C391" s="8"/>
      <c r="D391" s="8"/>
      <c r="E391" s="8"/>
      <c r="F391" s="8"/>
      <c r="G391" s="8"/>
    </row>
    <row r="392" ht="15.75" customHeight="1">
      <c r="A392" s="8"/>
      <c r="B392" s="8"/>
      <c r="C392" s="8"/>
      <c r="D392" s="8"/>
      <c r="E392" s="8"/>
      <c r="F392" s="8"/>
      <c r="G392" s="8"/>
    </row>
    <row r="393" ht="15.75" customHeight="1">
      <c r="A393" s="8"/>
      <c r="B393" s="8"/>
      <c r="C393" s="8"/>
      <c r="D393" s="8"/>
      <c r="E393" s="8"/>
      <c r="F393" s="8"/>
      <c r="G393" s="8"/>
    </row>
    <row r="394" ht="15.75" customHeight="1">
      <c r="A394" s="8"/>
      <c r="B394" s="8"/>
      <c r="C394" s="8"/>
      <c r="D394" s="8"/>
      <c r="E394" s="8"/>
      <c r="F394" s="8"/>
      <c r="G394" s="8"/>
    </row>
    <row r="395" ht="15.75" customHeight="1">
      <c r="A395" s="8"/>
      <c r="B395" s="8"/>
      <c r="C395" s="8"/>
      <c r="D395" s="8"/>
      <c r="E395" s="8"/>
      <c r="F395" s="8"/>
      <c r="G395" s="8"/>
    </row>
    <row r="396" ht="15.75" customHeight="1">
      <c r="A396" s="8"/>
      <c r="B396" s="8"/>
      <c r="C396" s="8"/>
      <c r="D396" s="8"/>
      <c r="E396" s="8"/>
      <c r="F396" s="8"/>
      <c r="G396" s="8"/>
    </row>
    <row r="397" ht="15.75" customHeight="1">
      <c r="A397" s="8"/>
      <c r="B397" s="8"/>
      <c r="C397" s="8"/>
      <c r="D397" s="8"/>
      <c r="E397" s="8"/>
      <c r="F397" s="8"/>
      <c r="G397" s="8"/>
    </row>
    <row r="398" ht="15.75" customHeight="1">
      <c r="A398" s="8"/>
      <c r="B398" s="8"/>
      <c r="C398" s="8"/>
      <c r="D398" s="8"/>
      <c r="E398" s="8"/>
      <c r="F398" s="8"/>
      <c r="G398" s="8"/>
    </row>
    <row r="399" ht="15.75" customHeight="1">
      <c r="A399" s="8"/>
      <c r="B399" s="8"/>
      <c r="C399" s="8"/>
      <c r="D399" s="8"/>
      <c r="E399" s="8"/>
      <c r="F399" s="8"/>
      <c r="G399" s="8"/>
    </row>
    <row r="400" ht="15.75" customHeight="1">
      <c r="A400" s="8"/>
      <c r="B400" s="8"/>
      <c r="C400" s="8"/>
      <c r="D400" s="8"/>
      <c r="E400" s="8"/>
      <c r="F400" s="8"/>
      <c r="G400" s="8"/>
    </row>
    <row r="401" ht="15.75" customHeight="1">
      <c r="A401" s="8"/>
      <c r="B401" s="8"/>
      <c r="C401" s="8"/>
      <c r="D401" s="8"/>
      <c r="E401" s="8"/>
      <c r="F401" s="8"/>
      <c r="G401" s="8"/>
    </row>
    <row r="402" ht="15.75" customHeight="1">
      <c r="A402" s="8"/>
      <c r="B402" s="8"/>
      <c r="C402" s="8"/>
      <c r="D402" s="8"/>
      <c r="E402" s="8"/>
      <c r="F402" s="8"/>
      <c r="G402" s="8"/>
    </row>
    <row r="403" ht="15.75" customHeight="1">
      <c r="A403" s="8"/>
      <c r="B403" s="8"/>
      <c r="C403" s="8"/>
      <c r="D403" s="8"/>
      <c r="E403" s="8"/>
      <c r="F403" s="8"/>
      <c r="G403" s="8"/>
    </row>
    <row r="404" ht="15.75" customHeight="1">
      <c r="A404" s="8"/>
      <c r="B404" s="8"/>
      <c r="C404" s="8"/>
      <c r="D404" s="8"/>
      <c r="E404" s="8"/>
      <c r="F404" s="8"/>
      <c r="G404" s="8"/>
    </row>
    <row r="405" ht="15.75" customHeight="1">
      <c r="A405" s="8"/>
      <c r="B405" s="8"/>
      <c r="C405" s="8"/>
      <c r="D405" s="8"/>
      <c r="E405" s="8"/>
      <c r="F405" s="8"/>
      <c r="G405" s="8"/>
    </row>
    <row r="406" ht="15.75" customHeight="1">
      <c r="A406" s="8"/>
      <c r="B406" s="8"/>
      <c r="C406" s="8"/>
      <c r="D406" s="8"/>
      <c r="E406" s="8"/>
      <c r="F406" s="8"/>
      <c r="G406" s="8"/>
    </row>
    <row r="407" ht="15.75" customHeight="1">
      <c r="A407" s="8"/>
      <c r="B407" s="8"/>
      <c r="C407" s="8"/>
      <c r="D407" s="8"/>
      <c r="E407" s="8"/>
      <c r="F407" s="8"/>
      <c r="G407" s="8"/>
    </row>
    <row r="408" ht="15.75" customHeight="1">
      <c r="A408" s="8"/>
      <c r="B408" s="8"/>
      <c r="C408" s="8"/>
      <c r="D408" s="8"/>
      <c r="E408" s="8"/>
      <c r="F408" s="8"/>
      <c r="G408" s="8"/>
    </row>
    <row r="409" ht="15.75" customHeight="1">
      <c r="A409" s="8"/>
      <c r="B409" s="8"/>
      <c r="C409" s="8"/>
      <c r="D409" s="8"/>
      <c r="E409" s="8"/>
      <c r="F409" s="8"/>
      <c r="G409" s="8"/>
    </row>
    <row r="410" ht="15.75" customHeight="1">
      <c r="A410" s="8"/>
      <c r="B410" s="8"/>
      <c r="C410" s="8"/>
      <c r="D410" s="8"/>
      <c r="E410" s="8"/>
      <c r="F410" s="8"/>
      <c r="G410" s="8"/>
    </row>
    <row r="411" ht="15.75" customHeight="1">
      <c r="A411" s="8"/>
      <c r="B411" s="8"/>
      <c r="C411" s="8"/>
      <c r="D411" s="8"/>
      <c r="E411" s="8"/>
      <c r="F411" s="8"/>
      <c r="G411" s="8"/>
    </row>
    <row r="412" ht="15.75" customHeight="1">
      <c r="A412" s="8"/>
      <c r="B412" s="8"/>
      <c r="C412" s="8"/>
      <c r="D412" s="8"/>
      <c r="E412" s="8"/>
      <c r="F412" s="8"/>
      <c r="G412" s="8"/>
    </row>
    <row r="413" ht="15.75" customHeight="1">
      <c r="A413" s="8"/>
      <c r="B413" s="8"/>
      <c r="C413" s="8"/>
      <c r="D413" s="8"/>
      <c r="E413" s="8"/>
      <c r="F413" s="8"/>
      <c r="G413" s="8"/>
    </row>
    <row r="414" ht="15.75" customHeight="1">
      <c r="A414" s="8"/>
      <c r="B414" s="8"/>
      <c r="C414" s="8"/>
      <c r="D414" s="8"/>
      <c r="E414" s="8"/>
      <c r="F414" s="8"/>
      <c r="G414" s="8"/>
    </row>
    <row r="415" ht="15.75" customHeight="1">
      <c r="A415" s="8"/>
      <c r="B415" s="8"/>
      <c r="C415" s="8"/>
      <c r="D415" s="8"/>
      <c r="E415" s="8"/>
      <c r="F415" s="8"/>
      <c r="G415" s="8"/>
    </row>
    <row r="416" ht="15.75" customHeight="1">
      <c r="A416" s="8"/>
      <c r="B416" s="8"/>
      <c r="C416" s="8"/>
      <c r="D416" s="8"/>
      <c r="E416" s="8"/>
      <c r="F416" s="8"/>
      <c r="G416" s="8"/>
    </row>
    <row r="417" ht="15.75" customHeight="1">
      <c r="A417" s="8"/>
      <c r="B417" s="8"/>
      <c r="C417" s="8"/>
      <c r="D417" s="8"/>
      <c r="E417" s="8"/>
      <c r="F417" s="8"/>
      <c r="G417" s="8"/>
    </row>
    <row r="418" ht="15.75" customHeight="1">
      <c r="A418" s="8"/>
      <c r="B418" s="8"/>
      <c r="C418" s="8"/>
      <c r="D418" s="8"/>
      <c r="E418" s="8"/>
      <c r="F418" s="8"/>
      <c r="G418" s="8"/>
    </row>
    <row r="419" ht="15.75" customHeight="1">
      <c r="A419" s="8"/>
      <c r="B419" s="8"/>
      <c r="C419" s="8"/>
      <c r="D419" s="8"/>
      <c r="E419" s="8"/>
      <c r="F419" s="8"/>
      <c r="G419" s="8"/>
    </row>
    <row r="420" ht="15.75" customHeight="1">
      <c r="A420" s="8"/>
      <c r="B420" s="8"/>
      <c r="C420" s="8"/>
      <c r="D420" s="8"/>
      <c r="E420" s="8"/>
      <c r="F420" s="8"/>
      <c r="G420" s="8"/>
    </row>
    <row r="421" ht="15.75" customHeight="1">
      <c r="A421" s="8"/>
      <c r="B421" s="8"/>
      <c r="C421" s="8"/>
      <c r="D421" s="8"/>
      <c r="E421" s="8"/>
      <c r="F421" s="8"/>
      <c r="G421" s="8"/>
    </row>
    <row r="422" ht="15.75" customHeight="1">
      <c r="A422" s="8"/>
      <c r="B422" s="8"/>
      <c r="C422" s="8"/>
      <c r="D422" s="8"/>
      <c r="E422" s="8"/>
      <c r="F422" s="8"/>
      <c r="G422" s="8"/>
    </row>
    <row r="423" ht="15.75" customHeight="1">
      <c r="A423" s="8"/>
      <c r="B423" s="8"/>
      <c r="C423" s="8"/>
      <c r="D423" s="8"/>
      <c r="E423" s="8"/>
      <c r="F423" s="8"/>
      <c r="G423" s="8"/>
    </row>
    <row r="424" ht="15.75" customHeight="1">
      <c r="A424" s="8"/>
      <c r="B424" s="8"/>
      <c r="C424" s="8"/>
      <c r="D424" s="8"/>
      <c r="E424" s="8"/>
      <c r="F424" s="8"/>
      <c r="G424" s="8"/>
    </row>
    <row r="425" ht="15.75" customHeight="1">
      <c r="A425" s="8"/>
      <c r="B425" s="8"/>
      <c r="C425" s="8"/>
      <c r="D425" s="8"/>
      <c r="E425" s="8"/>
      <c r="F425" s="8"/>
      <c r="G425" s="8"/>
    </row>
    <row r="426" ht="15.75" customHeight="1">
      <c r="A426" s="8"/>
      <c r="B426" s="8"/>
      <c r="C426" s="8"/>
      <c r="D426" s="8"/>
      <c r="E426" s="8"/>
      <c r="F426" s="8"/>
      <c r="G426" s="8"/>
    </row>
    <row r="427" ht="15.75" customHeight="1">
      <c r="A427" s="8"/>
      <c r="B427" s="8"/>
      <c r="C427" s="8"/>
      <c r="D427" s="8"/>
      <c r="E427" s="8"/>
      <c r="F427" s="8"/>
      <c r="G427" s="8"/>
    </row>
    <row r="428" ht="15.75" customHeight="1">
      <c r="A428" s="8"/>
      <c r="B428" s="8"/>
      <c r="C428" s="8"/>
      <c r="D428" s="8"/>
      <c r="E428" s="8"/>
      <c r="F428" s="8"/>
      <c r="G428" s="8"/>
    </row>
    <row r="429" ht="15.75" customHeight="1">
      <c r="A429" s="8"/>
      <c r="B429" s="8"/>
      <c r="C429" s="8"/>
      <c r="D429" s="8"/>
      <c r="E429" s="8"/>
      <c r="F429" s="8"/>
      <c r="G429" s="8"/>
    </row>
    <row r="430" ht="15.75" customHeight="1">
      <c r="A430" s="8"/>
      <c r="B430" s="8"/>
      <c r="C430" s="8"/>
      <c r="D430" s="8"/>
      <c r="E430" s="8"/>
      <c r="F430" s="8"/>
      <c r="G430" s="8"/>
    </row>
    <row r="431" ht="15.75" customHeight="1">
      <c r="A431" s="8"/>
      <c r="B431" s="8"/>
      <c r="C431" s="8"/>
      <c r="D431" s="8"/>
      <c r="E431" s="8"/>
      <c r="F431" s="8"/>
      <c r="G431" s="8"/>
    </row>
    <row r="432" ht="15.75" customHeight="1">
      <c r="A432" s="8"/>
      <c r="B432" s="8"/>
      <c r="C432" s="8"/>
      <c r="D432" s="8"/>
      <c r="E432" s="8"/>
      <c r="F432" s="8"/>
      <c r="G432" s="8"/>
    </row>
    <row r="433" ht="15.75" customHeight="1">
      <c r="A433" s="8"/>
      <c r="B433" s="8"/>
      <c r="C433" s="8"/>
      <c r="D433" s="8"/>
      <c r="E433" s="8"/>
      <c r="F433" s="8"/>
      <c r="G433" s="8"/>
    </row>
    <row r="434" ht="15.75" customHeight="1">
      <c r="A434" s="8"/>
      <c r="B434" s="8"/>
      <c r="C434" s="8"/>
      <c r="D434" s="8"/>
      <c r="E434" s="8"/>
      <c r="F434" s="8"/>
      <c r="G434" s="8"/>
    </row>
    <row r="435" ht="15.75" customHeight="1">
      <c r="A435" s="8"/>
      <c r="B435" s="8"/>
      <c r="C435" s="8"/>
      <c r="D435" s="8"/>
      <c r="E435" s="8"/>
      <c r="F435" s="8"/>
      <c r="G435" s="8"/>
    </row>
    <row r="436" ht="15.75" customHeight="1">
      <c r="A436" s="8"/>
      <c r="B436" s="8"/>
      <c r="C436" s="8"/>
      <c r="D436" s="8"/>
      <c r="E436" s="8"/>
      <c r="F436" s="8"/>
      <c r="G436" s="8"/>
    </row>
    <row r="437" ht="15.75" customHeight="1">
      <c r="A437" s="8"/>
      <c r="B437" s="8"/>
      <c r="C437" s="8"/>
      <c r="D437" s="8"/>
      <c r="E437" s="8"/>
      <c r="F437" s="8"/>
      <c r="G437" s="8"/>
    </row>
    <row r="438" ht="15.75" customHeight="1">
      <c r="A438" s="8"/>
      <c r="B438" s="8"/>
      <c r="C438" s="8"/>
      <c r="D438" s="8"/>
      <c r="E438" s="8"/>
      <c r="F438" s="8"/>
      <c r="G438" s="8"/>
    </row>
    <row r="439" ht="15.75" customHeight="1">
      <c r="A439" s="8"/>
      <c r="B439" s="8"/>
      <c r="C439" s="8"/>
      <c r="D439" s="8"/>
      <c r="E439" s="8"/>
      <c r="F439" s="8"/>
      <c r="G439" s="8"/>
    </row>
    <row r="440" ht="15.75" customHeight="1">
      <c r="A440" s="8"/>
      <c r="B440" s="8"/>
      <c r="C440" s="8"/>
      <c r="D440" s="8"/>
      <c r="E440" s="8"/>
      <c r="F440" s="8"/>
      <c r="G440" s="8"/>
    </row>
    <row r="441" ht="15.75" customHeight="1">
      <c r="A441" s="8"/>
      <c r="B441" s="8"/>
      <c r="C441" s="8"/>
      <c r="D441" s="8"/>
      <c r="E441" s="8"/>
      <c r="F441" s="8"/>
      <c r="G441" s="8"/>
    </row>
    <row r="442" ht="15.75" customHeight="1">
      <c r="A442" s="8"/>
      <c r="B442" s="8"/>
      <c r="C442" s="8"/>
      <c r="D442" s="8"/>
      <c r="E442" s="8"/>
      <c r="F442" s="8"/>
      <c r="G442" s="8"/>
    </row>
    <row r="443" ht="15.75" customHeight="1">
      <c r="A443" s="8"/>
      <c r="B443" s="8"/>
      <c r="C443" s="8"/>
      <c r="D443" s="8"/>
      <c r="E443" s="8"/>
      <c r="F443" s="8"/>
      <c r="G443" s="8"/>
    </row>
    <row r="444" ht="15.75" customHeight="1">
      <c r="A444" s="8"/>
      <c r="B444" s="8"/>
      <c r="C444" s="8"/>
      <c r="D444" s="8"/>
      <c r="E444" s="8"/>
      <c r="F444" s="8"/>
      <c r="G444" s="8"/>
    </row>
    <row r="445" ht="15.75" customHeight="1">
      <c r="A445" s="8"/>
      <c r="B445" s="8"/>
      <c r="C445" s="8"/>
      <c r="D445" s="8"/>
      <c r="E445" s="8"/>
      <c r="F445" s="8"/>
      <c r="G445" s="8"/>
    </row>
    <row r="446" ht="15.75" customHeight="1">
      <c r="A446" s="8"/>
      <c r="B446" s="8"/>
      <c r="C446" s="8"/>
      <c r="D446" s="8"/>
      <c r="E446" s="8"/>
      <c r="F446" s="8"/>
      <c r="G446" s="8"/>
    </row>
    <row r="447" ht="15.75" customHeight="1">
      <c r="A447" s="8"/>
      <c r="B447" s="8"/>
      <c r="C447" s="8"/>
      <c r="D447" s="8"/>
      <c r="E447" s="8"/>
      <c r="F447" s="8"/>
      <c r="G447" s="8"/>
    </row>
    <row r="448" ht="15.75" customHeight="1">
      <c r="A448" s="8"/>
      <c r="B448" s="8"/>
      <c r="C448" s="8"/>
      <c r="D448" s="8"/>
      <c r="E448" s="8"/>
      <c r="F448" s="8"/>
      <c r="G448" s="8"/>
    </row>
    <row r="449" ht="15.75" customHeight="1">
      <c r="A449" s="8"/>
      <c r="B449" s="8"/>
      <c r="C449" s="8"/>
      <c r="D449" s="8"/>
      <c r="E449" s="8"/>
      <c r="F449" s="8"/>
      <c r="G449" s="8"/>
    </row>
    <row r="450" ht="15.75" customHeight="1">
      <c r="A450" s="8"/>
      <c r="B450" s="8"/>
      <c r="C450" s="8"/>
      <c r="D450" s="8"/>
      <c r="E450" s="8"/>
      <c r="F450" s="8"/>
      <c r="G450" s="8"/>
    </row>
    <row r="451" ht="15.75" customHeight="1">
      <c r="A451" s="8"/>
      <c r="B451" s="8"/>
      <c r="C451" s="8"/>
      <c r="D451" s="8"/>
      <c r="E451" s="8"/>
      <c r="F451" s="8"/>
      <c r="G451" s="8"/>
    </row>
    <row r="452" ht="15.75" customHeight="1">
      <c r="A452" s="8"/>
      <c r="B452" s="8"/>
      <c r="C452" s="8"/>
      <c r="D452" s="8"/>
      <c r="E452" s="8"/>
      <c r="F452" s="8"/>
      <c r="G452" s="8"/>
    </row>
    <row r="453" ht="15.75" customHeight="1">
      <c r="A453" s="8"/>
      <c r="B453" s="8"/>
      <c r="C453" s="8"/>
      <c r="D453" s="8"/>
      <c r="E453" s="8"/>
      <c r="F453" s="8"/>
      <c r="G453" s="8"/>
    </row>
    <row r="454" ht="15.75" customHeight="1">
      <c r="A454" s="8"/>
      <c r="B454" s="8"/>
      <c r="C454" s="8"/>
      <c r="D454" s="8"/>
      <c r="E454" s="8"/>
      <c r="F454" s="8"/>
      <c r="G454" s="8"/>
    </row>
    <row r="455" ht="15.75" customHeight="1">
      <c r="A455" s="8"/>
      <c r="B455" s="8"/>
      <c r="C455" s="8"/>
      <c r="D455" s="8"/>
      <c r="E455" s="8"/>
      <c r="F455" s="8"/>
      <c r="G455" s="8"/>
    </row>
    <row r="456" ht="15.75" customHeight="1">
      <c r="A456" s="8"/>
      <c r="B456" s="8"/>
      <c r="C456" s="8"/>
      <c r="D456" s="8"/>
      <c r="E456" s="8"/>
      <c r="F456" s="8"/>
      <c r="G456" s="8"/>
    </row>
    <row r="457" ht="15.75" customHeight="1">
      <c r="A457" s="8"/>
      <c r="B457" s="8"/>
      <c r="C457" s="8"/>
      <c r="D457" s="8"/>
      <c r="E457" s="8"/>
      <c r="F457" s="8"/>
      <c r="G457" s="8"/>
    </row>
    <row r="458" ht="15.75" customHeight="1">
      <c r="A458" s="8"/>
      <c r="B458" s="8"/>
      <c r="C458" s="8"/>
      <c r="D458" s="8"/>
      <c r="E458" s="8"/>
      <c r="F458" s="8"/>
      <c r="G458" s="8"/>
    </row>
    <row r="459" ht="15.75" customHeight="1">
      <c r="A459" s="8"/>
      <c r="B459" s="8"/>
      <c r="C459" s="8"/>
      <c r="D459" s="8"/>
      <c r="E459" s="8"/>
      <c r="F459" s="8"/>
      <c r="G459" s="8"/>
    </row>
    <row r="460" ht="15.75" customHeight="1">
      <c r="A460" s="8"/>
      <c r="B460" s="8"/>
      <c r="C460" s="8"/>
      <c r="D460" s="8"/>
      <c r="E460" s="8"/>
      <c r="F460" s="8"/>
      <c r="G460" s="8"/>
    </row>
    <row r="461" ht="15.75" customHeight="1">
      <c r="A461" s="8"/>
      <c r="B461" s="8"/>
      <c r="C461" s="8"/>
      <c r="D461" s="8"/>
      <c r="E461" s="8"/>
      <c r="F461" s="8"/>
      <c r="G461" s="8"/>
    </row>
    <row r="462" ht="15.75" customHeight="1">
      <c r="A462" s="8"/>
      <c r="B462" s="8"/>
      <c r="C462" s="8"/>
      <c r="D462" s="8"/>
      <c r="E462" s="8"/>
      <c r="F462" s="8"/>
      <c r="G462" s="8"/>
    </row>
    <row r="463" ht="15.75" customHeight="1">
      <c r="A463" s="8"/>
      <c r="B463" s="8"/>
      <c r="C463" s="8"/>
      <c r="D463" s="8"/>
      <c r="E463" s="8"/>
      <c r="F463" s="8"/>
      <c r="G463" s="8"/>
    </row>
    <row r="464" ht="15.75" customHeight="1">
      <c r="A464" s="8"/>
      <c r="B464" s="8"/>
      <c r="C464" s="8"/>
      <c r="D464" s="8"/>
      <c r="E464" s="8"/>
      <c r="F464" s="8"/>
      <c r="G464" s="8"/>
    </row>
    <row r="465" ht="15.75" customHeight="1">
      <c r="A465" s="8"/>
      <c r="B465" s="8"/>
      <c r="C465" s="8"/>
      <c r="D465" s="8"/>
      <c r="E465" s="8"/>
      <c r="F465" s="8"/>
      <c r="G465" s="8"/>
    </row>
    <row r="466" ht="15.75" customHeight="1">
      <c r="A466" s="8"/>
      <c r="B466" s="8"/>
      <c r="C466" s="8"/>
      <c r="D466" s="8"/>
      <c r="E466" s="8"/>
      <c r="F466" s="8"/>
      <c r="G466" s="8"/>
    </row>
    <row r="467" ht="15.75" customHeight="1">
      <c r="A467" s="8"/>
      <c r="B467" s="8"/>
      <c r="C467" s="8"/>
      <c r="D467" s="8"/>
      <c r="E467" s="8"/>
      <c r="F467" s="8"/>
      <c r="G467" s="8"/>
    </row>
    <row r="468" ht="15.75" customHeight="1">
      <c r="A468" s="8"/>
      <c r="B468" s="8"/>
      <c r="C468" s="8"/>
      <c r="D468" s="8"/>
      <c r="E468" s="8"/>
      <c r="F468" s="8"/>
      <c r="G468" s="8"/>
    </row>
    <row r="469" ht="15.75" customHeight="1">
      <c r="A469" s="8"/>
      <c r="B469" s="8"/>
      <c r="C469" s="8"/>
      <c r="D469" s="8"/>
      <c r="E469" s="8"/>
      <c r="F469" s="8"/>
      <c r="G469" s="8"/>
    </row>
    <row r="470" ht="15.75" customHeight="1">
      <c r="A470" s="8"/>
      <c r="B470" s="8"/>
      <c r="C470" s="8"/>
      <c r="D470" s="8"/>
      <c r="E470" s="8"/>
      <c r="F470" s="8"/>
      <c r="G470" s="8"/>
    </row>
    <row r="471" ht="15.75" customHeight="1">
      <c r="A471" s="8"/>
      <c r="B471" s="8"/>
      <c r="C471" s="8"/>
      <c r="D471" s="8"/>
      <c r="E471" s="8"/>
      <c r="F471" s="8"/>
      <c r="G471" s="8"/>
    </row>
    <row r="472" ht="15.75" customHeight="1">
      <c r="A472" s="8"/>
      <c r="B472" s="8"/>
      <c r="C472" s="8"/>
      <c r="D472" s="8"/>
      <c r="E472" s="8"/>
      <c r="F472" s="8"/>
      <c r="G472" s="8"/>
    </row>
    <row r="473" ht="15.75" customHeight="1">
      <c r="A473" s="8"/>
      <c r="B473" s="8"/>
      <c r="C473" s="8"/>
      <c r="D473" s="8"/>
      <c r="E473" s="8"/>
      <c r="F473" s="8"/>
      <c r="G473" s="8"/>
    </row>
    <row r="474" ht="15.75" customHeight="1">
      <c r="A474" s="8"/>
      <c r="B474" s="8"/>
      <c r="C474" s="8"/>
      <c r="D474" s="8"/>
      <c r="E474" s="8"/>
      <c r="F474" s="8"/>
      <c r="G474" s="8"/>
    </row>
    <row r="475" ht="15.75" customHeight="1">
      <c r="A475" s="8"/>
      <c r="B475" s="8"/>
      <c r="C475" s="8"/>
      <c r="D475" s="8"/>
      <c r="E475" s="8"/>
      <c r="F475" s="8"/>
      <c r="G475" s="8"/>
    </row>
    <row r="476" ht="15.75" customHeight="1">
      <c r="A476" s="8"/>
      <c r="B476" s="8"/>
      <c r="C476" s="8"/>
      <c r="D476" s="8"/>
      <c r="E476" s="8"/>
      <c r="F476" s="8"/>
      <c r="G476" s="8"/>
    </row>
    <row r="477" ht="15.75" customHeight="1">
      <c r="A477" s="8"/>
      <c r="B477" s="8"/>
      <c r="C477" s="8"/>
      <c r="D477" s="8"/>
      <c r="E477" s="8"/>
      <c r="F477" s="8"/>
      <c r="G477" s="8"/>
    </row>
    <row r="478" ht="15.75" customHeight="1">
      <c r="A478" s="8"/>
      <c r="B478" s="8"/>
      <c r="C478" s="8"/>
      <c r="D478" s="8"/>
      <c r="E478" s="8"/>
      <c r="F478" s="8"/>
      <c r="G478" s="8"/>
    </row>
    <row r="479" ht="15.75" customHeight="1">
      <c r="A479" s="8"/>
      <c r="B479" s="8"/>
      <c r="C479" s="8"/>
      <c r="D479" s="8"/>
      <c r="E479" s="8"/>
      <c r="F479" s="8"/>
      <c r="G479" s="8"/>
    </row>
    <row r="480" ht="15.75" customHeight="1">
      <c r="A480" s="8"/>
      <c r="B480" s="8"/>
      <c r="C480" s="8"/>
      <c r="D480" s="8"/>
      <c r="E480" s="8"/>
      <c r="F480" s="8"/>
      <c r="G480" s="8"/>
    </row>
    <row r="481" ht="15.75" customHeight="1">
      <c r="A481" s="8"/>
      <c r="B481" s="8"/>
      <c r="C481" s="8"/>
      <c r="D481" s="8"/>
      <c r="E481" s="8"/>
      <c r="F481" s="8"/>
      <c r="G481" s="8"/>
    </row>
    <row r="482" ht="15.75" customHeight="1">
      <c r="A482" s="8"/>
      <c r="B482" s="8"/>
      <c r="C482" s="8"/>
      <c r="D482" s="8"/>
      <c r="E482" s="8"/>
      <c r="F482" s="8"/>
      <c r="G482" s="8"/>
    </row>
    <row r="483" ht="15.75" customHeight="1">
      <c r="A483" s="8"/>
      <c r="B483" s="8"/>
      <c r="C483" s="8"/>
      <c r="D483" s="8"/>
      <c r="E483" s="8"/>
      <c r="F483" s="8"/>
      <c r="G483" s="8"/>
    </row>
    <row r="484" ht="15.75" customHeight="1">
      <c r="A484" s="8"/>
      <c r="B484" s="8"/>
      <c r="C484" s="8"/>
      <c r="D484" s="8"/>
      <c r="E484" s="8"/>
      <c r="F484" s="8"/>
      <c r="G484" s="8"/>
    </row>
    <row r="485" ht="15.75" customHeight="1">
      <c r="A485" s="8"/>
      <c r="B485" s="8"/>
      <c r="C485" s="8"/>
      <c r="D485" s="8"/>
      <c r="E485" s="8"/>
      <c r="F485" s="8"/>
      <c r="G485" s="8"/>
    </row>
    <row r="486" ht="15.75" customHeight="1">
      <c r="A486" s="8"/>
      <c r="B486" s="8"/>
      <c r="C486" s="8"/>
      <c r="D486" s="8"/>
      <c r="E486" s="8"/>
      <c r="F486" s="8"/>
      <c r="G486" s="8"/>
    </row>
    <row r="487" ht="15.75" customHeight="1">
      <c r="A487" s="8"/>
      <c r="B487" s="8"/>
      <c r="C487" s="8"/>
      <c r="D487" s="8"/>
      <c r="E487" s="8"/>
      <c r="F487" s="8"/>
      <c r="G487" s="8"/>
    </row>
    <row r="488" ht="15.75" customHeight="1">
      <c r="A488" s="8"/>
      <c r="B488" s="8"/>
      <c r="C488" s="8"/>
      <c r="D488" s="8"/>
      <c r="E488" s="8"/>
      <c r="F488" s="8"/>
      <c r="G488" s="8"/>
    </row>
    <row r="489" ht="15.75" customHeight="1">
      <c r="A489" s="8"/>
      <c r="B489" s="8"/>
      <c r="C489" s="8"/>
      <c r="D489" s="8"/>
      <c r="E489" s="8"/>
      <c r="F489" s="8"/>
      <c r="G489" s="8"/>
    </row>
    <row r="490" ht="15.75" customHeight="1">
      <c r="A490" s="8"/>
      <c r="B490" s="8"/>
      <c r="C490" s="8"/>
      <c r="D490" s="8"/>
      <c r="E490" s="8"/>
      <c r="F490" s="8"/>
      <c r="G490" s="8"/>
    </row>
    <row r="491" ht="15.75" customHeight="1">
      <c r="A491" s="8"/>
      <c r="B491" s="8"/>
      <c r="C491" s="8"/>
      <c r="D491" s="8"/>
      <c r="E491" s="8"/>
      <c r="F491" s="8"/>
      <c r="G491" s="8"/>
    </row>
    <row r="492" ht="15.75" customHeight="1">
      <c r="A492" s="8"/>
      <c r="B492" s="8"/>
      <c r="C492" s="8"/>
      <c r="D492" s="8"/>
      <c r="E492" s="8"/>
      <c r="F492" s="8"/>
      <c r="G492" s="8"/>
    </row>
    <row r="493" ht="15.75" customHeight="1">
      <c r="A493" s="8"/>
      <c r="B493" s="8"/>
      <c r="C493" s="8"/>
      <c r="D493" s="8"/>
      <c r="E493" s="8"/>
      <c r="F493" s="8"/>
      <c r="G493" s="8"/>
    </row>
    <row r="494" ht="15.75" customHeight="1">
      <c r="A494" s="8"/>
      <c r="B494" s="8"/>
      <c r="C494" s="8"/>
      <c r="D494" s="8"/>
      <c r="E494" s="8"/>
      <c r="F494" s="8"/>
      <c r="G494" s="8"/>
    </row>
    <row r="495" ht="15.75" customHeight="1">
      <c r="A495" s="8"/>
      <c r="B495" s="8"/>
      <c r="C495" s="8"/>
      <c r="D495" s="8"/>
      <c r="E495" s="8"/>
      <c r="F495" s="8"/>
      <c r="G495" s="8"/>
    </row>
    <row r="496" ht="15.75" customHeight="1">
      <c r="A496" s="8"/>
      <c r="B496" s="8"/>
      <c r="C496" s="8"/>
      <c r="D496" s="8"/>
      <c r="E496" s="8"/>
      <c r="F496" s="8"/>
      <c r="G496" s="8"/>
    </row>
    <row r="497" ht="15.75" customHeight="1">
      <c r="A497" s="8"/>
      <c r="B497" s="8"/>
      <c r="C497" s="8"/>
      <c r="D497" s="8"/>
      <c r="E497" s="8"/>
      <c r="F497" s="8"/>
      <c r="G497" s="8"/>
    </row>
    <row r="498" ht="15.75" customHeight="1">
      <c r="A498" s="8"/>
      <c r="B498" s="8"/>
      <c r="C498" s="8"/>
      <c r="D498" s="8"/>
      <c r="E498" s="8"/>
      <c r="F498" s="8"/>
      <c r="G498" s="8"/>
    </row>
    <row r="499" ht="15.75" customHeight="1">
      <c r="A499" s="8"/>
      <c r="B499" s="8"/>
      <c r="C499" s="8"/>
      <c r="D499" s="8"/>
      <c r="E499" s="8"/>
      <c r="F499" s="8"/>
      <c r="G499" s="8"/>
    </row>
    <row r="500" ht="15.75" customHeight="1">
      <c r="A500" s="8"/>
      <c r="B500" s="8"/>
      <c r="C500" s="8"/>
      <c r="D500" s="8"/>
      <c r="E500" s="8"/>
      <c r="F500" s="8"/>
      <c r="G500" s="8"/>
    </row>
    <row r="501" ht="15.75" customHeight="1">
      <c r="A501" s="8"/>
      <c r="B501" s="8"/>
      <c r="C501" s="8"/>
      <c r="D501" s="8"/>
      <c r="E501" s="8"/>
      <c r="F501" s="8"/>
      <c r="G501" s="8"/>
    </row>
    <row r="502" ht="15.75" customHeight="1">
      <c r="A502" s="8"/>
      <c r="B502" s="8"/>
      <c r="C502" s="8"/>
      <c r="D502" s="8"/>
      <c r="E502" s="8"/>
      <c r="F502" s="8"/>
      <c r="G502" s="8"/>
    </row>
    <row r="503" ht="15.75" customHeight="1">
      <c r="A503" s="8"/>
      <c r="B503" s="8"/>
      <c r="C503" s="8"/>
      <c r="D503" s="8"/>
      <c r="E503" s="8"/>
      <c r="F503" s="8"/>
      <c r="G503" s="8"/>
    </row>
    <row r="504" ht="15.75" customHeight="1">
      <c r="A504" s="8"/>
      <c r="B504" s="8"/>
      <c r="C504" s="8"/>
      <c r="D504" s="8"/>
      <c r="E504" s="8"/>
      <c r="F504" s="8"/>
      <c r="G504" s="8"/>
    </row>
    <row r="505" ht="15.75" customHeight="1">
      <c r="A505" s="8"/>
      <c r="B505" s="8"/>
      <c r="C505" s="8"/>
      <c r="D505" s="8"/>
      <c r="E505" s="8"/>
      <c r="F505" s="8"/>
      <c r="G505" s="8"/>
    </row>
    <row r="506" ht="15.75" customHeight="1">
      <c r="A506" s="8"/>
      <c r="B506" s="8"/>
      <c r="C506" s="8"/>
      <c r="D506" s="8"/>
      <c r="E506" s="8"/>
      <c r="F506" s="8"/>
      <c r="G506" s="8"/>
    </row>
    <row r="507" ht="15.75" customHeight="1">
      <c r="A507" s="8"/>
      <c r="B507" s="8"/>
      <c r="C507" s="8"/>
      <c r="D507" s="8"/>
      <c r="E507" s="8"/>
      <c r="F507" s="8"/>
      <c r="G507" s="8"/>
    </row>
    <row r="508" ht="15.75" customHeight="1">
      <c r="A508" s="8"/>
      <c r="B508" s="8"/>
      <c r="C508" s="8"/>
      <c r="D508" s="8"/>
      <c r="E508" s="8"/>
      <c r="F508" s="8"/>
      <c r="G508" s="8"/>
    </row>
    <row r="509" ht="15.75" customHeight="1">
      <c r="A509" s="8"/>
      <c r="B509" s="8"/>
      <c r="C509" s="8"/>
      <c r="D509" s="8"/>
      <c r="E509" s="8"/>
      <c r="F509" s="8"/>
      <c r="G509" s="8"/>
    </row>
    <row r="510" ht="15.75" customHeight="1">
      <c r="A510" s="8"/>
      <c r="B510" s="8"/>
      <c r="C510" s="8"/>
      <c r="D510" s="8"/>
      <c r="E510" s="8"/>
      <c r="F510" s="8"/>
      <c r="G510" s="8"/>
    </row>
    <row r="511" ht="15.75" customHeight="1">
      <c r="A511" s="8"/>
      <c r="B511" s="8"/>
      <c r="C511" s="8"/>
      <c r="D511" s="8"/>
      <c r="E511" s="8"/>
      <c r="F511" s="8"/>
      <c r="G511" s="8"/>
    </row>
    <row r="512" ht="15.75" customHeight="1">
      <c r="A512" s="8"/>
      <c r="B512" s="8"/>
      <c r="C512" s="8"/>
      <c r="D512" s="8"/>
      <c r="E512" s="8"/>
      <c r="F512" s="8"/>
      <c r="G512" s="8"/>
    </row>
    <row r="513" ht="15.75" customHeight="1">
      <c r="A513" s="8"/>
      <c r="B513" s="8"/>
      <c r="C513" s="8"/>
      <c r="D513" s="8"/>
      <c r="E513" s="8"/>
      <c r="F513" s="8"/>
      <c r="G513" s="8"/>
    </row>
    <row r="514" ht="15.75" customHeight="1">
      <c r="A514" s="8"/>
      <c r="B514" s="8"/>
      <c r="C514" s="8"/>
      <c r="D514" s="8"/>
      <c r="E514" s="8"/>
      <c r="F514" s="8"/>
      <c r="G514" s="8"/>
    </row>
    <row r="515" ht="15.75" customHeight="1">
      <c r="A515" s="8"/>
      <c r="B515" s="8"/>
      <c r="C515" s="8"/>
      <c r="D515" s="8"/>
      <c r="E515" s="8"/>
      <c r="F515" s="8"/>
      <c r="G515" s="8"/>
    </row>
    <row r="516" ht="15.75" customHeight="1">
      <c r="A516" s="8"/>
      <c r="B516" s="8"/>
      <c r="C516" s="8"/>
      <c r="D516" s="8"/>
      <c r="E516" s="8"/>
      <c r="F516" s="8"/>
      <c r="G516" s="8"/>
    </row>
    <row r="517" ht="15.75" customHeight="1">
      <c r="A517" s="8"/>
      <c r="B517" s="8"/>
      <c r="C517" s="8"/>
      <c r="D517" s="8"/>
      <c r="E517" s="8"/>
      <c r="F517" s="8"/>
      <c r="G517" s="8"/>
    </row>
    <row r="518" ht="15.75" customHeight="1">
      <c r="A518" s="8"/>
      <c r="B518" s="8"/>
      <c r="C518" s="8"/>
      <c r="D518" s="8"/>
      <c r="E518" s="8"/>
      <c r="F518" s="8"/>
      <c r="G518" s="8"/>
    </row>
    <row r="519" ht="15.75" customHeight="1">
      <c r="A519" s="8"/>
      <c r="B519" s="8"/>
      <c r="C519" s="8"/>
      <c r="D519" s="8"/>
      <c r="E519" s="8"/>
      <c r="F519" s="8"/>
      <c r="G519" s="8"/>
    </row>
    <row r="520" ht="15.75" customHeight="1">
      <c r="A520" s="8"/>
      <c r="B520" s="8"/>
      <c r="C520" s="8"/>
      <c r="D520" s="8"/>
      <c r="E520" s="8"/>
      <c r="F520" s="8"/>
      <c r="G520" s="8"/>
    </row>
    <row r="521" ht="15.75" customHeight="1">
      <c r="A521" s="8"/>
      <c r="B521" s="8"/>
      <c r="C521" s="8"/>
      <c r="D521" s="8"/>
      <c r="E521" s="8"/>
      <c r="F521" s="8"/>
      <c r="G521" s="8"/>
    </row>
    <row r="522" ht="15.75" customHeight="1">
      <c r="A522" s="8"/>
      <c r="B522" s="8"/>
      <c r="C522" s="8"/>
      <c r="D522" s="8"/>
      <c r="E522" s="8"/>
      <c r="F522" s="8"/>
      <c r="G522" s="8"/>
    </row>
    <row r="523" ht="15.75" customHeight="1">
      <c r="A523" s="8"/>
      <c r="B523" s="8"/>
      <c r="C523" s="8"/>
      <c r="D523" s="8"/>
      <c r="E523" s="8"/>
      <c r="F523" s="8"/>
      <c r="G523" s="8"/>
    </row>
    <row r="524" ht="15.75" customHeight="1">
      <c r="A524" s="8"/>
      <c r="B524" s="8"/>
      <c r="C524" s="8"/>
      <c r="D524" s="8"/>
      <c r="E524" s="8"/>
      <c r="F524" s="8"/>
      <c r="G524" s="8"/>
    </row>
    <row r="525" ht="15.75" customHeight="1">
      <c r="A525" s="8"/>
      <c r="B525" s="8"/>
      <c r="C525" s="8"/>
      <c r="D525" s="8"/>
      <c r="E525" s="8"/>
      <c r="F525" s="8"/>
      <c r="G525" s="8"/>
    </row>
    <row r="526" ht="15.75" customHeight="1">
      <c r="A526" s="8"/>
      <c r="B526" s="8"/>
      <c r="C526" s="8"/>
      <c r="D526" s="8"/>
      <c r="E526" s="8"/>
      <c r="F526" s="8"/>
      <c r="G526" s="8"/>
    </row>
    <row r="527" ht="15.75" customHeight="1">
      <c r="A527" s="8"/>
      <c r="B527" s="8"/>
      <c r="C527" s="8"/>
      <c r="D527" s="8"/>
      <c r="E527" s="8"/>
      <c r="F527" s="8"/>
      <c r="G527" s="8"/>
    </row>
    <row r="528" ht="15.75" customHeight="1">
      <c r="A528" s="8"/>
      <c r="B528" s="8"/>
      <c r="C528" s="8"/>
      <c r="D528" s="8"/>
      <c r="E528" s="8"/>
      <c r="F528" s="8"/>
      <c r="G528" s="8"/>
    </row>
    <row r="529" ht="15.75" customHeight="1">
      <c r="A529" s="8"/>
      <c r="B529" s="8"/>
      <c r="C529" s="8"/>
      <c r="D529" s="8"/>
      <c r="E529" s="8"/>
      <c r="F529" s="8"/>
      <c r="G529" s="8"/>
    </row>
    <row r="530" ht="15.75" customHeight="1">
      <c r="A530" s="8"/>
      <c r="B530" s="8"/>
      <c r="C530" s="8"/>
      <c r="D530" s="8"/>
      <c r="E530" s="8"/>
      <c r="F530" s="8"/>
      <c r="G530" s="8"/>
    </row>
    <row r="531" ht="15.75" customHeight="1">
      <c r="A531" s="8"/>
      <c r="B531" s="8"/>
      <c r="C531" s="8"/>
      <c r="D531" s="8"/>
      <c r="E531" s="8"/>
      <c r="F531" s="8"/>
      <c r="G531" s="8"/>
    </row>
    <row r="532" ht="15.75" customHeight="1">
      <c r="A532" s="8"/>
      <c r="B532" s="8"/>
      <c r="C532" s="8"/>
      <c r="D532" s="8"/>
      <c r="E532" s="8"/>
      <c r="F532" s="8"/>
      <c r="G532" s="8"/>
    </row>
    <row r="533" ht="15.75" customHeight="1">
      <c r="A533" s="8"/>
      <c r="B533" s="8"/>
      <c r="C533" s="8"/>
      <c r="D533" s="8"/>
      <c r="E533" s="8"/>
      <c r="F533" s="8"/>
      <c r="G533" s="8"/>
    </row>
    <row r="534" ht="15.75" customHeight="1">
      <c r="A534" s="8"/>
      <c r="B534" s="8"/>
      <c r="C534" s="8"/>
      <c r="D534" s="8"/>
      <c r="E534" s="8"/>
      <c r="F534" s="8"/>
      <c r="G534" s="8"/>
    </row>
    <row r="535" ht="15.75" customHeight="1">
      <c r="A535" s="8"/>
      <c r="B535" s="8"/>
      <c r="C535" s="8"/>
      <c r="D535" s="8"/>
      <c r="E535" s="8"/>
      <c r="F535" s="8"/>
      <c r="G535" s="8"/>
    </row>
    <row r="536" ht="15.75" customHeight="1">
      <c r="A536" s="8"/>
      <c r="B536" s="8"/>
      <c r="C536" s="8"/>
      <c r="D536" s="8"/>
      <c r="E536" s="8"/>
      <c r="F536" s="8"/>
      <c r="G536" s="8"/>
    </row>
    <row r="537" ht="15.75" customHeight="1">
      <c r="A537" s="8"/>
      <c r="B537" s="8"/>
      <c r="C537" s="8"/>
      <c r="D537" s="8"/>
      <c r="E537" s="8"/>
      <c r="F537" s="8"/>
      <c r="G537" s="8"/>
    </row>
    <row r="538" ht="15.75" customHeight="1">
      <c r="A538" s="8"/>
      <c r="B538" s="8"/>
      <c r="C538" s="8"/>
      <c r="D538" s="8"/>
      <c r="E538" s="8"/>
      <c r="F538" s="8"/>
      <c r="G538" s="8"/>
    </row>
    <row r="539" ht="15.75" customHeight="1">
      <c r="A539" s="8"/>
      <c r="B539" s="8"/>
      <c r="C539" s="8"/>
      <c r="D539" s="8"/>
      <c r="E539" s="8"/>
      <c r="F539" s="8"/>
      <c r="G539" s="8"/>
    </row>
    <row r="540" ht="15.75" customHeight="1">
      <c r="A540" s="8"/>
      <c r="B540" s="8"/>
      <c r="C540" s="8"/>
      <c r="D540" s="8"/>
      <c r="E540" s="8"/>
      <c r="F540" s="8"/>
      <c r="G540" s="8"/>
    </row>
    <row r="541" ht="15.75" customHeight="1">
      <c r="A541" s="8"/>
      <c r="B541" s="8"/>
      <c r="C541" s="8"/>
      <c r="D541" s="8"/>
      <c r="E541" s="8"/>
      <c r="F541" s="8"/>
      <c r="G541" s="8"/>
    </row>
    <row r="542" ht="15.75" customHeight="1">
      <c r="A542" s="8"/>
      <c r="B542" s="8"/>
      <c r="C542" s="8"/>
      <c r="D542" s="8"/>
      <c r="E542" s="8"/>
      <c r="F542" s="8"/>
      <c r="G542" s="8"/>
    </row>
    <row r="543" ht="15.75" customHeight="1">
      <c r="A543" s="8"/>
      <c r="B543" s="8"/>
      <c r="C543" s="8"/>
      <c r="D543" s="8"/>
      <c r="E543" s="8"/>
      <c r="F543" s="8"/>
      <c r="G543" s="8"/>
    </row>
    <row r="544" ht="15.75" customHeight="1">
      <c r="A544" s="8"/>
      <c r="B544" s="8"/>
      <c r="C544" s="8"/>
      <c r="D544" s="8"/>
      <c r="E544" s="8"/>
      <c r="F544" s="8"/>
      <c r="G544" s="8"/>
    </row>
    <row r="545" ht="15.75" customHeight="1">
      <c r="A545" s="8"/>
      <c r="B545" s="8"/>
      <c r="C545" s="8"/>
      <c r="D545" s="8"/>
      <c r="E545" s="8"/>
      <c r="F545" s="8"/>
      <c r="G545" s="8"/>
    </row>
    <row r="546" ht="15.75" customHeight="1">
      <c r="A546" s="8"/>
      <c r="B546" s="8"/>
      <c r="C546" s="8"/>
      <c r="D546" s="8"/>
      <c r="E546" s="8"/>
      <c r="F546" s="8"/>
      <c r="G546" s="8"/>
    </row>
    <row r="547" ht="15.75" customHeight="1">
      <c r="A547" s="8"/>
      <c r="B547" s="8"/>
      <c r="C547" s="8"/>
      <c r="D547" s="8"/>
      <c r="E547" s="8"/>
      <c r="F547" s="8"/>
      <c r="G547" s="8"/>
    </row>
    <row r="548" ht="15.75" customHeight="1">
      <c r="A548" s="8"/>
      <c r="B548" s="8"/>
      <c r="C548" s="8"/>
      <c r="D548" s="8"/>
      <c r="E548" s="8"/>
      <c r="F548" s="8"/>
      <c r="G548" s="8"/>
    </row>
    <row r="549" ht="15.75" customHeight="1">
      <c r="A549" s="8"/>
      <c r="B549" s="8"/>
      <c r="C549" s="8"/>
      <c r="D549" s="8"/>
      <c r="E549" s="8"/>
      <c r="F549" s="8"/>
      <c r="G549" s="8"/>
    </row>
    <row r="550" ht="15.75" customHeight="1">
      <c r="A550" s="8"/>
      <c r="B550" s="8"/>
      <c r="C550" s="8"/>
      <c r="D550" s="8"/>
      <c r="E550" s="8"/>
      <c r="F550" s="8"/>
      <c r="G550" s="8"/>
    </row>
    <row r="551" ht="15.75" customHeight="1">
      <c r="A551" s="8"/>
      <c r="B551" s="8"/>
      <c r="C551" s="8"/>
      <c r="D551" s="8"/>
      <c r="E551" s="8"/>
      <c r="F551" s="8"/>
      <c r="G551" s="8"/>
    </row>
    <row r="552" ht="15.75" customHeight="1">
      <c r="A552" s="8"/>
      <c r="B552" s="8"/>
      <c r="C552" s="8"/>
      <c r="D552" s="8"/>
      <c r="E552" s="8"/>
      <c r="F552" s="8"/>
      <c r="G552" s="8"/>
    </row>
    <row r="553" ht="15.75" customHeight="1">
      <c r="A553" s="8"/>
      <c r="B553" s="8"/>
      <c r="C553" s="8"/>
      <c r="D553" s="8"/>
      <c r="E553" s="8"/>
      <c r="F553" s="8"/>
      <c r="G553" s="8"/>
    </row>
    <row r="554" ht="15.75" customHeight="1">
      <c r="A554" s="8"/>
      <c r="B554" s="8"/>
      <c r="C554" s="8"/>
      <c r="D554" s="8"/>
      <c r="E554" s="8"/>
      <c r="F554" s="8"/>
      <c r="G554" s="8"/>
    </row>
    <row r="555" ht="15.75" customHeight="1">
      <c r="A555" s="8"/>
      <c r="B555" s="8"/>
      <c r="C555" s="8"/>
      <c r="D555" s="8"/>
      <c r="E555" s="8"/>
      <c r="F555" s="8"/>
      <c r="G555" s="8"/>
    </row>
    <row r="556" ht="15.75" customHeight="1">
      <c r="A556" s="8"/>
      <c r="B556" s="8"/>
      <c r="C556" s="8"/>
      <c r="D556" s="8"/>
      <c r="E556" s="8"/>
      <c r="F556" s="8"/>
      <c r="G556" s="8"/>
    </row>
    <row r="557" ht="15.75" customHeight="1">
      <c r="A557" s="8"/>
      <c r="B557" s="8"/>
      <c r="C557" s="8"/>
      <c r="D557" s="8"/>
      <c r="E557" s="8"/>
      <c r="F557" s="8"/>
      <c r="G557" s="8"/>
    </row>
    <row r="558" ht="15.75" customHeight="1">
      <c r="A558" s="8"/>
      <c r="B558" s="8"/>
      <c r="C558" s="8"/>
      <c r="D558" s="8"/>
      <c r="E558" s="8"/>
      <c r="F558" s="8"/>
      <c r="G558" s="8"/>
    </row>
    <row r="559" ht="15.75" customHeight="1">
      <c r="A559" s="8"/>
      <c r="B559" s="8"/>
      <c r="C559" s="8"/>
      <c r="D559" s="8"/>
      <c r="E559" s="8"/>
      <c r="F559" s="8"/>
      <c r="G559" s="8"/>
    </row>
    <row r="560" ht="15.75" customHeight="1">
      <c r="A560" s="8"/>
      <c r="B560" s="8"/>
      <c r="C560" s="8"/>
      <c r="D560" s="8"/>
      <c r="E560" s="8"/>
      <c r="F560" s="8"/>
      <c r="G560" s="8"/>
    </row>
    <row r="561" ht="15.75" customHeight="1">
      <c r="A561" s="8"/>
      <c r="B561" s="8"/>
      <c r="C561" s="8"/>
      <c r="D561" s="8"/>
      <c r="E561" s="8"/>
      <c r="F561" s="8"/>
      <c r="G561" s="8"/>
    </row>
    <row r="562" ht="15.75" customHeight="1">
      <c r="A562" s="8"/>
      <c r="B562" s="8"/>
      <c r="C562" s="8"/>
      <c r="D562" s="8"/>
      <c r="E562" s="8"/>
      <c r="F562" s="8"/>
      <c r="G562" s="8"/>
    </row>
    <row r="563" ht="15.75" customHeight="1">
      <c r="A563" s="8"/>
      <c r="B563" s="8"/>
      <c r="C563" s="8"/>
      <c r="D563" s="8"/>
      <c r="E563" s="8"/>
      <c r="F563" s="8"/>
      <c r="G563" s="8"/>
    </row>
    <row r="564" ht="15.75" customHeight="1">
      <c r="A564" s="8"/>
      <c r="B564" s="8"/>
      <c r="C564" s="8"/>
      <c r="D564" s="8"/>
      <c r="E564" s="8"/>
      <c r="F564" s="8"/>
      <c r="G564" s="8"/>
    </row>
    <row r="565" ht="15.75" customHeight="1">
      <c r="A565" s="8"/>
      <c r="B565" s="8"/>
      <c r="C565" s="8"/>
      <c r="D565" s="8"/>
      <c r="E565" s="8"/>
      <c r="F565" s="8"/>
      <c r="G565" s="8"/>
    </row>
    <row r="566" ht="15.75" customHeight="1">
      <c r="A566" s="8"/>
      <c r="B566" s="8"/>
      <c r="C566" s="8"/>
      <c r="D566" s="8"/>
      <c r="E566" s="8"/>
      <c r="F566" s="8"/>
      <c r="G566" s="8"/>
    </row>
    <row r="567" ht="15.75" customHeight="1">
      <c r="A567" s="8"/>
      <c r="B567" s="8"/>
      <c r="C567" s="8"/>
      <c r="D567" s="8"/>
      <c r="E567" s="8"/>
      <c r="F567" s="8"/>
      <c r="G567" s="8"/>
    </row>
    <row r="568" ht="15.75" customHeight="1">
      <c r="A568" s="8"/>
      <c r="B568" s="8"/>
      <c r="C568" s="8"/>
      <c r="D568" s="8"/>
      <c r="E568" s="8"/>
      <c r="F568" s="8"/>
      <c r="G568" s="8"/>
    </row>
    <row r="569" ht="15.75" customHeight="1">
      <c r="A569" s="8"/>
      <c r="B569" s="8"/>
      <c r="C569" s="8"/>
      <c r="D569" s="8"/>
      <c r="E569" s="8"/>
      <c r="F569" s="8"/>
      <c r="G569" s="8"/>
    </row>
    <row r="570" ht="15.75" customHeight="1">
      <c r="A570" s="8"/>
      <c r="B570" s="8"/>
      <c r="C570" s="8"/>
      <c r="D570" s="8"/>
      <c r="E570" s="8"/>
      <c r="F570" s="8"/>
      <c r="G570" s="8"/>
    </row>
    <row r="571" ht="15.75" customHeight="1">
      <c r="A571" s="8"/>
      <c r="B571" s="8"/>
      <c r="C571" s="8"/>
      <c r="D571" s="8"/>
      <c r="E571" s="8"/>
      <c r="F571" s="8"/>
      <c r="G571" s="8"/>
    </row>
    <row r="572" ht="15.75" customHeight="1">
      <c r="A572" s="8"/>
      <c r="B572" s="8"/>
      <c r="C572" s="8"/>
      <c r="D572" s="8"/>
      <c r="E572" s="8"/>
      <c r="F572" s="8"/>
      <c r="G572" s="8"/>
    </row>
    <row r="573" ht="15.75" customHeight="1">
      <c r="A573" s="8"/>
      <c r="B573" s="8"/>
      <c r="C573" s="8"/>
      <c r="D573" s="8"/>
      <c r="E573" s="8"/>
      <c r="F573" s="8"/>
      <c r="G573" s="8"/>
    </row>
    <row r="574" ht="15.75" customHeight="1">
      <c r="A574" s="8"/>
      <c r="B574" s="8"/>
      <c r="C574" s="8"/>
      <c r="D574" s="8"/>
      <c r="E574" s="8"/>
      <c r="F574" s="8"/>
      <c r="G574" s="8"/>
    </row>
    <row r="575" ht="15.75" customHeight="1">
      <c r="A575" s="8"/>
      <c r="B575" s="8"/>
      <c r="C575" s="8"/>
      <c r="D575" s="8"/>
      <c r="E575" s="8"/>
      <c r="F575" s="8"/>
      <c r="G575" s="8"/>
    </row>
    <row r="576" ht="15.75" customHeight="1">
      <c r="A576" s="8"/>
      <c r="B576" s="8"/>
      <c r="C576" s="8"/>
      <c r="D576" s="8"/>
      <c r="E576" s="8"/>
      <c r="F576" s="8"/>
      <c r="G576" s="8"/>
    </row>
    <row r="577" ht="15.75" customHeight="1">
      <c r="A577" s="8"/>
      <c r="B577" s="8"/>
      <c r="C577" s="8"/>
      <c r="D577" s="8"/>
      <c r="E577" s="8"/>
      <c r="F577" s="8"/>
      <c r="G577" s="8"/>
    </row>
    <row r="578" ht="15.75" customHeight="1">
      <c r="A578" s="8"/>
      <c r="B578" s="8"/>
      <c r="C578" s="8"/>
      <c r="D578" s="8"/>
      <c r="E578" s="8"/>
      <c r="F578" s="8"/>
      <c r="G578" s="8"/>
    </row>
    <row r="579" ht="15.75" customHeight="1">
      <c r="A579" s="8"/>
      <c r="B579" s="8"/>
      <c r="C579" s="8"/>
      <c r="D579" s="8"/>
      <c r="E579" s="8"/>
      <c r="F579" s="8"/>
      <c r="G579" s="8"/>
    </row>
    <row r="580" ht="15.75" customHeight="1">
      <c r="A580" s="8"/>
      <c r="B580" s="8"/>
      <c r="C580" s="8"/>
      <c r="D580" s="8"/>
      <c r="E580" s="8"/>
      <c r="F580" s="8"/>
      <c r="G580" s="8"/>
    </row>
    <row r="581" ht="15.75" customHeight="1">
      <c r="A581" s="8"/>
      <c r="B581" s="8"/>
      <c r="C581" s="8"/>
      <c r="D581" s="8"/>
      <c r="E581" s="8"/>
      <c r="F581" s="8"/>
      <c r="G581" s="8"/>
    </row>
    <row r="582" ht="15.75" customHeight="1">
      <c r="A582" s="8"/>
      <c r="B582" s="8"/>
      <c r="C582" s="8"/>
      <c r="D582" s="8"/>
      <c r="E582" s="8"/>
      <c r="F582" s="8"/>
      <c r="G582" s="8"/>
    </row>
    <row r="583" ht="15.75" customHeight="1">
      <c r="A583" s="8"/>
      <c r="B583" s="8"/>
      <c r="C583" s="8"/>
      <c r="D583" s="8"/>
      <c r="E583" s="8"/>
      <c r="F583" s="8"/>
      <c r="G583" s="8"/>
    </row>
    <row r="584" ht="15.75" customHeight="1">
      <c r="A584" s="8"/>
      <c r="B584" s="8"/>
      <c r="C584" s="8"/>
      <c r="D584" s="8"/>
      <c r="E584" s="8"/>
      <c r="F584" s="8"/>
      <c r="G584" s="8"/>
    </row>
    <row r="585" ht="15.75" customHeight="1">
      <c r="A585" s="8"/>
      <c r="B585" s="8"/>
      <c r="C585" s="8"/>
      <c r="D585" s="8"/>
      <c r="E585" s="8"/>
      <c r="F585" s="8"/>
      <c r="G585" s="8"/>
    </row>
    <row r="586" ht="15.75" customHeight="1">
      <c r="A586" s="8"/>
      <c r="B586" s="8"/>
      <c r="C586" s="8"/>
      <c r="D586" s="8"/>
      <c r="E586" s="8"/>
      <c r="F586" s="8"/>
      <c r="G586" s="8"/>
    </row>
    <row r="587" ht="15.75" customHeight="1">
      <c r="A587" s="8"/>
      <c r="B587" s="8"/>
      <c r="C587" s="8"/>
      <c r="D587" s="8"/>
      <c r="E587" s="8"/>
      <c r="F587" s="8"/>
      <c r="G587" s="8"/>
    </row>
    <row r="588" ht="15.75" customHeight="1">
      <c r="A588" s="8"/>
      <c r="B588" s="8"/>
      <c r="C588" s="8"/>
      <c r="D588" s="8"/>
      <c r="E588" s="8"/>
      <c r="F588" s="8"/>
      <c r="G588" s="8"/>
    </row>
    <row r="589" ht="15.75" customHeight="1">
      <c r="A589" s="8"/>
      <c r="B589" s="8"/>
      <c r="C589" s="8"/>
      <c r="D589" s="8"/>
      <c r="E589" s="8"/>
      <c r="F589" s="8"/>
      <c r="G589" s="8"/>
    </row>
    <row r="590" ht="15.75" customHeight="1">
      <c r="A590" s="8"/>
      <c r="B590" s="8"/>
      <c r="C590" s="8"/>
      <c r="D590" s="8"/>
      <c r="E590" s="8"/>
      <c r="F590" s="8"/>
      <c r="G590" s="8"/>
    </row>
    <row r="591" ht="15.75" customHeight="1">
      <c r="A591" s="8"/>
      <c r="B591" s="8"/>
      <c r="C591" s="8"/>
      <c r="D591" s="8"/>
      <c r="E591" s="8"/>
      <c r="F591" s="8"/>
      <c r="G591" s="8"/>
    </row>
    <row r="592" ht="15.75" customHeight="1">
      <c r="A592" s="8"/>
      <c r="B592" s="8"/>
      <c r="C592" s="8"/>
      <c r="D592" s="8"/>
      <c r="E592" s="8"/>
      <c r="F592" s="8"/>
      <c r="G592" s="8"/>
    </row>
    <row r="593" ht="15.75" customHeight="1">
      <c r="A593" s="8"/>
      <c r="B593" s="8"/>
      <c r="C593" s="8"/>
      <c r="D593" s="8"/>
      <c r="E593" s="8"/>
      <c r="F593" s="8"/>
      <c r="G593" s="8"/>
    </row>
    <row r="594" ht="15.75" customHeight="1">
      <c r="A594" s="8"/>
      <c r="B594" s="8"/>
      <c r="C594" s="8"/>
      <c r="D594" s="8"/>
      <c r="E594" s="8"/>
      <c r="F594" s="8"/>
      <c r="G594" s="8"/>
    </row>
    <row r="595" ht="15.75" customHeight="1">
      <c r="A595" s="8"/>
      <c r="B595" s="8"/>
      <c r="C595" s="8"/>
      <c r="D595" s="8"/>
      <c r="E595" s="8"/>
      <c r="F595" s="8"/>
      <c r="G595" s="8"/>
    </row>
    <row r="596" ht="15.75" customHeight="1">
      <c r="A596" s="8"/>
      <c r="B596" s="8"/>
      <c r="C596" s="8"/>
      <c r="D596" s="8"/>
      <c r="E596" s="8"/>
      <c r="F596" s="8"/>
      <c r="G596" s="8"/>
    </row>
    <row r="597" ht="15.75" customHeight="1">
      <c r="A597" s="8"/>
      <c r="B597" s="8"/>
      <c r="C597" s="8"/>
      <c r="D597" s="8"/>
      <c r="E597" s="8"/>
      <c r="F597" s="8"/>
      <c r="G597" s="8"/>
    </row>
    <row r="598" ht="15.75" customHeight="1">
      <c r="A598" s="8"/>
      <c r="B598" s="8"/>
      <c r="C598" s="8"/>
      <c r="D598" s="8"/>
      <c r="E598" s="8"/>
      <c r="F598" s="8"/>
      <c r="G598" s="8"/>
    </row>
    <row r="599" ht="15.75" customHeight="1">
      <c r="A599" s="8"/>
      <c r="B599" s="8"/>
      <c r="C599" s="8"/>
      <c r="D599" s="8"/>
      <c r="E599" s="8"/>
      <c r="F599" s="8"/>
      <c r="G599" s="8"/>
    </row>
    <row r="600" ht="15.75" customHeight="1">
      <c r="A600" s="8"/>
      <c r="B600" s="8"/>
      <c r="C600" s="8"/>
      <c r="D600" s="8"/>
      <c r="E600" s="8"/>
      <c r="F600" s="8"/>
      <c r="G600" s="8"/>
    </row>
    <row r="601" ht="15.75" customHeight="1">
      <c r="A601" s="8"/>
      <c r="B601" s="8"/>
      <c r="C601" s="8"/>
      <c r="D601" s="8"/>
      <c r="E601" s="8"/>
      <c r="F601" s="8"/>
      <c r="G601" s="8"/>
    </row>
    <row r="602" ht="15.75" customHeight="1">
      <c r="A602" s="8"/>
      <c r="B602" s="8"/>
      <c r="C602" s="8"/>
      <c r="D602" s="8"/>
      <c r="E602" s="8"/>
      <c r="F602" s="8"/>
      <c r="G602" s="8"/>
    </row>
    <row r="603" ht="15.75" customHeight="1">
      <c r="A603" s="8"/>
      <c r="B603" s="8"/>
      <c r="C603" s="8"/>
      <c r="D603" s="8"/>
      <c r="E603" s="8"/>
      <c r="F603" s="8"/>
      <c r="G603" s="8"/>
    </row>
    <row r="604" ht="15.75" customHeight="1">
      <c r="A604" s="8"/>
      <c r="B604" s="8"/>
      <c r="C604" s="8"/>
      <c r="D604" s="8"/>
      <c r="E604" s="8"/>
      <c r="F604" s="8"/>
      <c r="G604" s="8"/>
    </row>
    <row r="605" ht="15.75" customHeight="1">
      <c r="A605" s="8"/>
      <c r="B605" s="8"/>
      <c r="C605" s="8"/>
      <c r="D605" s="8"/>
      <c r="E605" s="8"/>
      <c r="F605" s="8"/>
      <c r="G605" s="8"/>
    </row>
    <row r="606" ht="15.75" customHeight="1">
      <c r="A606" s="8"/>
      <c r="B606" s="8"/>
      <c r="C606" s="8"/>
      <c r="D606" s="8"/>
      <c r="E606" s="8"/>
      <c r="F606" s="8"/>
      <c r="G606" s="8"/>
    </row>
    <row r="607" ht="15.75" customHeight="1">
      <c r="A607" s="8"/>
      <c r="B607" s="8"/>
      <c r="C607" s="8"/>
      <c r="D607" s="8"/>
      <c r="E607" s="8"/>
      <c r="F607" s="8"/>
      <c r="G607" s="8"/>
    </row>
    <row r="608" ht="15.75" customHeight="1">
      <c r="A608" s="8"/>
      <c r="B608" s="8"/>
      <c r="C608" s="8"/>
      <c r="D608" s="8"/>
      <c r="E608" s="8"/>
      <c r="F608" s="8"/>
      <c r="G608" s="8"/>
    </row>
    <row r="609" ht="15.75" customHeight="1">
      <c r="A609" s="8"/>
      <c r="B609" s="8"/>
      <c r="C609" s="8"/>
      <c r="D609" s="8"/>
      <c r="E609" s="8"/>
      <c r="F609" s="8"/>
      <c r="G609" s="8"/>
    </row>
    <row r="610" ht="15.75" customHeight="1">
      <c r="A610" s="8"/>
      <c r="B610" s="8"/>
      <c r="C610" s="8"/>
      <c r="D610" s="8"/>
      <c r="E610" s="8"/>
      <c r="F610" s="8"/>
      <c r="G610" s="8"/>
    </row>
    <row r="611" ht="15.75" customHeight="1">
      <c r="A611" s="8"/>
      <c r="B611" s="8"/>
      <c r="C611" s="8"/>
      <c r="D611" s="8"/>
      <c r="E611" s="8"/>
      <c r="F611" s="8"/>
      <c r="G611" s="8"/>
    </row>
    <row r="612" ht="15.75" customHeight="1">
      <c r="A612" s="8"/>
      <c r="B612" s="8"/>
      <c r="C612" s="8"/>
      <c r="D612" s="8"/>
      <c r="E612" s="8"/>
      <c r="F612" s="8"/>
      <c r="G612" s="8"/>
    </row>
    <row r="613" ht="15.75" customHeight="1">
      <c r="A613" s="8"/>
      <c r="B613" s="8"/>
      <c r="C613" s="8"/>
      <c r="D613" s="8"/>
      <c r="E613" s="8"/>
      <c r="F613" s="8"/>
      <c r="G613" s="8"/>
    </row>
    <row r="614" ht="15.75" customHeight="1">
      <c r="A614" s="8"/>
      <c r="B614" s="8"/>
      <c r="C614" s="8"/>
      <c r="D614" s="8"/>
      <c r="E614" s="8"/>
      <c r="F614" s="8"/>
      <c r="G614" s="8"/>
    </row>
    <row r="615" ht="15.75" customHeight="1">
      <c r="A615" s="8"/>
      <c r="B615" s="8"/>
      <c r="C615" s="8"/>
      <c r="D615" s="8"/>
      <c r="E615" s="8"/>
      <c r="F615" s="8"/>
      <c r="G615" s="8"/>
    </row>
    <row r="616" ht="15.75" customHeight="1">
      <c r="A616" s="8"/>
      <c r="B616" s="8"/>
      <c r="C616" s="8"/>
      <c r="D616" s="8"/>
      <c r="E616" s="8"/>
      <c r="F616" s="8"/>
      <c r="G616" s="8"/>
    </row>
    <row r="617" ht="15.75" customHeight="1">
      <c r="A617" s="8"/>
      <c r="B617" s="8"/>
      <c r="C617" s="8"/>
      <c r="D617" s="8"/>
      <c r="E617" s="8"/>
      <c r="F617" s="8"/>
      <c r="G617" s="8"/>
    </row>
    <row r="618" ht="15.75" customHeight="1">
      <c r="A618" s="8"/>
      <c r="B618" s="8"/>
      <c r="C618" s="8"/>
      <c r="D618" s="8"/>
      <c r="E618" s="8"/>
      <c r="F618" s="8"/>
      <c r="G618" s="8"/>
    </row>
    <row r="619" ht="15.75" customHeight="1">
      <c r="A619" s="8"/>
      <c r="B619" s="8"/>
      <c r="C619" s="8"/>
      <c r="D619" s="8"/>
      <c r="E619" s="8"/>
      <c r="F619" s="8"/>
      <c r="G619" s="8"/>
    </row>
    <row r="620" ht="15.75" customHeight="1">
      <c r="A620" s="8"/>
      <c r="B620" s="8"/>
      <c r="C620" s="8"/>
      <c r="D620" s="8"/>
      <c r="E620" s="8"/>
      <c r="F620" s="8"/>
      <c r="G620" s="8"/>
    </row>
    <row r="621" ht="15.75" customHeight="1">
      <c r="A621" s="8"/>
      <c r="B621" s="8"/>
      <c r="C621" s="8"/>
      <c r="D621" s="8"/>
      <c r="E621" s="8"/>
      <c r="F621" s="8"/>
      <c r="G621" s="8"/>
    </row>
    <row r="622" ht="15.75" customHeight="1">
      <c r="A622" s="8"/>
      <c r="B622" s="8"/>
      <c r="C622" s="8"/>
      <c r="D622" s="8"/>
      <c r="E622" s="8"/>
      <c r="F622" s="8"/>
      <c r="G622" s="8"/>
    </row>
    <row r="623" ht="15.75" customHeight="1">
      <c r="A623" s="8"/>
      <c r="B623" s="8"/>
      <c r="C623" s="8"/>
      <c r="D623" s="8"/>
      <c r="E623" s="8"/>
      <c r="F623" s="8"/>
      <c r="G623" s="8"/>
    </row>
    <row r="624" ht="15.75" customHeight="1">
      <c r="A624" s="8"/>
      <c r="B624" s="8"/>
      <c r="C624" s="8"/>
      <c r="D624" s="8"/>
      <c r="E624" s="8"/>
      <c r="F624" s="8"/>
      <c r="G624" s="8"/>
    </row>
    <row r="625" ht="15.75" customHeight="1">
      <c r="A625" s="8"/>
      <c r="B625" s="8"/>
      <c r="C625" s="8"/>
      <c r="D625" s="8"/>
      <c r="E625" s="8"/>
      <c r="F625" s="8"/>
      <c r="G625" s="8"/>
    </row>
    <row r="626" ht="15.75" customHeight="1">
      <c r="A626" s="8"/>
      <c r="B626" s="8"/>
      <c r="C626" s="8"/>
      <c r="D626" s="8"/>
      <c r="E626" s="8"/>
      <c r="F626" s="8"/>
      <c r="G626" s="8"/>
    </row>
    <row r="627" ht="15.75" customHeight="1">
      <c r="A627" s="8"/>
      <c r="B627" s="8"/>
      <c r="C627" s="8"/>
      <c r="D627" s="8"/>
      <c r="E627" s="8"/>
      <c r="F627" s="8"/>
      <c r="G627" s="8"/>
    </row>
    <row r="628" ht="15.75" customHeight="1">
      <c r="A628" s="8"/>
      <c r="B628" s="8"/>
      <c r="C628" s="8"/>
      <c r="D628" s="8"/>
      <c r="E628" s="8"/>
      <c r="F628" s="8"/>
      <c r="G628" s="8"/>
    </row>
    <row r="629" ht="15.75" customHeight="1">
      <c r="A629" s="8"/>
      <c r="B629" s="8"/>
      <c r="C629" s="8"/>
      <c r="D629" s="8"/>
      <c r="E629" s="8"/>
      <c r="F629" s="8"/>
      <c r="G629" s="8"/>
    </row>
    <row r="630" ht="15.75" customHeight="1">
      <c r="A630" s="8"/>
      <c r="B630" s="8"/>
      <c r="C630" s="8"/>
      <c r="D630" s="8"/>
      <c r="E630" s="8"/>
      <c r="F630" s="8"/>
      <c r="G630" s="8"/>
    </row>
    <row r="631" ht="15.75" customHeight="1">
      <c r="A631" s="8"/>
      <c r="B631" s="8"/>
      <c r="C631" s="8"/>
      <c r="D631" s="8"/>
      <c r="E631" s="8"/>
      <c r="F631" s="8"/>
      <c r="G631" s="8"/>
    </row>
    <row r="632" ht="15.75" customHeight="1">
      <c r="A632" s="8"/>
      <c r="B632" s="8"/>
      <c r="C632" s="8"/>
      <c r="D632" s="8"/>
      <c r="E632" s="8"/>
      <c r="F632" s="8"/>
      <c r="G632" s="8"/>
    </row>
    <row r="633" ht="15.75" customHeight="1">
      <c r="A633" s="8"/>
      <c r="B633" s="8"/>
      <c r="C633" s="8"/>
      <c r="D633" s="8"/>
      <c r="E633" s="8"/>
      <c r="F633" s="8"/>
      <c r="G633" s="8"/>
    </row>
    <row r="634" ht="15.75" customHeight="1">
      <c r="A634" s="8"/>
      <c r="B634" s="8"/>
      <c r="C634" s="8"/>
      <c r="D634" s="8"/>
      <c r="E634" s="8"/>
      <c r="F634" s="8"/>
      <c r="G634" s="8"/>
    </row>
    <row r="635" ht="15.75" customHeight="1">
      <c r="A635" s="8"/>
      <c r="B635" s="8"/>
      <c r="C635" s="8"/>
      <c r="D635" s="8"/>
      <c r="E635" s="8"/>
      <c r="F635" s="8"/>
      <c r="G635" s="8"/>
    </row>
    <row r="636" ht="15.75" customHeight="1">
      <c r="A636" s="8"/>
      <c r="B636" s="8"/>
      <c r="C636" s="8"/>
      <c r="D636" s="8"/>
      <c r="E636" s="8"/>
      <c r="F636" s="8"/>
      <c r="G636" s="8"/>
    </row>
    <row r="637" ht="15.75" customHeight="1">
      <c r="A637" s="8"/>
      <c r="B637" s="8"/>
      <c r="C637" s="8"/>
      <c r="D637" s="8"/>
      <c r="E637" s="8"/>
      <c r="F637" s="8"/>
      <c r="G637" s="8"/>
    </row>
    <row r="638" ht="15.75" customHeight="1">
      <c r="A638" s="8"/>
      <c r="B638" s="8"/>
      <c r="C638" s="8"/>
      <c r="D638" s="8"/>
      <c r="E638" s="8"/>
      <c r="F638" s="8"/>
      <c r="G638" s="8"/>
    </row>
    <row r="639" ht="15.75" customHeight="1">
      <c r="A639" s="8"/>
      <c r="B639" s="8"/>
      <c r="C639" s="8"/>
      <c r="D639" s="8"/>
      <c r="E639" s="8"/>
      <c r="F639" s="8"/>
      <c r="G639" s="8"/>
    </row>
    <row r="640" ht="15.75" customHeight="1">
      <c r="A640" s="8"/>
      <c r="B640" s="8"/>
      <c r="C640" s="8"/>
      <c r="D640" s="8"/>
      <c r="E640" s="8"/>
      <c r="F640" s="8"/>
      <c r="G640" s="8"/>
    </row>
    <row r="641" ht="15.75" customHeight="1">
      <c r="A641" s="8"/>
      <c r="B641" s="8"/>
      <c r="C641" s="8"/>
      <c r="D641" s="8"/>
      <c r="E641" s="8"/>
      <c r="F641" s="8"/>
      <c r="G641" s="8"/>
    </row>
    <row r="642" ht="15.75" customHeight="1">
      <c r="A642" s="8"/>
      <c r="B642" s="8"/>
      <c r="C642" s="8"/>
      <c r="D642" s="8"/>
      <c r="E642" s="8"/>
      <c r="F642" s="8"/>
      <c r="G642" s="8"/>
    </row>
    <row r="643" ht="15.75" customHeight="1">
      <c r="A643" s="8"/>
      <c r="B643" s="8"/>
      <c r="C643" s="8"/>
      <c r="D643" s="8"/>
      <c r="E643" s="8"/>
      <c r="F643" s="8"/>
      <c r="G643" s="8"/>
    </row>
    <row r="644" ht="15.75" customHeight="1">
      <c r="A644" s="8"/>
      <c r="B644" s="8"/>
      <c r="C644" s="8"/>
      <c r="D644" s="8"/>
      <c r="E644" s="8"/>
      <c r="F644" s="8"/>
      <c r="G644" s="8"/>
    </row>
    <row r="645" ht="15.75" customHeight="1">
      <c r="A645" s="8"/>
      <c r="B645" s="8"/>
      <c r="C645" s="8"/>
      <c r="D645" s="8"/>
      <c r="E645" s="8"/>
      <c r="F645" s="8"/>
      <c r="G645" s="8"/>
    </row>
    <row r="646" ht="15.75" customHeight="1">
      <c r="A646" s="8"/>
      <c r="B646" s="8"/>
      <c r="C646" s="8"/>
      <c r="D646" s="8"/>
      <c r="E646" s="8"/>
      <c r="F646" s="8"/>
      <c r="G646" s="8"/>
    </row>
    <row r="647" ht="15.75" customHeight="1">
      <c r="A647" s="8"/>
      <c r="B647" s="8"/>
      <c r="C647" s="8"/>
      <c r="D647" s="8"/>
      <c r="E647" s="8"/>
      <c r="F647" s="8"/>
      <c r="G647" s="8"/>
    </row>
    <row r="648" ht="15.75" customHeight="1">
      <c r="A648" s="8"/>
      <c r="B648" s="8"/>
      <c r="C648" s="8"/>
      <c r="D648" s="8"/>
      <c r="E648" s="8"/>
      <c r="F648" s="8"/>
      <c r="G648" s="8"/>
    </row>
    <row r="649" ht="15.75" customHeight="1">
      <c r="A649" s="8"/>
      <c r="B649" s="8"/>
      <c r="C649" s="8"/>
      <c r="D649" s="8"/>
      <c r="E649" s="8"/>
      <c r="F649" s="8"/>
      <c r="G649" s="8"/>
    </row>
    <row r="650" ht="15.75" customHeight="1">
      <c r="A650" s="8"/>
      <c r="B650" s="8"/>
      <c r="C650" s="8"/>
      <c r="D650" s="8"/>
      <c r="E650" s="8"/>
      <c r="F650" s="8"/>
      <c r="G650" s="8"/>
    </row>
    <row r="651" ht="15.75" customHeight="1">
      <c r="A651" s="8"/>
      <c r="B651" s="8"/>
      <c r="C651" s="8"/>
      <c r="D651" s="8"/>
      <c r="E651" s="8"/>
      <c r="F651" s="8"/>
      <c r="G651" s="8"/>
    </row>
    <row r="652" ht="15.75" customHeight="1">
      <c r="A652" s="8"/>
      <c r="B652" s="8"/>
      <c r="C652" s="8"/>
      <c r="D652" s="8"/>
      <c r="E652" s="8"/>
      <c r="F652" s="8"/>
      <c r="G652" s="8"/>
    </row>
    <row r="653" ht="15.75" customHeight="1">
      <c r="A653" s="8"/>
      <c r="B653" s="8"/>
      <c r="C653" s="8"/>
      <c r="D653" s="8"/>
      <c r="E653" s="8"/>
      <c r="F653" s="8"/>
      <c r="G653" s="8"/>
    </row>
    <row r="654" ht="15.75" customHeight="1">
      <c r="A654" s="8"/>
      <c r="B654" s="8"/>
      <c r="C654" s="8"/>
      <c r="D654" s="8"/>
      <c r="E654" s="8"/>
      <c r="F654" s="8"/>
      <c r="G654" s="8"/>
    </row>
    <row r="655" ht="15.75" customHeight="1">
      <c r="A655" s="8"/>
      <c r="B655" s="8"/>
      <c r="C655" s="8"/>
      <c r="D655" s="8"/>
      <c r="E655" s="8"/>
      <c r="F655" s="8"/>
      <c r="G655" s="8"/>
    </row>
    <row r="656" ht="15.75" customHeight="1">
      <c r="A656" s="8"/>
      <c r="B656" s="8"/>
      <c r="C656" s="8"/>
      <c r="D656" s="8"/>
      <c r="E656" s="8"/>
      <c r="F656" s="8"/>
      <c r="G656" s="8"/>
    </row>
    <row r="657" ht="15.75" customHeight="1">
      <c r="A657" s="8"/>
      <c r="B657" s="8"/>
      <c r="C657" s="8"/>
      <c r="D657" s="8"/>
      <c r="E657" s="8"/>
      <c r="F657" s="8"/>
      <c r="G657" s="8"/>
    </row>
    <row r="658" ht="15.75" customHeight="1">
      <c r="A658" s="8"/>
      <c r="B658" s="8"/>
      <c r="C658" s="8"/>
      <c r="D658" s="8"/>
      <c r="E658" s="8"/>
      <c r="F658" s="8"/>
      <c r="G658" s="8"/>
    </row>
    <row r="659" ht="15.75" customHeight="1">
      <c r="A659" s="8"/>
      <c r="B659" s="8"/>
      <c r="C659" s="8"/>
      <c r="D659" s="8"/>
      <c r="E659" s="8"/>
      <c r="F659" s="8"/>
      <c r="G659" s="8"/>
    </row>
    <row r="660" ht="15.75" customHeight="1">
      <c r="A660" s="8"/>
      <c r="B660" s="8"/>
      <c r="C660" s="8"/>
      <c r="D660" s="8"/>
      <c r="E660" s="8"/>
      <c r="F660" s="8"/>
      <c r="G660" s="8"/>
    </row>
    <row r="661" ht="15.75" customHeight="1">
      <c r="A661" s="8"/>
      <c r="B661" s="8"/>
      <c r="C661" s="8"/>
      <c r="D661" s="8"/>
      <c r="E661" s="8"/>
      <c r="F661" s="8"/>
      <c r="G661" s="8"/>
    </row>
    <row r="662" ht="15.75" customHeight="1">
      <c r="A662" s="8"/>
      <c r="B662" s="8"/>
      <c r="C662" s="8"/>
      <c r="D662" s="8"/>
      <c r="E662" s="8"/>
      <c r="F662" s="8"/>
      <c r="G662" s="8"/>
    </row>
    <row r="663" ht="15.75" customHeight="1">
      <c r="A663" s="8"/>
      <c r="B663" s="8"/>
      <c r="C663" s="8"/>
      <c r="D663" s="8"/>
      <c r="E663" s="8"/>
      <c r="F663" s="8"/>
      <c r="G663" s="8"/>
    </row>
    <row r="664" ht="15.75" customHeight="1">
      <c r="A664" s="8"/>
      <c r="B664" s="8"/>
      <c r="C664" s="8"/>
      <c r="D664" s="8"/>
      <c r="E664" s="8"/>
      <c r="F664" s="8"/>
      <c r="G664" s="8"/>
    </row>
    <row r="665" ht="15.75" customHeight="1">
      <c r="A665" s="8"/>
      <c r="B665" s="8"/>
      <c r="C665" s="8"/>
      <c r="D665" s="8"/>
      <c r="E665" s="8"/>
      <c r="F665" s="8"/>
      <c r="G665" s="8"/>
    </row>
    <row r="666" ht="15.75" customHeight="1">
      <c r="A666" s="8"/>
      <c r="B666" s="8"/>
      <c r="C666" s="8"/>
      <c r="D666" s="8"/>
      <c r="E666" s="8"/>
      <c r="F666" s="8"/>
      <c r="G666" s="8"/>
    </row>
    <row r="667" ht="15.75" customHeight="1">
      <c r="A667" s="8"/>
      <c r="B667" s="8"/>
      <c r="C667" s="8"/>
      <c r="D667" s="8"/>
      <c r="E667" s="8"/>
      <c r="F667" s="8"/>
      <c r="G667" s="8"/>
    </row>
    <row r="668" ht="15.75" customHeight="1">
      <c r="A668" s="8"/>
      <c r="B668" s="8"/>
      <c r="C668" s="8"/>
      <c r="D668" s="8"/>
      <c r="E668" s="8"/>
      <c r="F668" s="8"/>
      <c r="G668" s="8"/>
    </row>
    <row r="669" ht="15.75" customHeight="1">
      <c r="A669" s="8"/>
      <c r="B669" s="8"/>
      <c r="C669" s="8"/>
      <c r="D669" s="8"/>
      <c r="E669" s="8"/>
      <c r="F669" s="8"/>
      <c r="G669" s="8"/>
    </row>
    <row r="670" ht="15.75" customHeight="1">
      <c r="A670" s="8"/>
      <c r="B670" s="8"/>
      <c r="C670" s="8"/>
      <c r="D670" s="8"/>
      <c r="E670" s="8"/>
      <c r="F670" s="8"/>
      <c r="G670" s="8"/>
    </row>
    <row r="671" ht="15.75" customHeight="1">
      <c r="A671" s="8"/>
      <c r="B671" s="8"/>
      <c r="C671" s="8"/>
      <c r="D671" s="8"/>
      <c r="E671" s="8"/>
      <c r="F671" s="8"/>
      <c r="G671" s="8"/>
    </row>
    <row r="672" ht="15.75" customHeight="1">
      <c r="A672" s="8"/>
      <c r="B672" s="8"/>
      <c r="C672" s="8"/>
      <c r="D672" s="8"/>
      <c r="E672" s="8"/>
      <c r="F672" s="8"/>
      <c r="G672" s="8"/>
    </row>
    <row r="673" ht="15.75" customHeight="1">
      <c r="A673" s="8"/>
      <c r="B673" s="8"/>
      <c r="C673" s="8"/>
      <c r="D673" s="8"/>
      <c r="E673" s="8"/>
      <c r="F673" s="8"/>
      <c r="G673" s="8"/>
    </row>
    <row r="674" ht="15.75" customHeight="1">
      <c r="A674" s="8"/>
      <c r="B674" s="8"/>
      <c r="C674" s="8"/>
      <c r="D674" s="8"/>
      <c r="E674" s="8"/>
      <c r="F674" s="8"/>
      <c r="G674" s="8"/>
    </row>
    <row r="675" ht="15.75" customHeight="1">
      <c r="A675" s="8"/>
      <c r="B675" s="8"/>
      <c r="C675" s="8"/>
      <c r="D675" s="8"/>
      <c r="E675" s="8"/>
      <c r="F675" s="8"/>
      <c r="G675" s="8"/>
    </row>
    <row r="676" ht="15.75" customHeight="1">
      <c r="A676" s="8"/>
      <c r="B676" s="8"/>
      <c r="C676" s="8"/>
      <c r="D676" s="8"/>
      <c r="E676" s="8"/>
      <c r="F676" s="8"/>
      <c r="G676" s="8"/>
    </row>
    <row r="677" ht="15.75" customHeight="1">
      <c r="A677" s="8"/>
      <c r="B677" s="8"/>
      <c r="C677" s="8"/>
      <c r="D677" s="8"/>
      <c r="E677" s="8"/>
      <c r="F677" s="8"/>
      <c r="G677" s="8"/>
    </row>
    <row r="678" ht="15.75" customHeight="1">
      <c r="A678" s="8"/>
      <c r="B678" s="8"/>
      <c r="C678" s="8"/>
      <c r="D678" s="8"/>
      <c r="E678" s="8"/>
      <c r="F678" s="8"/>
      <c r="G678" s="8"/>
    </row>
    <row r="679" ht="15.75" customHeight="1">
      <c r="A679" s="8"/>
      <c r="B679" s="8"/>
      <c r="C679" s="8"/>
      <c r="D679" s="8"/>
      <c r="E679" s="8"/>
      <c r="F679" s="8"/>
      <c r="G679" s="8"/>
    </row>
    <row r="680" ht="15.75" customHeight="1">
      <c r="A680" s="8"/>
      <c r="B680" s="8"/>
      <c r="C680" s="8"/>
      <c r="D680" s="8"/>
      <c r="E680" s="8"/>
      <c r="F680" s="8"/>
      <c r="G680" s="8"/>
    </row>
    <row r="681" ht="15.75" customHeight="1">
      <c r="A681" s="8"/>
      <c r="B681" s="8"/>
      <c r="C681" s="8"/>
      <c r="D681" s="8"/>
      <c r="E681" s="8"/>
      <c r="F681" s="8"/>
      <c r="G681" s="8"/>
    </row>
    <row r="682" ht="15.75" customHeight="1">
      <c r="A682" s="8"/>
      <c r="B682" s="8"/>
      <c r="C682" s="8"/>
      <c r="D682" s="8"/>
      <c r="E682" s="8"/>
      <c r="F682" s="8"/>
      <c r="G682" s="8"/>
    </row>
    <row r="683" ht="15.75" customHeight="1">
      <c r="A683" s="8"/>
      <c r="B683" s="8"/>
      <c r="C683" s="8"/>
      <c r="D683" s="8"/>
      <c r="E683" s="8"/>
      <c r="F683" s="8"/>
      <c r="G683" s="8"/>
    </row>
    <row r="684" ht="15.75" customHeight="1">
      <c r="A684" s="8"/>
      <c r="B684" s="8"/>
      <c r="C684" s="8"/>
      <c r="D684" s="8"/>
      <c r="E684" s="8"/>
      <c r="F684" s="8"/>
      <c r="G684" s="8"/>
    </row>
    <row r="685" ht="15.75" customHeight="1">
      <c r="A685" s="8"/>
      <c r="B685" s="8"/>
      <c r="C685" s="8"/>
      <c r="D685" s="8"/>
      <c r="E685" s="8"/>
      <c r="F685" s="8"/>
      <c r="G685" s="8"/>
    </row>
    <row r="686" ht="15.75" customHeight="1">
      <c r="A686" s="8"/>
      <c r="B686" s="8"/>
      <c r="C686" s="8"/>
      <c r="D686" s="8"/>
      <c r="E686" s="8"/>
      <c r="F686" s="8"/>
      <c r="G686" s="8"/>
    </row>
    <row r="687" ht="15.75" customHeight="1">
      <c r="A687" s="8"/>
      <c r="B687" s="8"/>
      <c r="C687" s="8"/>
      <c r="D687" s="8"/>
      <c r="E687" s="8"/>
      <c r="F687" s="8"/>
      <c r="G687" s="8"/>
    </row>
    <row r="688" ht="15.75" customHeight="1">
      <c r="A688" s="8"/>
      <c r="B688" s="8"/>
      <c r="C688" s="8"/>
      <c r="D688" s="8"/>
      <c r="E688" s="8"/>
      <c r="F688" s="8"/>
      <c r="G688" s="8"/>
    </row>
    <row r="689" ht="15.75" customHeight="1">
      <c r="A689" s="8"/>
      <c r="B689" s="8"/>
      <c r="C689" s="8"/>
      <c r="D689" s="8"/>
      <c r="E689" s="8"/>
      <c r="F689" s="8"/>
      <c r="G689" s="8"/>
    </row>
    <row r="690" ht="15.75" customHeight="1">
      <c r="A690" s="8"/>
      <c r="B690" s="8"/>
      <c r="C690" s="8"/>
      <c r="D690" s="8"/>
      <c r="E690" s="8"/>
      <c r="F690" s="8"/>
      <c r="G690" s="8"/>
    </row>
    <row r="691" ht="15.75" customHeight="1">
      <c r="A691" s="8"/>
      <c r="B691" s="8"/>
      <c r="C691" s="8"/>
      <c r="D691" s="8"/>
      <c r="E691" s="8"/>
      <c r="F691" s="8"/>
      <c r="G691" s="8"/>
    </row>
    <row r="692" ht="15.75" customHeight="1">
      <c r="A692" s="8"/>
      <c r="B692" s="8"/>
      <c r="C692" s="8"/>
      <c r="D692" s="8"/>
      <c r="E692" s="8"/>
      <c r="F692" s="8"/>
      <c r="G692" s="8"/>
    </row>
    <row r="693" ht="15.75" customHeight="1">
      <c r="A693" s="8"/>
      <c r="B693" s="8"/>
      <c r="C693" s="8"/>
      <c r="D693" s="8"/>
      <c r="E693" s="8"/>
      <c r="F693" s="8"/>
      <c r="G693" s="8"/>
    </row>
    <row r="694" ht="15.75" customHeight="1">
      <c r="A694" s="8"/>
      <c r="B694" s="8"/>
      <c r="C694" s="8"/>
      <c r="D694" s="8"/>
      <c r="E694" s="8"/>
      <c r="F694" s="8"/>
      <c r="G694" s="8"/>
    </row>
    <row r="695" ht="15.75" customHeight="1">
      <c r="A695" s="8"/>
      <c r="B695" s="8"/>
      <c r="C695" s="8"/>
      <c r="D695" s="8"/>
      <c r="E695" s="8"/>
      <c r="F695" s="8"/>
      <c r="G695" s="8"/>
    </row>
    <row r="696" ht="15.75" customHeight="1">
      <c r="A696" s="8"/>
      <c r="B696" s="8"/>
      <c r="C696" s="8"/>
      <c r="D696" s="8"/>
      <c r="E696" s="8"/>
      <c r="F696" s="8"/>
      <c r="G696" s="8"/>
    </row>
    <row r="697" ht="15.75" customHeight="1">
      <c r="A697" s="8"/>
      <c r="B697" s="8"/>
      <c r="C697" s="8"/>
      <c r="D697" s="8"/>
      <c r="E697" s="8"/>
      <c r="F697" s="8"/>
      <c r="G697" s="8"/>
    </row>
    <row r="698" ht="15.75" customHeight="1">
      <c r="A698" s="8"/>
      <c r="B698" s="8"/>
      <c r="C698" s="8"/>
      <c r="D698" s="8"/>
      <c r="E698" s="8"/>
      <c r="F698" s="8"/>
      <c r="G698" s="8"/>
    </row>
    <row r="699" ht="15.75" customHeight="1">
      <c r="A699" s="8"/>
      <c r="B699" s="8"/>
      <c r="C699" s="8"/>
      <c r="D699" s="8"/>
      <c r="E699" s="8"/>
      <c r="F699" s="8"/>
      <c r="G699" s="8"/>
    </row>
    <row r="700" ht="15.75" customHeight="1">
      <c r="A700" s="8"/>
      <c r="B700" s="8"/>
      <c r="C700" s="8"/>
      <c r="D700" s="8"/>
      <c r="E700" s="8"/>
      <c r="F700" s="8"/>
      <c r="G700" s="8"/>
    </row>
    <row r="701" ht="15.75" customHeight="1">
      <c r="A701" s="8"/>
      <c r="B701" s="8"/>
      <c r="C701" s="8"/>
      <c r="D701" s="8"/>
      <c r="E701" s="8"/>
      <c r="F701" s="8"/>
      <c r="G701" s="8"/>
    </row>
    <row r="702" ht="15.75" customHeight="1">
      <c r="A702" s="8"/>
      <c r="B702" s="8"/>
      <c r="C702" s="8"/>
      <c r="D702" s="8"/>
      <c r="E702" s="8"/>
      <c r="F702" s="8"/>
      <c r="G702" s="8"/>
    </row>
    <row r="703" ht="15.75" customHeight="1">
      <c r="A703" s="8"/>
      <c r="B703" s="8"/>
      <c r="C703" s="8"/>
      <c r="D703" s="8"/>
      <c r="E703" s="8"/>
      <c r="F703" s="8"/>
      <c r="G703" s="8"/>
    </row>
    <row r="704" ht="15.75" customHeight="1">
      <c r="A704" s="8"/>
      <c r="B704" s="8"/>
      <c r="C704" s="8"/>
      <c r="D704" s="8"/>
      <c r="E704" s="8"/>
      <c r="F704" s="8"/>
      <c r="G704" s="8"/>
    </row>
    <row r="705" ht="15.75" customHeight="1">
      <c r="A705" s="8"/>
      <c r="B705" s="8"/>
      <c r="C705" s="8"/>
      <c r="D705" s="8"/>
      <c r="E705" s="8"/>
      <c r="F705" s="8"/>
      <c r="G705" s="8"/>
    </row>
    <row r="706" ht="15.75" customHeight="1">
      <c r="A706" s="8"/>
      <c r="B706" s="8"/>
      <c r="C706" s="8"/>
      <c r="D706" s="8"/>
      <c r="E706" s="8"/>
      <c r="F706" s="8"/>
      <c r="G706" s="8"/>
    </row>
    <row r="707" ht="15.75" customHeight="1">
      <c r="A707" s="8"/>
      <c r="B707" s="8"/>
      <c r="C707" s="8"/>
      <c r="D707" s="8"/>
      <c r="E707" s="8"/>
      <c r="F707" s="8"/>
      <c r="G707" s="8"/>
    </row>
    <row r="708" ht="15.75" customHeight="1">
      <c r="A708" s="8"/>
      <c r="B708" s="8"/>
      <c r="C708" s="8"/>
      <c r="D708" s="8"/>
      <c r="E708" s="8"/>
      <c r="F708" s="8"/>
      <c r="G708" s="8"/>
    </row>
    <row r="709" ht="15.75" customHeight="1">
      <c r="A709" s="8"/>
      <c r="B709" s="8"/>
      <c r="C709" s="8"/>
      <c r="D709" s="8"/>
      <c r="E709" s="8"/>
      <c r="F709" s="8"/>
      <c r="G709" s="8"/>
    </row>
    <row r="710" ht="15.75" customHeight="1">
      <c r="A710" s="8"/>
      <c r="B710" s="8"/>
      <c r="C710" s="8"/>
      <c r="D710" s="8"/>
      <c r="E710" s="8"/>
      <c r="F710" s="8"/>
      <c r="G710" s="8"/>
    </row>
    <row r="711" ht="15.75" customHeight="1">
      <c r="A711" s="8"/>
      <c r="B711" s="8"/>
      <c r="C711" s="8"/>
      <c r="D711" s="8"/>
      <c r="E711" s="8"/>
      <c r="F711" s="8"/>
      <c r="G711" s="8"/>
    </row>
    <row r="712" ht="15.75" customHeight="1">
      <c r="A712" s="8"/>
      <c r="B712" s="8"/>
      <c r="C712" s="8"/>
      <c r="D712" s="8"/>
      <c r="E712" s="8"/>
      <c r="F712" s="8"/>
      <c r="G712" s="8"/>
    </row>
    <row r="713" ht="15.75" customHeight="1">
      <c r="A713" s="8"/>
      <c r="B713" s="8"/>
      <c r="C713" s="8"/>
      <c r="D713" s="8"/>
      <c r="E713" s="8"/>
      <c r="F713" s="8"/>
      <c r="G713" s="8"/>
    </row>
    <row r="714" ht="15.75" customHeight="1">
      <c r="A714" s="8"/>
      <c r="B714" s="8"/>
      <c r="C714" s="8"/>
      <c r="D714" s="8"/>
      <c r="E714" s="8"/>
      <c r="F714" s="8"/>
      <c r="G714" s="8"/>
    </row>
    <row r="715" ht="15.75" customHeight="1">
      <c r="A715" s="8"/>
      <c r="B715" s="8"/>
      <c r="C715" s="8"/>
      <c r="D715" s="8"/>
      <c r="E715" s="8"/>
      <c r="F715" s="8"/>
      <c r="G715" s="8"/>
    </row>
    <row r="716" ht="15.75" customHeight="1">
      <c r="A716" s="8"/>
      <c r="B716" s="8"/>
      <c r="C716" s="8"/>
      <c r="D716" s="8"/>
      <c r="E716" s="8"/>
      <c r="F716" s="8"/>
      <c r="G716" s="8"/>
    </row>
    <row r="717" ht="15.75" customHeight="1">
      <c r="A717" s="8"/>
      <c r="B717" s="8"/>
      <c r="C717" s="8"/>
      <c r="D717" s="8"/>
      <c r="E717" s="8"/>
      <c r="F717" s="8"/>
      <c r="G717" s="8"/>
    </row>
    <row r="718" ht="15.75" customHeight="1">
      <c r="A718" s="8"/>
      <c r="B718" s="8"/>
      <c r="C718" s="8"/>
      <c r="D718" s="8"/>
      <c r="E718" s="8"/>
      <c r="F718" s="8"/>
      <c r="G718" s="8"/>
    </row>
    <row r="719" ht="15.75" customHeight="1">
      <c r="A719" s="8"/>
      <c r="B719" s="8"/>
      <c r="C719" s="8"/>
      <c r="D719" s="8"/>
      <c r="E719" s="8"/>
      <c r="F719" s="8"/>
      <c r="G719" s="8"/>
    </row>
    <row r="720" ht="15.75" customHeight="1">
      <c r="A720" s="8"/>
      <c r="B720" s="8"/>
      <c r="C720" s="8"/>
      <c r="D720" s="8"/>
      <c r="E720" s="8"/>
      <c r="F720" s="8"/>
      <c r="G720" s="8"/>
    </row>
    <row r="721" ht="15.75" customHeight="1">
      <c r="A721" s="8"/>
      <c r="B721" s="8"/>
      <c r="C721" s="8"/>
      <c r="D721" s="8"/>
      <c r="E721" s="8"/>
      <c r="F721" s="8"/>
      <c r="G721" s="8"/>
    </row>
    <row r="722" ht="15.75" customHeight="1">
      <c r="A722" s="8"/>
      <c r="B722" s="8"/>
      <c r="C722" s="8"/>
      <c r="D722" s="8"/>
      <c r="E722" s="8"/>
      <c r="F722" s="8"/>
      <c r="G722" s="8"/>
    </row>
    <row r="723" ht="15.75" customHeight="1">
      <c r="A723" s="8"/>
      <c r="B723" s="8"/>
      <c r="C723" s="8"/>
      <c r="D723" s="8"/>
      <c r="E723" s="8"/>
      <c r="F723" s="8"/>
      <c r="G723" s="8"/>
    </row>
    <row r="724" ht="15.75" customHeight="1">
      <c r="A724" s="8"/>
      <c r="B724" s="8"/>
      <c r="C724" s="8"/>
      <c r="D724" s="8"/>
      <c r="E724" s="8"/>
      <c r="F724" s="8"/>
      <c r="G724" s="8"/>
    </row>
    <row r="725" ht="15.75" customHeight="1">
      <c r="A725" s="8"/>
      <c r="B725" s="8"/>
      <c r="C725" s="8"/>
      <c r="D725" s="8"/>
      <c r="E725" s="8"/>
      <c r="F725" s="8"/>
      <c r="G725" s="8"/>
    </row>
    <row r="726" ht="15.75" customHeight="1">
      <c r="A726" s="8"/>
      <c r="B726" s="8"/>
      <c r="C726" s="8"/>
      <c r="D726" s="8"/>
      <c r="E726" s="8"/>
      <c r="F726" s="8"/>
      <c r="G726" s="8"/>
    </row>
    <row r="727" ht="15.75" customHeight="1">
      <c r="A727" s="8"/>
      <c r="B727" s="8"/>
      <c r="C727" s="8"/>
      <c r="D727" s="8"/>
      <c r="E727" s="8"/>
      <c r="F727" s="8"/>
      <c r="G727" s="8"/>
    </row>
    <row r="728" ht="15.75" customHeight="1">
      <c r="A728" s="8"/>
      <c r="B728" s="8"/>
      <c r="C728" s="8"/>
      <c r="D728" s="8"/>
      <c r="E728" s="8"/>
      <c r="F728" s="8"/>
      <c r="G728" s="8"/>
    </row>
    <row r="729" ht="15.75" customHeight="1">
      <c r="A729" s="8"/>
      <c r="B729" s="8"/>
      <c r="C729" s="8"/>
      <c r="D729" s="8"/>
      <c r="E729" s="8"/>
      <c r="F729" s="8"/>
      <c r="G729" s="8"/>
    </row>
    <row r="730" ht="15.75" customHeight="1">
      <c r="A730" s="8"/>
      <c r="B730" s="8"/>
      <c r="C730" s="8"/>
      <c r="D730" s="8"/>
      <c r="E730" s="8"/>
      <c r="F730" s="8"/>
      <c r="G730" s="8"/>
    </row>
    <row r="731" ht="15.75" customHeight="1">
      <c r="A731" s="8"/>
      <c r="B731" s="8"/>
      <c r="C731" s="8"/>
      <c r="D731" s="8"/>
      <c r="E731" s="8"/>
      <c r="F731" s="8"/>
      <c r="G731" s="8"/>
    </row>
    <row r="732" ht="15.75" customHeight="1">
      <c r="A732" s="8"/>
      <c r="B732" s="8"/>
      <c r="C732" s="8"/>
      <c r="D732" s="8"/>
      <c r="E732" s="8"/>
      <c r="F732" s="8"/>
      <c r="G732" s="8"/>
    </row>
    <row r="733" ht="15.75" customHeight="1">
      <c r="A733" s="8"/>
      <c r="B733" s="8"/>
      <c r="C733" s="8"/>
      <c r="D733" s="8"/>
      <c r="E733" s="8"/>
      <c r="F733" s="8"/>
      <c r="G733" s="8"/>
    </row>
    <row r="734" ht="15.75" customHeight="1">
      <c r="A734" s="8"/>
      <c r="B734" s="8"/>
      <c r="C734" s="8"/>
      <c r="D734" s="8"/>
      <c r="E734" s="8"/>
      <c r="F734" s="8"/>
      <c r="G734" s="8"/>
    </row>
    <row r="735" ht="15.75" customHeight="1">
      <c r="A735" s="8"/>
      <c r="B735" s="8"/>
      <c r="C735" s="8"/>
      <c r="D735" s="8"/>
      <c r="E735" s="8"/>
      <c r="F735" s="8"/>
      <c r="G735" s="8"/>
    </row>
    <row r="736" ht="15.75" customHeight="1">
      <c r="A736" s="8"/>
      <c r="B736" s="8"/>
      <c r="C736" s="8"/>
      <c r="D736" s="8"/>
      <c r="E736" s="8"/>
      <c r="F736" s="8"/>
      <c r="G736" s="8"/>
    </row>
    <row r="737" ht="15.75" customHeight="1">
      <c r="A737" s="8"/>
      <c r="B737" s="8"/>
      <c r="C737" s="8"/>
      <c r="D737" s="8"/>
      <c r="E737" s="8"/>
      <c r="F737" s="8"/>
      <c r="G737" s="8"/>
    </row>
    <row r="738" ht="15.75" customHeight="1">
      <c r="A738" s="8"/>
      <c r="B738" s="8"/>
      <c r="C738" s="8"/>
      <c r="D738" s="8"/>
      <c r="E738" s="8"/>
      <c r="F738" s="8"/>
      <c r="G738" s="8"/>
    </row>
    <row r="739" ht="15.75" customHeight="1">
      <c r="A739" s="8"/>
      <c r="B739" s="8"/>
      <c r="C739" s="8"/>
      <c r="D739" s="8"/>
      <c r="E739" s="8"/>
      <c r="F739" s="8"/>
      <c r="G739" s="8"/>
    </row>
    <row r="740" ht="15.75" customHeight="1">
      <c r="A740" s="8"/>
      <c r="B740" s="8"/>
      <c r="C740" s="8"/>
      <c r="D740" s="8"/>
      <c r="E740" s="8"/>
      <c r="F740" s="8"/>
      <c r="G740" s="8"/>
    </row>
    <row r="741" ht="15.75" customHeight="1">
      <c r="A741" s="8"/>
      <c r="B741" s="8"/>
      <c r="C741" s="8"/>
      <c r="D741" s="8"/>
      <c r="E741" s="8"/>
      <c r="F741" s="8"/>
      <c r="G741" s="8"/>
    </row>
    <row r="742" ht="15.75" customHeight="1">
      <c r="A742" s="8"/>
      <c r="B742" s="8"/>
      <c r="C742" s="8"/>
      <c r="D742" s="8"/>
      <c r="E742" s="8"/>
      <c r="F742" s="8"/>
      <c r="G742" s="8"/>
    </row>
    <row r="743" ht="15.75" customHeight="1">
      <c r="A743" s="8"/>
      <c r="B743" s="8"/>
      <c r="C743" s="8"/>
      <c r="D743" s="8"/>
      <c r="E743" s="8"/>
      <c r="F743" s="8"/>
      <c r="G743" s="8"/>
    </row>
    <row r="744" ht="15.75" customHeight="1">
      <c r="A744" s="8"/>
      <c r="B744" s="8"/>
      <c r="C744" s="8"/>
      <c r="D744" s="8"/>
      <c r="E744" s="8"/>
      <c r="F744" s="8"/>
      <c r="G744" s="8"/>
    </row>
    <row r="745" ht="15.75" customHeight="1">
      <c r="A745" s="8"/>
      <c r="B745" s="8"/>
      <c r="C745" s="8"/>
      <c r="D745" s="8"/>
      <c r="E745" s="8"/>
      <c r="F745" s="8"/>
      <c r="G745" s="8"/>
    </row>
    <row r="746" ht="15.75" customHeight="1">
      <c r="A746" s="8"/>
      <c r="B746" s="8"/>
      <c r="C746" s="8"/>
      <c r="D746" s="8"/>
      <c r="E746" s="8"/>
      <c r="F746" s="8"/>
      <c r="G746" s="8"/>
    </row>
    <row r="747" ht="15.75" customHeight="1">
      <c r="A747" s="8"/>
      <c r="B747" s="8"/>
      <c r="C747" s="8"/>
      <c r="D747" s="8"/>
      <c r="E747" s="8"/>
      <c r="F747" s="8"/>
      <c r="G747" s="8"/>
    </row>
    <row r="748" ht="15.75" customHeight="1">
      <c r="A748" s="8"/>
      <c r="B748" s="8"/>
      <c r="C748" s="8"/>
      <c r="D748" s="8"/>
      <c r="E748" s="8"/>
      <c r="F748" s="8"/>
      <c r="G748" s="8"/>
    </row>
    <row r="749" ht="15.75" customHeight="1">
      <c r="A749" s="8"/>
      <c r="B749" s="8"/>
      <c r="C749" s="8"/>
      <c r="D749" s="8"/>
      <c r="E749" s="8"/>
      <c r="F749" s="8"/>
      <c r="G749" s="8"/>
    </row>
    <row r="750" ht="15.75" customHeight="1">
      <c r="A750" s="8"/>
      <c r="B750" s="8"/>
      <c r="C750" s="8"/>
      <c r="D750" s="8"/>
      <c r="E750" s="8"/>
      <c r="F750" s="8"/>
      <c r="G750" s="8"/>
    </row>
    <row r="751" ht="15.75" customHeight="1">
      <c r="A751" s="8"/>
      <c r="B751" s="8"/>
      <c r="C751" s="8"/>
      <c r="D751" s="8"/>
      <c r="E751" s="8"/>
      <c r="F751" s="8"/>
      <c r="G751" s="8"/>
    </row>
    <row r="752" ht="15.75" customHeight="1">
      <c r="A752" s="8"/>
      <c r="B752" s="8"/>
      <c r="C752" s="8"/>
      <c r="D752" s="8"/>
      <c r="E752" s="8"/>
      <c r="F752" s="8"/>
      <c r="G752" s="8"/>
    </row>
    <row r="753" ht="15.75" customHeight="1">
      <c r="A753" s="8"/>
      <c r="B753" s="8"/>
      <c r="C753" s="8"/>
      <c r="D753" s="8"/>
      <c r="E753" s="8"/>
      <c r="F753" s="8"/>
      <c r="G753" s="8"/>
    </row>
    <row r="754" ht="15.75" customHeight="1">
      <c r="A754" s="8"/>
      <c r="B754" s="8"/>
      <c r="C754" s="8"/>
      <c r="D754" s="8"/>
      <c r="E754" s="8"/>
      <c r="F754" s="8"/>
      <c r="G754" s="8"/>
    </row>
    <row r="755" ht="15.75" customHeight="1">
      <c r="A755" s="8"/>
      <c r="B755" s="8"/>
      <c r="C755" s="8"/>
      <c r="D755" s="8"/>
      <c r="E755" s="8"/>
      <c r="F755" s="8"/>
      <c r="G755" s="8"/>
    </row>
    <row r="756" ht="15.75" customHeight="1">
      <c r="A756" s="8"/>
      <c r="B756" s="8"/>
      <c r="C756" s="8"/>
      <c r="D756" s="8"/>
      <c r="E756" s="8"/>
      <c r="F756" s="8"/>
      <c r="G756" s="8"/>
    </row>
    <row r="757" ht="15.75" customHeight="1">
      <c r="A757" s="8"/>
      <c r="B757" s="8"/>
      <c r="C757" s="8"/>
      <c r="D757" s="8"/>
      <c r="E757" s="8"/>
      <c r="F757" s="8"/>
      <c r="G757" s="8"/>
    </row>
    <row r="758" ht="15.75" customHeight="1">
      <c r="A758" s="8"/>
      <c r="B758" s="8"/>
      <c r="C758" s="8"/>
      <c r="D758" s="8"/>
      <c r="E758" s="8"/>
      <c r="F758" s="8"/>
      <c r="G758" s="8"/>
    </row>
    <row r="759" ht="15.75" customHeight="1">
      <c r="A759" s="8"/>
      <c r="B759" s="8"/>
      <c r="C759" s="8"/>
      <c r="D759" s="8"/>
      <c r="E759" s="8"/>
      <c r="F759" s="8"/>
      <c r="G759" s="8"/>
    </row>
    <row r="760" ht="15.75" customHeight="1">
      <c r="A760" s="8"/>
      <c r="B760" s="8"/>
      <c r="C760" s="8"/>
      <c r="D760" s="8"/>
      <c r="E760" s="8"/>
      <c r="F760" s="8"/>
      <c r="G760" s="8"/>
    </row>
    <row r="761" ht="15.75" customHeight="1">
      <c r="A761" s="8"/>
      <c r="B761" s="8"/>
      <c r="C761" s="8"/>
      <c r="D761" s="8"/>
      <c r="E761" s="8"/>
      <c r="F761" s="8"/>
      <c r="G761" s="8"/>
    </row>
    <row r="762" ht="15.75" customHeight="1">
      <c r="A762" s="8"/>
      <c r="B762" s="8"/>
      <c r="C762" s="8"/>
      <c r="D762" s="8"/>
      <c r="E762" s="8"/>
      <c r="F762" s="8"/>
      <c r="G762" s="8"/>
    </row>
    <row r="763" ht="15.75" customHeight="1">
      <c r="A763" s="8"/>
      <c r="B763" s="8"/>
      <c r="C763" s="8"/>
      <c r="D763" s="8"/>
      <c r="E763" s="8"/>
      <c r="F763" s="8"/>
      <c r="G763" s="8"/>
    </row>
    <row r="764" ht="15.75" customHeight="1">
      <c r="A764" s="8"/>
      <c r="B764" s="8"/>
      <c r="C764" s="8"/>
      <c r="D764" s="8"/>
      <c r="E764" s="8"/>
      <c r="F764" s="8"/>
      <c r="G764" s="8"/>
    </row>
    <row r="765" ht="15.75" customHeight="1">
      <c r="A765" s="8"/>
      <c r="B765" s="8"/>
      <c r="C765" s="8"/>
      <c r="D765" s="8"/>
      <c r="E765" s="8"/>
      <c r="F765" s="8"/>
      <c r="G765" s="8"/>
    </row>
    <row r="766" ht="15.75" customHeight="1">
      <c r="A766" s="8"/>
      <c r="B766" s="8"/>
      <c r="C766" s="8"/>
      <c r="D766" s="8"/>
      <c r="E766" s="8"/>
      <c r="F766" s="8"/>
      <c r="G766" s="8"/>
    </row>
    <row r="767" ht="15.75" customHeight="1">
      <c r="A767" s="8"/>
      <c r="B767" s="8"/>
      <c r="C767" s="8"/>
      <c r="D767" s="8"/>
      <c r="E767" s="8"/>
      <c r="F767" s="8"/>
      <c r="G767" s="8"/>
    </row>
    <row r="768" ht="15.75" customHeight="1">
      <c r="A768" s="8"/>
      <c r="B768" s="8"/>
      <c r="C768" s="8"/>
      <c r="D768" s="8"/>
      <c r="E768" s="8"/>
      <c r="F768" s="8"/>
      <c r="G768" s="8"/>
    </row>
    <row r="769" ht="15.75" customHeight="1">
      <c r="A769" s="8"/>
      <c r="B769" s="8"/>
      <c r="C769" s="8"/>
      <c r="D769" s="8"/>
      <c r="E769" s="8"/>
      <c r="F769" s="8"/>
      <c r="G769" s="8"/>
    </row>
    <row r="770" ht="15.75" customHeight="1">
      <c r="A770" s="8"/>
      <c r="B770" s="8"/>
      <c r="C770" s="8"/>
      <c r="D770" s="8"/>
      <c r="E770" s="8"/>
      <c r="F770" s="8"/>
      <c r="G770" s="8"/>
    </row>
    <row r="771" ht="15.75" customHeight="1">
      <c r="A771" s="8"/>
      <c r="B771" s="8"/>
      <c r="C771" s="8"/>
      <c r="D771" s="8"/>
      <c r="E771" s="8"/>
      <c r="F771" s="8"/>
      <c r="G771" s="8"/>
    </row>
    <row r="772" ht="15.75" customHeight="1">
      <c r="A772" s="8"/>
      <c r="B772" s="8"/>
      <c r="C772" s="8"/>
      <c r="D772" s="8"/>
      <c r="E772" s="8"/>
      <c r="F772" s="8"/>
      <c r="G772" s="8"/>
    </row>
    <row r="773" ht="15.75" customHeight="1">
      <c r="A773" s="8"/>
      <c r="B773" s="8"/>
      <c r="C773" s="8"/>
      <c r="D773" s="8"/>
      <c r="E773" s="8"/>
      <c r="F773" s="8"/>
      <c r="G773" s="8"/>
    </row>
    <row r="774" ht="15.75" customHeight="1">
      <c r="A774" s="8"/>
      <c r="B774" s="8"/>
      <c r="C774" s="8"/>
      <c r="D774" s="8"/>
      <c r="E774" s="8"/>
      <c r="F774" s="8"/>
      <c r="G774" s="8"/>
    </row>
    <row r="775" ht="15.75" customHeight="1">
      <c r="A775" s="8"/>
      <c r="B775" s="8"/>
      <c r="C775" s="8"/>
      <c r="D775" s="8"/>
      <c r="E775" s="8"/>
      <c r="F775" s="8"/>
      <c r="G775" s="8"/>
    </row>
    <row r="776" ht="15.75" customHeight="1">
      <c r="A776" s="8"/>
      <c r="B776" s="8"/>
      <c r="C776" s="8"/>
      <c r="D776" s="8"/>
      <c r="E776" s="8"/>
      <c r="F776" s="8"/>
      <c r="G776" s="8"/>
    </row>
    <row r="777" ht="15.75" customHeight="1">
      <c r="A777" s="8"/>
      <c r="B777" s="8"/>
      <c r="C777" s="8"/>
      <c r="D777" s="8"/>
      <c r="E777" s="8"/>
      <c r="F777" s="8"/>
      <c r="G777" s="8"/>
    </row>
    <row r="778" ht="15.75" customHeight="1">
      <c r="A778" s="8"/>
      <c r="B778" s="8"/>
      <c r="C778" s="8"/>
      <c r="D778" s="8"/>
      <c r="E778" s="8"/>
      <c r="F778" s="8"/>
      <c r="G778" s="8"/>
    </row>
    <row r="779" ht="15.75" customHeight="1">
      <c r="A779" s="8"/>
      <c r="B779" s="8"/>
      <c r="C779" s="8"/>
      <c r="D779" s="8"/>
      <c r="E779" s="8"/>
      <c r="F779" s="8"/>
      <c r="G779" s="8"/>
    </row>
    <row r="780" ht="15.75" customHeight="1">
      <c r="A780" s="8"/>
      <c r="B780" s="8"/>
      <c r="C780" s="8"/>
      <c r="D780" s="8"/>
      <c r="E780" s="8"/>
      <c r="F780" s="8"/>
      <c r="G780" s="8"/>
    </row>
    <row r="781" ht="15.75" customHeight="1">
      <c r="A781" s="8"/>
      <c r="B781" s="8"/>
      <c r="C781" s="8"/>
      <c r="D781" s="8"/>
      <c r="E781" s="8"/>
      <c r="F781" s="8"/>
      <c r="G781" s="8"/>
    </row>
    <row r="782" ht="15.75" customHeight="1">
      <c r="A782" s="8"/>
      <c r="B782" s="8"/>
      <c r="C782" s="8"/>
      <c r="D782" s="8"/>
      <c r="E782" s="8"/>
      <c r="F782" s="8"/>
      <c r="G782" s="8"/>
    </row>
    <row r="783" ht="15.75" customHeight="1">
      <c r="A783" s="8"/>
      <c r="B783" s="8"/>
      <c r="C783" s="8"/>
      <c r="D783" s="8"/>
      <c r="E783" s="8"/>
      <c r="F783" s="8"/>
      <c r="G783" s="8"/>
    </row>
    <row r="784" ht="15.75" customHeight="1">
      <c r="A784" s="8"/>
      <c r="B784" s="8"/>
      <c r="C784" s="8"/>
      <c r="D784" s="8"/>
      <c r="E784" s="8"/>
      <c r="F784" s="8"/>
      <c r="G784" s="8"/>
    </row>
    <row r="785" ht="15.75" customHeight="1">
      <c r="A785" s="8"/>
      <c r="B785" s="8"/>
      <c r="C785" s="8"/>
      <c r="D785" s="8"/>
      <c r="E785" s="8"/>
      <c r="F785" s="8"/>
      <c r="G785" s="8"/>
    </row>
    <row r="786" ht="15.75" customHeight="1">
      <c r="A786" s="8"/>
      <c r="B786" s="8"/>
      <c r="C786" s="8"/>
      <c r="D786" s="8"/>
      <c r="E786" s="8"/>
      <c r="F786" s="8"/>
      <c r="G786" s="8"/>
    </row>
    <row r="787" ht="15.75" customHeight="1">
      <c r="A787" s="8"/>
      <c r="B787" s="8"/>
      <c r="C787" s="8"/>
      <c r="D787" s="8"/>
      <c r="E787" s="8"/>
      <c r="F787" s="8"/>
      <c r="G787" s="8"/>
    </row>
    <row r="788" ht="15.75" customHeight="1">
      <c r="A788" s="8"/>
      <c r="B788" s="8"/>
      <c r="C788" s="8"/>
      <c r="D788" s="8"/>
      <c r="E788" s="8"/>
      <c r="F788" s="8"/>
      <c r="G788" s="8"/>
    </row>
    <row r="789" ht="15.75" customHeight="1">
      <c r="A789" s="8"/>
      <c r="B789" s="8"/>
      <c r="C789" s="8"/>
      <c r="D789" s="8"/>
      <c r="E789" s="8"/>
      <c r="F789" s="8"/>
      <c r="G789" s="8"/>
    </row>
    <row r="790" ht="15.75" customHeight="1">
      <c r="A790" s="8"/>
      <c r="B790" s="8"/>
      <c r="C790" s="8"/>
      <c r="D790" s="8"/>
      <c r="E790" s="8"/>
      <c r="F790" s="8"/>
      <c r="G790" s="8"/>
    </row>
    <row r="791" ht="15.75" customHeight="1">
      <c r="A791" s="8"/>
      <c r="B791" s="8"/>
      <c r="C791" s="8"/>
      <c r="D791" s="8"/>
      <c r="E791" s="8"/>
      <c r="F791" s="8"/>
      <c r="G791" s="8"/>
    </row>
    <row r="792" ht="15.75" customHeight="1">
      <c r="A792" s="8"/>
      <c r="B792" s="8"/>
      <c r="C792" s="8"/>
      <c r="D792" s="8"/>
      <c r="E792" s="8"/>
      <c r="F792" s="8"/>
      <c r="G792" s="8"/>
    </row>
    <row r="793" ht="15.75" customHeight="1">
      <c r="A793" s="8"/>
      <c r="B793" s="8"/>
      <c r="C793" s="8"/>
      <c r="D793" s="8"/>
      <c r="E793" s="8"/>
      <c r="F793" s="8"/>
      <c r="G793" s="8"/>
    </row>
    <row r="794" ht="15.75" customHeight="1">
      <c r="A794" s="8"/>
      <c r="B794" s="8"/>
      <c r="C794" s="8"/>
      <c r="D794" s="8"/>
      <c r="E794" s="8"/>
      <c r="F794" s="8"/>
      <c r="G794" s="8"/>
    </row>
    <row r="795" ht="15.75" customHeight="1">
      <c r="A795" s="8"/>
      <c r="B795" s="8"/>
      <c r="C795" s="8"/>
      <c r="D795" s="8"/>
      <c r="E795" s="8"/>
      <c r="F795" s="8"/>
      <c r="G795" s="8"/>
    </row>
    <row r="796" ht="15.75" customHeight="1">
      <c r="A796" s="8"/>
      <c r="B796" s="8"/>
      <c r="C796" s="8"/>
      <c r="D796" s="8"/>
      <c r="E796" s="8"/>
      <c r="F796" s="8"/>
      <c r="G796" s="8"/>
    </row>
    <row r="797" ht="15.75" customHeight="1">
      <c r="A797" s="8"/>
      <c r="B797" s="8"/>
      <c r="C797" s="8"/>
      <c r="D797" s="8"/>
      <c r="E797" s="8"/>
      <c r="F797" s="8"/>
      <c r="G797" s="8"/>
    </row>
    <row r="798" ht="15.75" customHeight="1">
      <c r="A798" s="8"/>
      <c r="B798" s="8"/>
      <c r="C798" s="8"/>
      <c r="D798" s="8"/>
      <c r="E798" s="8"/>
      <c r="F798" s="8"/>
      <c r="G798" s="8"/>
    </row>
    <row r="799" ht="15.75" customHeight="1">
      <c r="A799" s="8"/>
      <c r="B799" s="8"/>
      <c r="C799" s="8"/>
      <c r="D799" s="8"/>
      <c r="E799" s="8"/>
      <c r="F799" s="8"/>
      <c r="G799" s="8"/>
    </row>
    <row r="800" ht="15.75" customHeight="1">
      <c r="A800" s="8"/>
      <c r="B800" s="8"/>
      <c r="C800" s="8"/>
      <c r="D800" s="8"/>
      <c r="E800" s="8"/>
      <c r="F800" s="8"/>
      <c r="G800" s="8"/>
    </row>
    <row r="801" ht="15.75" customHeight="1">
      <c r="A801" s="8"/>
      <c r="B801" s="8"/>
      <c r="C801" s="8"/>
      <c r="D801" s="8"/>
      <c r="E801" s="8"/>
      <c r="F801" s="8"/>
      <c r="G801" s="8"/>
    </row>
    <row r="802" ht="15.75" customHeight="1">
      <c r="A802" s="8"/>
      <c r="B802" s="8"/>
      <c r="C802" s="8"/>
      <c r="D802" s="8"/>
      <c r="E802" s="8"/>
      <c r="F802" s="8"/>
      <c r="G802" s="8"/>
    </row>
    <row r="803" ht="15.75" customHeight="1">
      <c r="A803" s="8"/>
      <c r="B803" s="8"/>
      <c r="C803" s="8"/>
      <c r="D803" s="8"/>
      <c r="E803" s="8"/>
      <c r="F803" s="8"/>
      <c r="G803" s="8"/>
    </row>
    <row r="804" ht="15.75" customHeight="1">
      <c r="A804" s="8"/>
      <c r="B804" s="8"/>
      <c r="C804" s="8"/>
      <c r="D804" s="8"/>
      <c r="E804" s="8"/>
      <c r="F804" s="8"/>
      <c r="G804" s="8"/>
    </row>
    <row r="805" ht="15.75" customHeight="1">
      <c r="A805" s="8"/>
      <c r="B805" s="8"/>
      <c r="C805" s="8"/>
      <c r="D805" s="8"/>
      <c r="E805" s="8"/>
      <c r="F805" s="8"/>
      <c r="G805" s="8"/>
    </row>
    <row r="806" ht="15.75" customHeight="1">
      <c r="A806" s="8"/>
      <c r="B806" s="8"/>
      <c r="C806" s="8"/>
      <c r="D806" s="8"/>
      <c r="E806" s="8"/>
      <c r="F806" s="8"/>
      <c r="G806" s="8"/>
    </row>
    <row r="807" ht="15.75" customHeight="1">
      <c r="A807" s="8"/>
      <c r="B807" s="8"/>
      <c r="C807" s="8"/>
      <c r="D807" s="8"/>
      <c r="E807" s="8"/>
      <c r="F807" s="8"/>
      <c r="G807" s="8"/>
    </row>
    <row r="808" ht="15.75" customHeight="1">
      <c r="A808" s="8"/>
      <c r="B808" s="8"/>
      <c r="C808" s="8"/>
      <c r="D808" s="8"/>
      <c r="E808" s="8"/>
      <c r="F808" s="8"/>
      <c r="G808" s="8"/>
    </row>
    <row r="809" ht="15.75" customHeight="1">
      <c r="A809" s="8"/>
      <c r="B809" s="8"/>
      <c r="C809" s="8"/>
      <c r="D809" s="8"/>
      <c r="E809" s="8"/>
      <c r="F809" s="8"/>
      <c r="G809" s="8"/>
    </row>
    <row r="810" ht="15.75" customHeight="1">
      <c r="A810" s="8"/>
      <c r="B810" s="8"/>
      <c r="C810" s="8"/>
      <c r="D810" s="8"/>
      <c r="E810" s="8"/>
      <c r="F810" s="8"/>
      <c r="G810" s="8"/>
    </row>
    <row r="811" ht="15.75" customHeight="1">
      <c r="A811" s="8"/>
      <c r="B811" s="8"/>
      <c r="C811" s="8"/>
      <c r="D811" s="8"/>
      <c r="E811" s="8"/>
      <c r="F811" s="8"/>
      <c r="G811" s="8"/>
    </row>
    <row r="812" ht="15.75" customHeight="1">
      <c r="A812" s="8"/>
      <c r="B812" s="8"/>
      <c r="C812" s="8"/>
      <c r="D812" s="8"/>
      <c r="E812" s="8"/>
      <c r="F812" s="8"/>
      <c r="G812" s="8"/>
    </row>
    <row r="813" ht="15.75" customHeight="1">
      <c r="A813" s="8"/>
      <c r="B813" s="8"/>
      <c r="C813" s="8"/>
      <c r="D813" s="8"/>
      <c r="E813" s="8"/>
      <c r="F813" s="8"/>
      <c r="G813" s="8"/>
    </row>
    <row r="814" ht="15.75" customHeight="1">
      <c r="A814" s="8"/>
      <c r="B814" s="8"/>
      <c r="C814" s="8"/>
      <c r="D814" s="8"/>
      <c r="E814" s="8"/>
      <c r="F814" s="8"/>
      <c r="G814" s="8"/>
    </row>
    <row r="815" ht="15.75" customHeight="1">
      <c r="A815" s="8"/>
      <c r="B815" s="8"/>
      <c r="C815" s="8"/>
      <c r="D815" s="8"/>
      <c r="E815" s="8"/>
      <c r="F815" s="8"/>
      <c r="G815" s="8"/>
    </row>
    <row r="816" ht="15.75" customHeight="1">
      <c r="A816" s="8"/>
      <c r="B816" s="8"/>
      <c r="C816" s="8"/>
      <c r="D816" s="8"/>
      <c r="E816" s="8"/>
      <c r="F816" s="8"/>
      <c r="G816" s="8"/>
    </row>
    <row r="817" ht="15.75" customHeight="1">
      <c r="A817" s="8"/>
      <c r="B817" s="8"/>
      <c r="C817" s="8"/>
      <c r="D817" s="8"/>
      <c r="E817" s="8"/>
      <c r="F817" s="8"/>
      <c r="G817" s="8"/>
    </row>
    <row r="818" ht="15.75" customHeight="1">
      <c r="A818" s="8"/>
      <c r="B818" s="8"/>
      <c r="C818" s="8"/>
      <c r="D818" s="8"/>
      <c r="E818" s="8"/>
      <c r="F818" s="8"/>
      <c r="G818" s="8"/>
    </row>
    <row r="819" ht="15.75" customHeight="1">
      <c r="A819" s="8"/>
      <c r="B819" s="8"/>
      <c r="C819" s="8"/>
      <c r="D819" s="8"/>
      <c r="E819" s="8"/>
      <c r="F819" s="8"/>
      <c r="G819" s="8"/>
    </row>
    <row r="820" ht="15.75" customHeight="1">
      <c r="A820" s="8"/>
      <c r="B820" s="8"/>
      <c r="C820" s="8"/>
      <c r="D820" s="8"/>
      <c r="E820" s="8"/>
      <c r="F820" s="8"/>
      <c r="G820" s="8"/>
    </row>
    <row r="821" ht="15.75" customHeight="1">
      <c r="A821" s="8"/>
      <c r="B821" s="8"/>
      <c r="C821" s="8"/>
      <c r="D821" s="8"/>
      <c r="E821" s="8"/>
      <c r="F821" s="8"/>
      <c r="G821" s="8"/>
    </row>
    <row r="822" ht="15.75" customHeight="1">
      <c r="A822" s="8"/>
      <c r="B822" s="8"/>
      <c r="C822" s="8"/>
      <c r="D822" s="8"/>
      <c r="E822" s="8"/>
      <c r="F822" s="8"/>
      <c r="G822" s="8"/>
    </row>
    <row r="823" ht="15.75" customHeight="1">
      <c r="A823" s="8"/>
      <c r="B823" s="8"/>
      <c r="C823" s="8"/>
      <c r="D823" s="8"/>
      <c r="E823" s="8"/>
      <c r="F823" s="8"/>
      <c r="G823" s="8"/>
    </row>
    <row r="824" ht="15.75" customHeight="1">
      <c r="A824" s="8"/>
      <c r="B824" s="8"/>
      <c r="C824" s="8"/>
      <c r="D824" s="8"/>
      <c r="E824" s="8"/>
      <c r="F824" s="8"/>
      <c r="G824" s="8"/>
    </row>
    <row r="825" ht="15.75" customHeight="1">
      <c r="A825" s="8"/>
      <c r="B825" s="8"/>
      <c r="C825" s="8"/>
      <c r="D825" s="8"/>
      <c r="E825" s="8"/>
      <c r="F825" s="8"/>
      <c r="G825" s="8"/>
    </row>
    <row r="826" ht="15.75" customHeight="1">
      <c r="A826" s="8"/>
      <c r="B826" s="8"/>
      <c r="C826" s="8"/>
      <c r="D826" s="8"/>
      <c r="E826" s="8"/>
      <c r="F826" s="8"/>
      <c r="G826" s="8"/>
    </row>
    <row r="827" ht="15.75" customHeight="1">
      <c r="A827" s="8"/>
      <c r="B827" s="8"/>
      <c r="C827" s="8"/>
      <c r="D827" s="8"/>
      <c r="E827" s="8"/>
      <c r="F827" s="8"/>
      <c r="G827" s="8"/>
    </row>
    <row r="828" ht="15.75" customHeight="1">
      <c r="A828" s="8"/>
      <c r="B828" s="8"/>
      <c r="C828" s="8"/>
      <c r="D828" s="8"/>
      <c r="E828" s="8"/>
      <c r="F828" s="8"/>
      <c r="G828" s="8"/>
    </row>
    <row r="829" ht="15.75" customHeight="1">
      <c r="A829" s="8"/>
      <c r="B829" s="8"/>
      <c r="C829" s="8"/>
      <c r="D829" s="8"/>
      <c r="E829" s="8"/>
      <c r="F829" s="8"/>
      <c r="G829" s="8"/>
    </row>
    <row r="830" ht="15.75" customHeight="1">
      <c r="A830" s="8"/>
      <c r="B830" s="8"/>
      <c r="C830" s="8"/>
      <c r="D830" s="8"/>
      <c r="E830" s="8"/>
      <c r="F830" s="8"/>
      <c r="G830" s="8"/>
    </row>
    <row r="831" ht="15.75" customHeight="1">
      <c r="A831" s="8"/>
      <c r="B831" s="8"/>
      <c r="C831" s="8"/>
      <c r="D831" s="8"/>
      <c r="E831" s="8"/>
      <c r="F831" s="8"/>
      <c r="G831" s="8"/>
    </row>
    <row r="832" ht="15.75" customHeight="1">
      <c r="A832" s="8"/>
      <c r="B832" s="8"/>
      <c r="C832" s="8"/>
      <c r="D832" s="8"/>
      <c r="E832" s="8"/>
      <c r="F832" s="8"/>
      <c r="G832" s="8"/>
    </row>
    <row r="833" ht="15.75" customHeight="1">
      <c r="A833" s="8"/>
      <c r="B833" s="8"/>
      <c r="C833" s="8"/>
      <c r="D833" s="8"/>
      <c r="E833" s="8"/>
      <c r="F833" s="8"/>
      <c r="G833" s="8"/>
    </row>
    <row r="834" ht="15.75" customHeight="1">
      <c r="A834" s="8"/>
      <c r="B834" s="8"/>
      <c r="C834" s="8"/>
      <c r="D834" s="8"/>
      <c r="E834" s="8"/>
      <c r="F834" s="8"/>
      <c r="G834" s="8"/>
    </row>
    <row r="835" ht="15.75" customHeight="1">
      <c r="A835" s="8"/>
      <c r="B835" s="8"/>
      <c r="C835" s="8"/>
      <c r="D835" s="8"/>
      <c r="E835" s="8"/>
      <c r="F835" s="8"/>
      <c r="G835" s="8"/>
    </row>
    <row r="836" ht="15.75" customHeight="1">
      <c r="A836" s="8"/>
      <c r="B836" s="8"/>
      <c r="C836" s="8"/>
      <c r="D836" s="8"/>
      <c r="E836" s="8"/>
      <c r="F836" s="8"/>
      <c r="G836" s="8"/>
    </row>
    <row r="837" ht="15.75" customHeight="1">
      <c r="A837" s="8"/>
      <c r="B837" s="8"/>
      <c r="C837" s="8"/>
      <c r="D837" s="8"/>
      <c r="E837" s="8"/>
      <c r="F837" s="8"/>
      <c r="G837" s="8"/>
    </row>
    <row r="838" ht="15.75" customHeight="1">
      <c r="A838" s="8"/>
      <c r="B838" s="8"/>
      <c r="C838" s="8"/>
      <c r="D838" s="8"/>
      <c r="E838" s="8"/>
      <c r="F838" s="8"/>
      <c r="G838" s="8"/>
    </row>
    <row r="839" ht="15.75" customHeight="1">
      <c r="A839" s="8"/>
      <c r="B839" s="8"/>
      <c r="C839" s="8"/>
      <c r="D839" s="8"/>
      <c r="E839" s="8"/>
      <c r="F839" s="8"/>
      <c r="G839" s="8"/>
    </row>
    <row r="840" ht="15.75" customHeight="1">
      <c r="A840" s="8"/>
      <c r="B840" s="8"/>
      <c r="C840" s="8"/>
      <c r="D840" s="8"/>
      <c r="E840" s="8"/>
      <c r="F840" s="8"/>
      <c r="G840" s="8"/>
    </row>
    <row r="841" ht="15.75" customHeight="1">
      <c r="A841" s="8"/>
      <c r="B841" s="8"/>
      <c r="C841" s="8"/>
      <c r="D841" s="8"/>
      <c r="E841" s="8"/>
      <c r="F841" s="8"/>
      <c r="G841" s="8"/>
    </row>
    <row r="842" ht="15.75" customHeight="1">
      <c r="A842" s="8"/>
      <c r="B842" s="8"/>
      <c r="C842" s="8"/>
      <c r="D842" s="8"/>
      <c r="E842" s="8"/>
      <c r="F842" s="8"/>
      <c r="G842" s="8"/>
    </row>
    <row r="843" ht="15.75" customHeight="1">
      <c r="A843" s="8"/>
      <c r="B843" s="8"/>
      <c r="C843" s="8"/>
      <c r="D843" s="8"/>
      <c r="E843" s="8"/>
      <c r="F843" s="8"/>
      <c r="G843" s="8"/>
    </row>
    <row r="844" ht="15.75" customHeight="1">
      <c r="A844" s="8"/>
      <c r="B844" s="8"/>
      <c r="C844" s="8"/>
      <c r="D844" s="8"/>
      <c r="E844" s="8"/>
      <c r="F844" s="8"/>
      <c r="G844" s="8"/>
    </row>
    <row r="845" ht="15.75" customHeight="1">
      <c r="A845" s="8"/>
      <c r="B845" s="8"/>
      <c r="C845" s="8"/>
      <c r="D845" s="8"/>
      <c r="E845" s="8"/>
      <c r="F845" s="8"/>
      <c r="G845" s="8"/>
    </row>
    <row r="846" ht="15.75" customHeight="1">
      <c r="A846" s="8"/>
      <c r="B846" s="8"/>
      <c r="C846" s="8"/>
      <c r="D846" s="8"/>
      <c r="E846" s="8"/>
      <c r="F846" s="8"/>
      <c r="G846" s="8"/>
    </row>
    <row r="847" ht="15.75" customHeight="1">
      <c r="A847" s="8"/>
      <c r="B847" s="8"/>
      <c r="C847" s="8"/>
      <c r="D847" s="8"/>
      <c r="E847" s="8"/>
      <c r="F847" s="8"/>
      <c r="G847" s="8"/>
    </row>
    <row r="848" ht="15.75" customHeight="1">
      <c r="A848" s="8"/>
      <c r="B848" s="8"/>
      <c r="C848" s="8"/>
      <c r="D848" s="8"/>
      <c r="E848" s="8"/>
      <c r="F848" s="8"/>
      <c r="G848" s="8"/>
    </row>
    <row r="849" ht="15.75" customHeight="1">
      <c r="A849" s="8"/>
      <c r="B849" s="8"/>
      <c r="C849" s="8"/>
      <c r="D849" s="8"/>
      <c r="E849" s="8"/>
      <c r="F849" s="8"/>
      <c r="G849" s="8"/>
    </row>
    <row r="850" ht="15.75" customHeight="1">
      <c r="A850" s="8"/>
      <c r="B850" s="8"/>
      <c r="C850" s="8"/>
      <c r="D850" s="8"/>
      <c r="E850" s="8"/>
      <c r="F850" s="8"/>
      <c r="G850" s="8"/>
    </row>
    <row r="851" ht="15.75" customHeight="1">
      <c r="A851" s="8"/>
      <c r="B851" s="8"/>
      <c r="C851" s="8"/>
      <c r="D851" s="8"/>
      <c r="E851" s="8"/>
      <c r="F851" s="8"/>
      <c r="G851" s="8"/>
    </row>
    <row r="852" ht="15.75" customHeight="1">
      <c r="A852" s="8"/>
      <c r="B852" s="8"/>
      <c r="C852" s="8"/>
      <c r="D852" s="8"/>
      <c r="E852" s="8"/>
      <c r="F852" s="8"/>
      <c r="G852" s="8"/>
    </row>
    <row r="853" ht="15.75" customHeight="1">
      <c r="A853" s="8"/>
      <c r="B853" s="8"/>
      <c r="C853" s="8"/>
      <c r="D853" s="8"/>
      <c r="E853" s="8"/>
      <c r="F853" s="8"/>
      <c r="G853" s="8"/>
    </row>
    <row r="854" ht="15.75" customHeight="1">
      <c r="A854" s="8"/>
      <c r="B854" s="8"/>
      <c r="C854" s="8"/>
      <c r="D854" s="8"/>
      <c r="E854" s="8"/>
      <c r="F854" s="8"/>
      <c r="G854" s="8"/>
    </row>
    <row r="855" ht="15.75" customHeight="1">
      <c r="A855" s="8"/>
      <c r="B855" s="8"/>
      <c r="C855" s="8"/>
      <c r="D855" s="8"/>
      <c r="E855" s="8"/>
      <c r="F855" s="8"/>
      <c r="G855" s="8"/>
    </row>
    <row r="856" ht="15.75" customHeight="1">
      <c r="A856" s="8"/>
      <c r="B856" s="8"/>
      <c r="C856" s="8"/>
      <c r="D856" s="8"/>
      <c r="E856" s="8"/>
      <c r="F856" s="8"/>
      <c r="G856" s="8"/>
    </row>
    <row r="857" ht="15.75" customHeight="1">
      <c r="A857" s="8"/>
      <c r="B857" s="8"/>
      <c r="C857" s="8"/>
      <c r="D857" s="8"/>
      <c r="E857" s="8"/>
      <c r="F857" s="8"/>
      <c r="G857" s="8"/>
    </row>
    <row r="858" ht="15.75" customHeight="1">
      <c r="A858" s="8"/>
      <c r="B858" s="8"/>
      <c r="C858" s="8"/>
      <c r="D858" s="8"/>
      <c r="E858" s="8"/>
      <c r="F858" s="8"/>
      <c r="G858" s="8"/>
    </row>
    <row r="859" ht="15.75" customHeight="1">
      <c r="A859" s="8"/>
      <c r="B859" s="8"/>
      <c r="C859" s="8"/>
      <c r="D859" s="8"/>
      <c r="E859" s="8"/>
      <c r="F859" s="8"/>
      <c r="G859" s="8"/>
    </row>
    <row r="860" ht="15.75" customHeight="1">
      <c r="A860" s="8"/>
      <c r="B860" s="8"/>
      <c r="C860" s="8"/>
      <c r="D860" s="8"/>
      <c r="E860" s="8"/>
      <c r="F860" s="8"/>
      <c r="G860" s="8"/>
    </row>
    <row r="861" ht="15.75" customHeight="1">
      <c r="A861" s="8"/>
      <c r="B861" s="8"/>
      <c r="C861" s="8"/>
      <c r="D861" s="8"/>
      <c r="E861" s="8"/>
      <c r="F861" s="8"/>
      <c r="G861" s="8"/>
    </row>
    <row r="862" ht="15.75" customHeight="1">
      <c r="A862" s="8"/>
      <c r="B862" s="8"/>
      <c r="C862" s="8"/>
      <c r="D862" s="8"/>
      <c r="E862" s="8"/>
      <c r="F862" s="8"/>
      <c r="G862" s="8"/>
    </row>
    <row r="863" ht="15.75" customHeight="1">
      <c r="A863" s="8"/>
      <c r="B863" s="8"/>
      <c r="C863" s="8"/>
      <c r="D863" s="8"/>
      <c r="E863" s="8"/>
      <c r="F863" s="8"/>
      <c r="G863" s="8"/>
    </row>
    <row r="864" ht="15.75" customHeight="1">
      <c r="A864" s="8"/>
      <c r="B864" s="8"/>
      <c r="C864" s="8"/>
      <c r="D864" s="8"/>
      <c r="E864" s="8"/>
      <c r="F864" s="8"/>
      <c r="G864" s="8"/>
    </row>
    <row r="865" ht="15.75" customHeight="1">
      <c r="A865" s="8"/>
      <c r="B865" s="8"/>
      <c r="C865" s="8"/>
      <c r="D865" s="8"/>
      <c r="E865" s="8"/>
      <c r="F865" s="8"/>
      <c r="G865" s="8"/>
    </row>
    <row r="866" ht="15.75" customHeight="1">
      <c r="A866" s="8"/>
      <c r="B866" s="8"/>
      <c r="C866" s="8"/>
      <c r="D866" s="8"/>
      <c r="E866" s="8"/>
      <c r="F866" s="8"/>
      <c r="G866" s="8"/>
    </row>
    <row r="867" ht="15.75" customHeight="1">
      <c r="A867" s="8"/>
      <c r="B867" s="8"/>
      <c r="C867" s="8"/>
      <c r="D867" s="8"/>
      <c r="E867" s="8"/>
      <c r="F867" s="8"/>
      <c r="G867" s="8"/>
    </row>
    <row r="868" ht="15.75" customHeight="1">
      <c r="A868" s="8"/>
      <c r="B868" s="8"/>
      <c r="C868" s="8"/>
      <c r="D868" s="8"/>
      <c r="E868" s="8"/>
      <c r="F868" s="8"/>
      <c r="G868" s="8"/>
    </row>
    <row r="869" ht="15.75" customHeight="1">
      <c r="A869" s="8"/>
      <c r="B869" s="8"/>
      <c r="C869" s="8"/>
      <c r="D869" s="8"/>
      <c r="E869" s="8"/>
      <c r="F869" s="8"/>
      <c r="G869" s="8"/>
    </row>
    <row r="870" ht="15.75" customHeight="1">
      <c r="A870" s="8"/>
      <c r="B870" s="8"/>
      <c r="C870" s="8"/>
      <c r="D870" s="8"/>
      <c r="E870" s="8"/>
      <c r="F870" s="8"/>
      <c r="G870" s="8"/>
    </row>
    <row r="871" ht="15.75" customHeight="1">
      <c r="A871" s="8"/>
      <c r="B871" s="8"/>
      <c r="C871" s="8"/>
      <c r="D871" s="8"/>
      <c r="E871" s="8"/>
      <c r="F871" s="8"/>
      <c r="G871" s="8"/>
    </row>
    <row r="872" ht="15.75" customHeight="1">
      <c r="A872" s="8"/>
      <c r="B872" s="8"/>
      <c r="C872" s="8"/>
      <c r="D872" s="8"/>
      <c r="E872" s="8"/>
      <c r="F872" s="8"/>
      <c r="G872" s="8"/>
    </row>
    <row r="873" ht="15.75" customHeight="1">
      <c r="A873" s="8"/>
      <c r="B873" s="8"/>
      <c r="C873" s="8"/>
      <c r="D873" s="8"/>
      <c r="E873" s="8"/>
      <c r="F873" s="8"/>
      <c r="G873" s="8"/>
    </row>
    <row r="874" ht="15.75" customHeight="1">
      <c r="A874" s="8"/>
      <c r="B874" s="8"/>
      <c r="C874" s="8"/>
      <c r="D874" s="8"/>
      <c r="E874" s="8"/>
      <c r="F874" s="8"/>
      <c r="G874" s="8"/>
    </row>
    <row r="875" ht="15.75" customHeight="1">
      <c r="A875" s="8"/>
      <c r="B875" s="8"/>
      <c r="C875" s="8"/>
      <c r="D875" s="8"/>
      <c r="E875" s="8"/>
      <c r="F875" s="8"/>
      <c r="G875" s="8"/>
    </row>
    <row r="876" ht="15.75" customHeight="1">
      <c r="A876" s="8"/>
      <c r="B876" s="8"/>
      <c r="C876" s="8"/>
      <c r="D876" s="8"/>
      <c r="E876" s="8"/>
      <c r="F876" s="8"/>
      <c r="G876" s="8"/>
    </row>
    <row r="877" ht="15.75" customHeight="1">
      <c r="A877" s="8"/>
      <c r="B877" s="8"/>
      <c r="C877" s="8"/>
      <c r="D877" s="8"/>
      <c r="E877" s="8"/>
      <c r="F877" s="8"/>
      <c r="G877" s="8"/>
    </row>
    <row r="878" ht="15.75" customHeight="1">
      <c r="A878" s="8"/>
      <c r="B878" s="8"/>
      <c r="C878" s="8"/>
      <c r="D878" s="8"/>
      <c r="E878" s="8"/>
      <c r="F878" s="8"/>
      <c r="G878" s="8"/>
    </row>
    <row r="879" ht="15.75" customHeight="1">
      <c r="A879" s="8"/>
      <c r="B879" s="8"/>
      <c r="C879" s="8"/>
      <c r="D879" s="8"/>
      <c r="E879" s="8"/>
      <c r="F879" s="8"/>
      <c r="G879" s="8"/>
    </row>
    <row r="880" ht="15.75" customHeight="1">
      <c r="A880" s="8"/>
      <c r="B880" s="8"/>
      <c r="C880" s="8"/>
      <c r="D880" s="8"/>
      <c r="E880" s="8"/>
      <c r="F880" s="8"/>
      <c r="G880" s="8"/>
    </row>
    <row r="881" ht="15.75" customHeight="1">
      <c r="A881" s="8"/>
      <c r="B881" s="8"/>
      <c r="C881" s="8"/>
      <c r="D881" s="8"/>
      <c r="E881" s="8"/>
      <c r="F881" s="8"/>
      <c r="G881" s="8"/>
    </row>
    <row r="882" ht="15.75" customHeight="1">
      <c r="A882" s="8"/>
      <c r="B882" s="8"/>
      <c r="C882" s="8"/>
      <c r="D882" s="8"/>
      <c r="E882" s="8"/>
      <c r="F882" s="8"/>
      <c r="G882" s="8"/>
    </row>
    <row r="883" ht="15.75" customHeight="1">
      <c r="A883" s="8"/>
      <c r="B883" s="8"/>
      <c r="C883" s="8"/>
      <c r="D883" s="8"/>
      <c r="E883" s="8"/>
      <c r="F883" s="8"/>
      <c r="G883" s="8"/>
    </row>
    <row r="884" ht="15.75" customHeight="1">
      <c r="A884" s="8"/>
      <c r="B884" s="8"/>
      <c r="C884" s="8"/>
      <c r="D884" s="8"/>
      <c r="E884" s="8"/>
      <c r="F884" s="8"/>
      <c r="G884" s="8"/>
    </row>
    <row r="885" ht="15.75" customHeight="1">
      <c r="A885" s="8"/>
      <c r="B885" s="8"/>
      <c r="C885" s="8"/>
      <c r="D885" s="8"/>
      <c r="E885" s="8"/>
      <c r="F885" s="8"/>
      <c r="G885" s="8"/>
    </row>
    <row r="886" ht="15.75" customHeight="1">
      <c r="A886" s="8"/>
      <c r="B886" s="8"/>
      <c r="C886" s="8"/>
      <c r="D886" s="8"/>
      <c r="E886" s="8"/>
      <c r="F886" s="8"/>
      <c r="G886" s="8"/>
    </row>
    <row r="887" ht="15.75" customHeight="1">
      <c r="A887" s="8"/>
      <c r="B887" s="8"/>
      <c r="C887" s="8"/>
      <c r="D887" s="8"/>
      <c r="E887" s="8"/>
      <c r="F887" s="8"/>
      <c r="G887" s="8"/>
    </row>
    <row r="888" ht="15.75" customHeight="1">
      <c r="A888" s="8"/>
      <c r="B888" s="8"/>
      <c r="C888" s="8"/>
      <c r="D888" s="8"/>
      <c r="E888" s="8"/>
      <c r="F888" s="8"/>
      <c r="G888" s="8"/>
    </row>
    <row r="889" ht="15.75" customHeight="1">
      <c r="A889" s="8"/>
      <c r="B889" s="8"/>
      <c r="C889" s="8"/>
      <c r="D889" s="8"/>
      <c r="E889" s="8"/>
      <c r="F889" s="8"/>
      <c r="G889" s="8"/>
    </row>
    <row r="890" ht="15.75" customHeight="1">
      <c r="A890" s="8"/>
      <c r="B890" s="8"/>
      <c r="C890" s="8"/>
      <c r="D890" s="8"/>
      <c r="E890" s="8"/>
      <c r="F890" s="8"/>
      <c r="G890" s="8"/>
    </row>
    <row r="891" ht="15.75" customHeight="1">
      <c r="A891" s="8"/>
      <c r="B891" s="8"/>
      <c r="C891" s="8"/>
      <c r="D891" s="8"/>
      <c r="E891" s="8"/>
      <c r="F891" s="8"/>
      <c r="G891" s="8"/>
    </row>
    <row r="892" ht="15.75" customHeight="1">
      <c r="A892" s="8"/>
      <c r="B892" s="8"/>
      <c r="C892" s="8"/>
      <c r="D892" s="8"/>
      <c r="E892" s="8"/>
      <c r="F892" s="8"/>
      <c r="G892" s="8"/>
    </row>
    <row r="893" ht="15.75" customHeight="1">
      <c r="A893" s="8"/>
      <c r="B893" s="8"/>
      <c r="C893" s="8"/>
      <c r="D893" s="8"/>
      <c r="E893" s="8"/>
      <c r="F893" s="8"/>
      <c r="G893" s="8"/>
    </row>
    <row r="894" ht="15.75" customHeight="1">
      <c r="A894" s="8"/>
      <c r="B894" s="8"/>
      <c r="C894" s="8"/>
      <c r="D894" s="8"/>
      <c r="E894" s="8"/>
      <c r="F894" s="8"/>
      <c r="G894" s="8"/>
    </row>
    <row r="895" ht="15.75" customHeight="1">
      <c r="A895" s="8"/>
      <c r="B895" s="8"/>
      <c r="C895" s="8"/>
      <c r="D895" s="8"/>
      <c r="E895" s="8"/>
      <c r="F895" s="8"/>
      <c r="G895" s="8"/>
    </row>
    <row r="896" ht="15.75" customHeight="1">
      <c r="A896" s="8"/>
      <c r="B896" s="8"/>
      <c r="C896" s="8"/>
      <c r="D896" s="8"/>
      <c r="E896" s="8"/>
      <c r="F896" s="8"/>
      <c r="G896" s="8"/>
    </row>
    <row r="897" ht="15.75" customHeight="1">
      <c r="A897" s="8"/>
      <c r="B897" s="8"/>
      <c r="C897" s="8"/>
      <c r="D897" s="8"/>
      <c r="E897" s="8"/>
      <c r="F897" s="8"/>
      <c r="G897" s="8"/>
    </row>
    <row r="898" ht="15.75" customHeight="1">
      <c r="A898" s="8"/>
      <c r="B898" s="8"/>
      <c r="C898" s="8"/>
      <c r="D898" s="8"/>
      <c r="E898" s="8"/>
      <c r="F898" s="8"/>
      <c r="G898" s="8"/>
    </row>
    <row r="899" ht="15.75" customHeight="1">
      <c r="A899" s="8"/>
      <c r="B899" s="8"/>
      <c r="C899" s="8"/>
      <c r="D899" s="8"/>
      <c r="E899" s="8"/>
      <c r="F899" s="8"/>
      <c r="G899" s="8"/>
    </row>
    <row r="900" ht="15.75" customHeight="1">
      <c r="A900" s="8"/>
      <c r="B900" s="8"/>
      <c r="C900" s="8"/>
      <c r="D900" s="8"/>
      <c r="E900" s="8"/>
      <c r="F900" s="8"/>
      <c r="G900" s="8"/>
    </row>
    <row r="901" ht="15.75" customHeight="1">
      <c r="A901" s="8"/>
      <c r="B901" s="8"/>
      <c r="C901" s="8"/>
      <c r="D901" s="8"/>
      <c r="E901" s="8"/>
      <c r="F901" s="8"/>
      <c r="G901" s="8"/>
    </row>
    <row r="902" ht="15.75" customHeight="1">
      <c r="A902" s="8"/>
      <c r="B902" s="8"/>
      <c r="C902" s="8"/>
      <c r="D902" s="8"/>
      <c r="E902" s="8"/>
      <c r="F902" s="8"/>
      <c r="G902" s="8"/>
    </row>
    <row r="903" ht="15.75" customHeight="1">
      <c r="A903" s="8"/>
      <c r="B903" s="8"/>
      <c r="C903" s="8"/>
      <c r="D903" s="8"/>
      <c r="E903" s="8"/>
      <c r="F903" s="8"/>
      <c r="G903" s="8"/>
    </row>
    <row r="904" ht="15.75" customHeight="1">
      <c r="A904" s="8"/>
      <c r="B904" s="8"/>
      <c r="C904" s="8"/>
      <c r="D904" s="8"/>
      <c r="E904" s="8"/>
      <c r="F904" s="8"/>
      <c r="G904" s="8"/>
    </row>
    <row r="905" ht="15.75" customHeight="1">
      <c r="A905" s="8"/>
      <c r="B905" s="8"/>
      <c r="C905" s="8"/>
      <c r="D905" s="8"/>
      <c r="E905" s="8"/>
      <c r="F905" s="8"/>
      <c r="G905" s="8"/>
    </row>
    <row r="906" ht="15.75" customHeight="1">
      <c r="A906" s="8"/>
      <c r="B906" s="8"/>
      <c r="C906" s="8"/>
      <c r="D906" s="8"/>
      <c r="E906" s="8"/>
      <c r="F906" s="8"/>
      <c r="G906" s="8"/>
    </row>
    <row r="907" ht="15.75" customHeight="1">
      <c r="A907" s="8"/>
      <c r="B907" s="8"/>
      <c r="C907" s="8"/>
      <c r="D907" s="8"/>
      <c r="E907" s="8"/>
      <c r="F907" s="8"/>
      <c r="G907" s="8"/>
    </row>
    <row r="908" ht="15.75" customHeight="1">
      <c r="A908" s="8"/>
      <c r="B908" s="8"/>
      <c r="C908" s="8"/>
      <c r="D908" s="8"/>
      <c r="E908" s="8"/>
      <c r="F908" s="8"/>
      <c r="G908" s="8"/>
    </row>
    <row r="909" ht="15.75" customHeight="1">
      <c r="A909" s="8"/>
      <c r="B909" s="8"/>
      <c r="C909" s="8"/>
      <c r="D909" s="8"/>
      <c r="E909" s="8"/>
      <c r="F909" s="8"/>
      <c r="G909" s="8"/>
    </row>
    <row r="910" ht="15.75" customHeight="1">
      <c r="A910" s="8"/>
      <c r="B910" s="8"/>
      <c r="C910" s="8"/>
      <c r="D910" s="8"/>
      <c r="E910" s="8"/>
      <c r="F910" s="8"/>
      <c r="G910" s="8"/>
    </row>
    <row r="911" ht="15.75" customHeight="1">
      <c r="A911" s="8"/>
      <c r="B911" s="8"/>
      <c r="C911" s="8"/>
      <c r="D911" s="8"/>
      <c r="E911" s="8"/>
      <c r="F911" s="8"/>
      <c r="G911" s="8"/>
    </row>
    <row r="912" ht="15.75" customHeight="1">
      <c r="A912" s="8"/>
      <c r="B912" s="8"/>
      <c r="C912" s="8"/>
      <c r="D912" s="8"/>
      <c r="E912" s="8"/>
      <c r="F912" s="8"/>
      <c r="G912" s="8"/>
    </row>
    <row r="913" ht="15.75" customHeight="1">
      <c r="A913" s="8"/>
      <c r="B913" s="8"/>
      <c r="C913" s="8"/>
      <c r="D913" s="8"/>
      <c r="E913" s="8"/>
      <c r="F913" s="8"/>
      <c r="G913" s="8"/>
    </row>
    <row r="914" ht="15.75" customHeight="1">
      <c r="A914" s="8"/>
      <c r="B914" s="8"/>
      <c r="C914" s="8"/>
      <c r="D914" s="8"/>
      <c r="E914" s="8"/>
      <c r="F914" s="8"/>
      <c r="G914" s="8"/>
    </row>
    <row r="915" ht="15.75" customHeight="1">
      <c r="A915" s="8"/>
      <c r="B915" s="8"/>
      <c r="C915" s="8"/>
      <c r="D915" s="8"/>
      <c r="E915" s="8"/>
      <c r="F915" s="8"/>
      <c r="G915" s="8"/>
    </row>
    <row r="916" ht="15.75" customHeight="1">
      <c r="A916" s="8"/>
      <c r="B916" s="8"/>
      <c r="C916" s="8"/>
      <c r="D916" s="8"/>
      <c r="E916" s="8"/>
      <c r="F916" s="8"/>
      <c r="G916" s="8"/>
    </row>
    <row r="917" ht="15.75" customHeight="1">
      <c r="A917" s="8"/>
      <c r="B917" s="8"/>
      <c r="C917" s="8"/>
      <c r="D917" s="8"/>
      <c r="E917" s="8"/>
      <c r="F917" s="8"/>
      <c r="G917" s="8"/>
    </row>
    <row r="918" ht="15.75" customHeight="1">
      <c r="A918" s="8"/>
      <c r="B918" s="8"/>
      <c r="C918" s="8"/>
      <c r="D918" s="8"/>
      <c r="E918" s="8"/>
      <c r="F918" s="8"/>
      <c r="G918" s="8"/>
    </row>
    <row r="919" ht="15.75" customHeight="1">
      <c r="A919" s="8"/>
      <c r="B919" s="8"/>
      <c r="C919" s="8"/>
      <c r="D919" s="8"/>
      <c r="E919" s="8"/>
      <c r="F919" s="8"/>
      <c r="G919" s="8"/>
    </row>
    <row r="920" ht="15.75" customHeight="1">
      <c r="A920" s="8"/>
      <c r="B920" s="8"/>
      <c r="C920" s="8"/>
      <c r="D920" s="8"/>
      <c r="E920" s="8"/>
      <c r="F920" s="8"/>
      <c r="G920" s="8"/>
    </row>
    <row r="921" ht="15.75" customHeight="1">
      <c r="A921" s="8"/>
      <c r="B921" s="8"/>
      <c r="C921" s="8"/>
      <c r="D921" s="8"/>
      <c r="E921" s="8"/>
      <c r="F921" s="8"/>
      <c r="G921" s="8"/>
    </row>
    <row r="922" ht="15.75" customHeight="1">
      <c r="A922" s="8"/>
      <c r="B922" s="8"/>
      <c r="C922" s="8"/>
      <c r="D922" s="8"/>
      <c r="E922" s="8"/>
      <c r="F922" s="8"/>
      <c r="G922" s="8"/>
    </row>
    <row r="923" ht="15.75" customHeight="1">
      <c r="A923" s="8"/>
      <c r="B923" s="8"/>
      <c r="C923" s="8"/>
      <c r="D923" s="8"/>
      <c r="E923" s="8"/>
      <c r="F923" s="8"/>
      <c r="G923" s="8"/>
    </row>
    <row r="924" ht="15.75" customHeight="1">
      <c r="A924" s="8"/>
      <c r="B924" s="8"/>
      <c r="C924" s="8"/>
      <c r="D924" s="8"/>
      <c r="E924" s="8"/>
      <c r="F924" s="8"/>
      <c r="G924" s="8"/>
    </row>
    <row r="925" ht="15.75" customHeight="1">
      <c r="A925" s="8"/>
      <c r="B925" s="8"/>
      <c r="C925" s="8"/>
      <c r="D925" s="8"/>
      <c r="E925" s="8"/>
      <c r="F925" s="8"/>
      <c r="G925" s="8"/>
    </row>
    <row r="926" ht="15.75" customHeight="1">
      <c r="A926" s="8"/>
      <c r="B926" s="8"/>
      <c r="C926" s="8"/>
      <c r="D926" s="8"/>
      <c r="E926" s="8"/>
      <c r="F926" s="8"/>
      <c r="G926" s="8"/>
    </row>
    <row r="927" ht="15.75" customHeight="1">
      <c r="A927" s="8"/>
      <c r="B927" s="8"/>
      <c r="C927" s="8"/>
      <c r="D927" s="8"/>
      <c r="E927" s="8"/>
      <c r="F927" s="8"/>
      <c r="G927" s="8"/>
    </row>
    <row r="928" ht="15.75" customHeight="1">
      <c r="A928" s="8"/>
      <c r="B928" s="8"/>
      <c r="C928" s="8"/>
      <c r="D928" s="8"/>
      <c r="E928" s="8"/>
      <c r="F928" s="8"/>
      <c r="G928" s="8"/>
    </row>
    <row r="929" ht="15.75" customHeight="1">
      <c r="A929" s="8"/>
      <c r="B929" s="8"/>
      <c r="C929" s="8"/>
      <c r="D929" s="8"/>
      <c r="E929" s="8"/>
      <c r="F929" s="8"/>
      <c r="G929" s="8"/>
    </row>
    <row r="930" ht="15.75" customHeight="1">
      <c r="A930" s="8"/>
      <c r="B930" s="8"/>
      <c r="C930" s="8"/>
      <c r="D930" s="8"/>
      <c r="E930" s="8"/>
      <c r="F930" s="8"/>
      <c r="G930" s="8"/>
    </row>
    <row r="931" ht="15.75" customHeight="1">
      <c r="A931" s="8"/>
      <c r="B931" s="8"/>
      <c r="C931" s="8"/>
      <c r="D931" s="8"/>
      <c r="E931" s="8"/>
      <c r="F931" s="8"/>
      <c r="G931" s="8"/>
    </row>
    <row r="932" ht="15.75" customHeight="1">
      <c r="A932" s="8"/>
      <c r="B932" s="8"/>
      <c r="C932" s="8"/>
      <c r="D932" s="8"/>
      <c r="E932" s="8"/>
      <c r="F932" s="8"/>
      <c r="G932" s="8"/>
    </row>
    <row r="933" ht="15.75" customHeight="1">
      <c r="A933" s="8"/>
      <c r="B933" s="8"/>
      <c r="C933" s="8"/>
      <c r="D933" s="8"/>
      <c r="E933" s="8"/>
      <c r="F933" s="8"/>
      <c r="G933" s="8"/>
    </row>
    <row r="934" ht="15.75" customHeight="1">
      <c r="A934" s="8"/>
      <c r="B934" s="8"/>
      <c r="C934" s="8"/>
      <c r="D934" s="8"/>
      <c r="E934" s="8"/>
      <c r="F934" s="8"/>
      <c r="G934" s="8"/>
    </row>
    <row r="935" ht="15.75" customHeight="1">
      <c r="A935" s="8"/>
      <c r="B935" s="8"/>
      <c r="C935" s="8"/>
      <c r="D935" s="8"/>
      <c r="E935" s="8"/>
      <c r="F935" s="8"/>
      <c r="G935" s="8"/>
    </row>
    <row r="936" ht="15.75" customHeight="1">
      <c r="A936" s="8"/>
      <c r="B936" s="8"/>
      <c r="C936" s="8"/>
      <c r="D936" s="8"/>
      <c r="E936" s="8"/>
      <c r="F936" s="8"/>
      <c r="G936" s="8"/>
    </row>
    <row r="937" ht="15.75" customHeight="1">
      <c r="A937" s="8"/>
      <c r="B937" s="8"/>
      <c r="C937" s="8"/>
      <c r="D937" s="8"/>
      <c r="E937" s="8"/>
      <c r="F937" s="8"/>
      <c r="G937" s="8"/>
    </row>
    <row r="938" ht="15.75" customHeight="1">
      <c r="A938" s="8"/>
      <c r="B938" s="8"/>
      <c r="C938" s="8"/>
      <c r="D938" s="8"/>
      <c r="E938" s="8"/>
      <c r="F938" s="8"/>
      <c r="G938" s="8"/>
    </row>
    <row r="939" ht="15.75" customHeight="1">
      <c r="A939" s="8"/>
      <c r="B939" s="8"/>
      <c r="C939" s="8"/>
      <c r="D939" s="8"/>
      <c r="E939" s="8"/>
      <c r="F939" s="8"/>
      <c r="G939" s="8"/>
    </row>
    <row r="940" ht="15.75" customHeight="1">
      <c r="A940" s="8"/>
      <c r="B940" s="8"/>
      <c r="C940" s="8"/>
      <c r="D940" s="8"/>
      <c r="E940" s="8"/>
      <c r="F940" s="8"/>
      <c r="G940" s="8"/>
    </row>
    <row r="941" ht="15.75" customHeight="1">
      <c r="A941" s="8"/>
      <c r="B941" s="8"/>
      <c r="C941" s="8"/>
      <c r="D941" s="8"/>
      <c r="E941" s="8"/>
      <c r="F941" s="8"/>
      <c r="G941" s="8"/>
    </row>
    <row r="942" ht="15.75" customHeight="1">
      <c r="A942" s="8"/>
      <c r="B942" s="8"/>
      <c r="C942" s="8"/>
      <c r="D942" s="8"/>
      <c r="E942" s="8"/>
      <c r="F942" s="8"/>
      <c r="G942" s="8"/>
    </row>
    <row r="943" ht="15.75" customHeight="1">
      <c r="A943" s="8"/>
      <c r="B943" s="8"/>
      <c r="C943" s="8"/>
      <c r="D943" s="8"/>
      <c r="E943" s="8"/>
      <c r="F943" s="8"/>
      <c r="G943" s="8"/>
    </row>
    <row r="944" ht="15.75" customHeight="1">
      <c r="A944" s="8"/>
      <c r="B944" s="8"/>
      <c r="C944" s="8"/>
      <c r="D944" s="8"/>
      <c r="E944" s="8"/>
      <c r="F944" s="8"/>
      <c r="G944" s="8"/>
    </row>
    <row r="945" ht="15.75" customHeight="1">
      <c r="A945" s="8"/>
      <c r="B945" s="8"/>
      <c r="C945" s="8"/>
      <c r="D945" s="8"/>
      <c r="E945" s="8"/>
      <c r="F945" s="8"/>
      <c r="G945" s="8"/>
    </row>
    <row r="946" ht="15.75" customHeight="1">
      <c r="A946" s="8"/>
      <c r="B946" s="8"/>
      <c r="C946" s="8"/>
      <c r="D946" s="8"/>
      <c r="E946" s="8"/>
      <c r="F946" s="8"/>
      <c r="G946" s="8"/>
    </row>
    <row r="947" ht="15.75" customHeight="1">
      <c r="A947" s="8"/>
      <c r="B947" s="8"/>
      <c r="C947" s="8"/>
      <c r="D947" s="8"/>
      <c r="E947" s="8"/>
      <c r="F947" s="8"/>
      <c r="G947" s="8"/>
    </row>
    <row r="948" ht="15.75" customHeight="1">
      <c r="A948" s="8"/>
      <c r="B948" s="8"/>
      <c r="C948" s="8"/>
      <c r="D948" s="8"/>
      <c r="E948" s="8"/>
      <c r="F948" s="8"/>
      <c r="G948" s="8"/>
    </row>
    <row r="949" ht="15.75" customHeight="1">
      <c r="A949" s="8"/>
      <c r="B949" s="8"/>
      <c r="C949" s="8"/>
      <c r="D949" s="8"/>
      <c r="E949" s="8"/>
      <c r="F949" s="8"/>
      <c r="G949" s="8"/>
    </row>
    <row r="950" ht="15.75" customHeight="1">
      <c r="A950" s="8"/>
      <c r="B950" s="8"/>
      <c r="C950" s="8"/>
      <c r="D950" s="8"/>
      <c r="E950" s="8"/>
      <c r="F950" s="8"/>
      <c r="G950" s="8"/>
    </row>
    <row r="951" ht="15.75" customHeight="1">
      <c r="A951" s="8"/>
      <c r="B951" s="8"/>
      <c r="C951" s="8"/>
      <c r="D951" s="8"/>
      <c r="E951" s="8"/>
      <c r="F951" s="8"/>
      <c r="G951" s="8"/>
    </row>
    <row r="952" ht="15.75" customHeight="1">
      <c r="A952" s="8"/>
      <c r="B952" s="8"/>
      <c r="C952" s="8"/>
      <c r="D952" s="8"/>
      <c r="E952" s="8"/>
      <c r="F952" s="8"/>
      <c r="G952" s="8"/>
    </row>
    <row r="953" ht="15.75" customHeight="1">
      <c r="A953" s="8"/>
      <c r="B953" s="8"/>
      <c r="C953" s="8"/>
      <c r="D953" s="8"/>
      <c r="E953" s="8"/>
      <c r="F953" s="8"/>
      <c r="G953" s="8"/>
    </row>
    <row r="954" ht="15.75" customHeight="1">
      <c r="A954" s="8"/>
      <c r="B954" s="8"/>
      <c r="C954" s="8"/>
      <c r="D954" s="8"/>
      <c r="E954" s="8"/>
      <c r="F954" s="8"/>
      <c r="G954" s="8"/>
    </row>
    <row r="955" ht="15.75" customHeight="1">
      <c r="A955" s="8"/>
      <c r="B955" s="8"/>
      <c r="C955" s="8"/>
      <c r="D955" s="8"/>
      <c r="E955" s="8"/>
      <c r="F955" s="8"/>
      <c r="G955" s="8"/>
    </row>
    <row r="956" ht="15.75" customHeight="1">
      <c r="A956" s="8"/>
      <c r="B956" s="8"/>
      <c r="C956" s="8"/>
      <c r="D956" s="8"/>
      <c r="E956" s="8"/>
      <c r="F956" s="8"/>
      <c r="G956" s="8"/>
    </row>
    <row r="957" ht="15.75" customHeight="1">
      <c r="A957" s="8"/>
      <c r="B957" s="8"/>
      <c r="C957" s="8"/>
      <c r="D957" s="8"/>
      <c r="E957" s="8"/>
      <c r="F957" s="8"/>
      <c r="G957" s="8"/>
    </row>
    <row r="958" ht="15.75" customHeight="1">
      <c r="A958" s="8"/>
      <c r="B958" s="8"/>
      <c r="C958" s="8"/>
      <c r="D958" s="8"/>
      <c r="E958" s="8"/>
      <c r="F958" s="8"/>
      <c r="G958" s="8"/>
    </row>
    <row r="959" ht="15.75" customHeight="1">
      <c r="A959" s="8"/>
      <c r="B959" s="8"/>
      <c r="C959" s="8"/>
      <c r="D959" s="8"/>
      <c r="E959" s="8"/>
      <c r="F959" s="8"/>
      <c r="G959" s="8"/>
    </row>
    <row r="960" ht="15.75" customHeight="1">
      <c r="A960" s="8"/>
      <c r="B960" s="8"/>
      <c r="C960" s="8"/>
      <c r="D960" s="8"/>
      <c r="E960" s="8"/>
      <c r="F960" s="8"/>
      <c r="G960" s="8"/>
    </row>
    <row r="961" ht="15.75" customHeight="1">
      <c r="A961" s="8"/>
      <c r="B961" s="8"/>
      <c r="C961" s="8"/>
      <c r="D961" s="8"/>
      <c r="E961" s="8"/>
      <c r="F961" s="8"/>
      <c r="G961" s="8"/>
    </row>
    <row r="962" ht="15.75" customHeight="1">
      <c r="A962" s="8"/>
      <c r="B962" s="8"/>
      <c r="C962" s="8"/>
      <c r="D962" s="8"/>
      <c r="E962" s="8"/>
      <c r="F962" s="8"/>
      <c r="G962" s="8"/>
    </row>
    <row r="963" ht="15.75" customHeight="1">
      <c r="A963" s="8"/>
      <c r="B963" s="8"/>
      <c r="C963" s="8"/>
      <c r="D963" s="8"/>
      <c r="E963" s="8"/>
      <c r="F963" s="8"/>
      <c r="G963" s="8"/>
    </row>
    <row r="964" ht="15.75" customHeight="1">
      <c r="A964" s="8"/>
      <c r="B964" s="8"/>
      <c r="C964" s="8"/>
      <c r="D964" s="8"/>
      <c r="E964" s="8"/>
      <c r="F964" s="8"/>
      <c r="G964" s="8"/>
    </row>
    <row r="965" ht="15.75" customHeight="1">
      <c r="A965" s="8"/>
      <c r="B965" s="8"/>
      <c r="C965" s="8"/>
      <c r="D965" s="8"/>
      <c r="E965" s="8"/>
      <c r="F965" s="8"/>
      <c r="G965" s="8"/>
    </row>
    <row r="966" ht="15.75" customHeight="1">
      <c r="A966" s="8"/>
      <c r="B966" s="8"/>
      <c r="C966" s="8"/>
      <c r="D966" s="8"/>
      <c r="E966" s="8"/>
      <c r="F966" s="8"/>
      <c r="G966" s="8"/>
    </row>
    <row r="967" ht="15.75" customHeight="1">
      <c r="A967" s="8"/>
      <c r="B967" s="8"/>
      <c r="C967" s="8"/>
      <c r="D967" s="8"/>
      <c r="E967" s="8"/>
      <c r="F967" s="8"/>
      <c r="G967" s="8"/>
    </row>
    <row r="968" ht="15.75" customHeight="1">
      <c r="A968" s="8"/>
      <c r="B968" s="8"/>
      <c r="C968" s="8"/>
      <c r="D968" s="8"/>
      <c r="E968" s="8"/>
      <c r="F968" s="8"/>
      <c r="G968" s="8"/>
    </row>
    <row r="969" ht="15.75" customHeight="1">
      <c r="A969" s="8"/>
      <c r="B969" s="8"/>
      <c r="C969" s="8"/>
      <c r="D969" s="8"/>
      <c r="E969" s="8"/>
      <c r="F969" s="8"/>
      <c r="G969" s="8"/>
    </row>
    <row r="970" ht="15.75" customHeight="1">
      <c r="A970" s="8"/>
      <c r="B970" s="8"/>
      <c r="C970" s="8"/>
      <c r="D970" s="8"/>
      <c r="E970" s="8"/>
      <c r="F970" s="8"/>
      <c r="G970" s="8"/>
    </row>
    <row r="971" ht="15.75" customHeight="1">
      <c r="A971" s="8"/>
      <c r="B971" s="8"/>
      <c r="C971" s="8"/>
      <c r="D971" s="8"/>
      <c r="E971" s="8"/>
      <c r="F971" s="8"/>
      <c r="G971" s="8"/>
    </row>
    <row r="972" ht="15.75" customHeight="1">
      <c r="A972" s="8"/>
      <c r="B972" s="8"/>
      <c r="C972" s="8"/>
      <c r="D972" s="8"/>
      <c r="E972" s="8"/>
      <c r="F972" s="8"/>
      <c r="G972" s="8"/>
    </row>
    <row r="973" ht="15.75" customHeight="1">
      <c r="A973" s="8"/>
      <c r="B973" s="8"/>
      <c r="C973" s="8"/>
      <c r="D973" s="8"/>
      <c r="E973" s="8"/>
      <c r="F973" s="8"/>
      <c r="G973" s="8"/>
    </row>
    <row r="974" ht="15.75" customHeight="1">
      <c r="A974" s="8"/>
      <c r="B974" s="8"/>
      <c r="C974" s="8"/>
      <c r="D974" s="8"/>
      <c r="E974" s="8"/>
      <c r="F974" s="8"/>
      <c r="G974" s="8"/>
    </row>
    <row r="975" ht="15.75" customHeight="1">
      <c r="A975" s="8"/>
      <c r="B975" s="8"/>
      <c r="C975" s="8"/>
      <c r="D975" s="8"/>
      <c r="E975" s="8"/>
      <c r="F975" s="8"/>
      <c r="G975" s="8"/>
    </row>
    <row r="976" ht="15.75" customHeight="1">
      <c r="A976" s="8"/>
      <c r="B976" s="8"/>
      <c r="C976" s="8"/>
      <c r="D976" s="8"/>
      <c r="E976" s="8"/>
      <c r="F976" s="8"/>
      <c r="G976" s="8"/>
    </row>
    <row r="977" ht="15.75" customHeight="1">
      <c r="A977" s="8"/>
      <c r="B977" s="8"/>
      <c r="C977" s="8"/>
      <c r="D977" s="8"/>
      <c r="E977" s="8"/>
      <c r="F977" s="8"/>
      <c r="G977" s="8"/>
    </row>
    <row r="978" ht="15.75" customHeight="1">
      <c r="A978" s="8"/>
      <c r="B978" s="8"/>
      <c r="C978" s="8"/>
      <c r="D978" s="8"/>
      <c r="E978" s="8"/>
      <c r="F978" s="8"/>
      <c r="G978" s="8"/>
    </row>
    <row r="979" ht="15.75" customHeight="1">
      <c r="A979" s="8"/>
      <c r="B979" s="8"/>
      <c r="C979" s="8"/>
      <c r="D979" s="8"/>
      <c r="E979" s="8"/>
      <c r="F979" s="8"/>
      <c r="G979" s="8"/>
    </row>
    <row r="980" ht="15.75" customHeight="1">
      <c r="A980" s="8"/>
      <c r="B980" s="8"/>
      <c r="C980" s="8"/>
      <c r="D980" s="8"/>
      <c r="E980" s="8"/>
      <c r="F980" s="8"/>
      <c r="G980" s="8"/>
    </row>
    <row r="981" ht="15.75" customHeight="1">
      <c r="A981" s="8"/>
      <c r="B981" s="8"/>
      <c r="C981" s="8"/>
      <c r="D981" s="8"/>
      <c r="E981" s="8"/>
      <c r="F981" s="8"/>
      <c r="G981" s="8"/>
    </row>
    <row r="982" ht="15.75" customHeight="1">
      <c r="A982" s="8"/>
      <c r="B982" s="8"/>
      <c r="C982" s="8"/>
      <c r="D982" s="8"/>
      <c r="E982" s="8"/>
      <c r="F982" s="8"/>
      <c r="G982" s="8"/>
    </row>
    <row r="983" ht="15.75" customHeight="1">
      <c r="A983" s="8"/>
      <c r="B983" s="8"/>
      <c r="C983" s="8"/>
      <c r="D983" s="8"/>
      <c r="E983" s="8"/>
      <c r="F983" s="8"/>
      <c r="G983" s="8"/>
    </row>
    <row r="984" ht="15.75" customHeight="1">
      <c r="A984" s="8"/>
      <c r="B984" s="8"/>
      <c r="C984" s="8"/>
      <c r="D984" s="8"/>
      <c r="E984" s="8"/>
      <c r="F984" s="8"/>
      <c r="G984" s="8"/>
    </row>
    <row r="985" ht="15.75" customHeight="1">
      <c r="A985" s="8"/>
      <c r="B985" s="8"/>
      <c r="C985" s="8"/>
      <c r="D985" s="8"/>
      <c r="E985" s="8"/>
      <c r="F985" s="8"/>
      <c r="G985" s="8"/>
    </row>
    <row r="986" ht="15.75" customHeight="1">
      <c r="A986" s="8"/>
      <c r="B986" s="8"/>
      <c r="C986" s="8"/>
      <c r="D986" s="8"/>
      <c r="E986" s="8"/>
      <c r="F986" s="8"/>
      <c r="G986" s="8"/>
    </row>
    <row r="987" ht="15.75" customHeight="1">
      <c r="A987" s="8"/>
      <c r="B987" s="8"/>
      <c r="C987" s="8"/>
      <c r="D987" s="8"/>
      <c r="E987" s="8"/>
      <c r="F987" s="8"/>
      <c r="G987" s="8"/>
    </row>
    <row r="988" ht="15.75" customHeight="1">
      <c r="A988" s="8"/>
      <c r="B988" s="8"/>
      <c r="C988" s="8"/>
      <c r="D988" s="8"/>
      <c r="E988" s="8"/>
      <c r="F988" s="8"/>
      <c r="G988" s="8"/>
    </row>
    <row r="989" ht="15.75" customHeight="1">
      <c r="A989" s="8"/>
      <c r="B989" s="8"/>
      <c r="C989" s="8"/>
      <c r="D989" s="8"/>
      <c r="E989" s="8"/>
      <c r="F989" s="8"/>
      <c r="G989" s="8"/>
    </row>
    <row r="990" ht="15.75" customHeight="1">
      <c r="A990" s="8"/>
      <c r="B990" s="8"/>
      <c r="C990" s="8"/>
      <c r="D990" s="8"/>
      <c r="E990" s="8"/>
      <c r="F990" s="8"/>
      <c r="G990" s="8"/>
    </row>
    <row r="991" ht="15.75" customHeight="1">
      <c r="A991" s="8"/>
      <c r="B991" s="8"/>
      <c r="C991" s="8"/>
      <c r="D991" s="8"/>
      <c r="E991" s="8"/>
      <c r="F991" s="8"/>
      <c r="G991" s="8"/>
    </row>
    <row r="992" ht="15.75" customHeight="1">
      <c r="A992" s="8"/>
      <c r="B992" s="8"/>
      <c r="C992" s="8"/>
      <c r="D992" s="8"/>
      <c r="E992" s="8"/>
      <c r="F992" s="8"/>
      <c r="G992" s="8"/>
    </row>
    <row r="993" ht="15.75" customHeight="1">
      <c r="A993" s="8"/>
      <c r="B993" s="8"/>
      <c r="C993" s="8"/>
      <c r="D993" s="8"/>
      <c r="E993" s="8"/>
      <c r="F993" s="8"/>
      <c r="G993" s="8"/>
    </row>
    <row r="994" ht="15.75" customHeight="1">
      <c r="A994" s="8"/>
      <c r="B994" s="8"/>
      <c r="C994" s="8"/>
      <c r="D994" s="8"/>
      <c r="E994" s="8"/>
      <c r="F994" s="8"/>
      <c r="G994" s="8"/>
    </row>
    <row r="995" ht="15.75" customHeight="1">
      <c r="A995" s="8"/>
      <c r="B995" s="8"/>
      <c r="C995" s="8"/>
      <c r="D995" s="8"/>
      <c r="E995" s="8"/>
      <c r="F995" s="8"/>
      <c r="G995" s="8"/>
    </row>
    <row r="996" ht="15.75" customHeight="1">
      <c r="A996" s="8"/>
      <c r="B996" s="8"/>
      <c r="C996" s="8"/>
      <c r="D996" s="8"/>
      <c r="E996" s="8"/>
      <c r="F996" s="8"/>
      <c r="G996" s="8"/>
    </row>
    <row r="997" ht="15.75" customHeight="1">
      <c r="A997" s="8"/>
      <c r="B997" s="8"/>
      <c r="C997" s="8"/>
      <c r="D997" s="8"/>
      <c r="E997" s="8"/>
      <c r="F997" s="8"/>
      <c r="G997" s="8"/>
    </row>
    <row r="998" ht="15.75" customHeight="1">
      <c r="A998" s="8"/>
      <c r="B998" s="8"/>
      <c r="C998" s="8"/>
      <c r="D998" s="8"/>
      <c r="E998" s="8"/>
      <c r="F998" s="8"/>
      <c r="G998" s="8"/>
    </row>
    <row r="999" ht="15.75" customHeight="1">
      <c r="A999" s="8"/>
      <c r="B999" s="8"/>
      <c r="C999" s="8"/>
      <c r="D999" s="8"/>
      <c r="E999" s="8"/>
      <c r="F999" s="8"/>
      <c r="G999" s="8"/>
    </row>
    <row r="1000" ht="15.75" customHeight="1">
      <c r="A1000" s="8"/>
      <c r="B1000" s="8"/>
      <c r="C1000" s="8"/>
      <c r="D1000" s="8"/>
      <c r="E1000" s="8"/>
      <c r="F1000" s="8"/>
      <c r="G1000" s="8"/>
    </row>
  </sheetData>
  <mergeCells count="8">
    <mergeCell ref="A1:G1"/>
    <mergeCell ref="A3:G3"/>
    <mergeCell ref="A4:G4"/>
    <mergeCell ref="A11:G11"/>
    <mergeCell ref="A12:G12"/>
    <mergeCell ref="A13:G13"/>
    <mergeCell ref="A14:G14"/>
    <mergeCell ref="A15:G15"/>
  </mergeCells>
  <dataValidations>
    <dataValidation type="list" allowBlank="1" sqref="E5:E9">
      <formula1>"Done,In Progress,In Review,To Do,Blocked"</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ht="30.0" customHeight="1">
      <c r="A1" s="181" t="s">
        <v>1137</v>
      </c>
    </row>
    <row r="2" ht="19.5" customHeight="1">
      <c r="A2" s="182" t="s">
        <v>1138</v>
      </c>
    </row>
    <row r="3" ht="19.5" customHeight="1">
      <c r="A3" s="183"/>
    </row>
    <row r="4" ht="30.0" customHeight="1">
      <c r="A4" s="184" t="s">
        <v>1139</v>
      </c>
    </row>
    <row r="5" ht="19.5" customHeight="1">
      <c r="A5" s="90" t="s">
        <v>1140</v>
      </c>
    </row>
    <row r="6" ht="19.5" customHeight="1">
      <c r="A6" s="95" t="s">
        <v>1141</v>
      </c>
    </row>
    <row r="7" ht="19.5" customHeight="1">
      <c r="A7" s="90" t="s">
        <v>1142</v>
      </c>
    </row>
    <row r="8" ht="19.5" customHeight="1">
      <c r="A8" s="95" t="s">
        <v>1143</v>
      </c>
    </row>
    <row r="9" ht="19.5" customHeight="1">
      <c r="A9" s="90" t="s">
        <v>1144</v>
      </c>
    </row>
    <row r="10" ht="19.5" customHeight="1">
      <c r="A10" s="95" t="s">
        <v>1145</v>
      </c>
    </row>
    <row r="11" ht="19.5" customHeight="1">
      <c r="A11" s="90" t="s">
        <v>1146</v>
      </c>
    </row>
    <row r="12" ht="19.5" customHeight="1">
      <c r="A12" s="95" t="s">
        <v>1147</v>
      </c>
    </row>
    <row r="13" ht="19.5" customHeight="1">
      <c r="A13" s="90" t="s">
        <v>1148</v>
      </c>
    </row>
    <row r="14" ht="19.5" customHeight="1">
      <c r="A14" s="95" t="s">
        <v>1149</v>
      </c>
    </row>
    <row r="15" ht="19.5" customHeight="1">
      <c r="A15" s="183"/>
    </row>
    <row r="16" ht="30.0" customHeight="1">
      <c r="A16" s="185" t="s">
        <v>1150</v>
      </c>
    </row>
    <row r="17" ht="19.5" customHeight="1">
      <c r="A17" s="90" t="s">
        <v>1151</v>
      </c>
    </row>
    <row r="18" ht="19.5" customHeight="1">
      <c r="A18" s="95" t="s">
        <v>1152</v>
      </c>
    </row>
    <row r="19" ht="19.5" customHeight="1">
      <c r="A19" s="186" t="s">
        <v>1153</v>
      </c>
    </row>
    <row r="20" ht="19.5" customHeight="1">
      <c r="A20" s="186" t="s">
        <v>1154</v>
      </c>
    </row>
    <row r="21" ht="19.5" customHeight="1">
      <c r="A21" s="183"/>
    </row>
    <row r="22" ht="30.0" customHeight="1">
      <c r="A22" s="187" t="s">
        <v>1155</v>
      </c>
    </row>
    <row r="23" ht="19.5" customHeight="1">
      <c r="A23" s="90" t="s">
        <v>1156</v>
      </c>
    </row>
    <row r="24" ht="19.5" customHeight="1">
      <c r="A24" s="186" t="s">
        <v>1157</v>
      </c>
    </row>
    <row r="25" ht="19.5" customHeight="1">
      <c r="A25" s="95" t="s">
        <v>1158</v>
      </c>
    </row>
    <row r="26" ht="19.5" customHeight="1">
      <c r="A26" s="186" t="s">
        <v>1159</v>
      </c>
    </row>
    <row r="27" ht="19.5" customHeight="1">
      <c r="A27" s="186" t="s">
        <v>1160</v>
      </c>
    </row>
    <row r="28" ht="19.5" customHeight="1">
      <c r="A28" s="186" t="s">
        <v>1161</v>
      </c>
    </row>
    <row r="29" ht="19.5" customHeight="1">
      <c r="A29" s="183"/>
    </row>
    <row r="30" ht="30.0" customHeight="1">
      <c r="A30" s="188" t="s">
        <v>1162</v>
      </c>
    </row>
    <row r="31" ht="19.5" customHeight="1">
      <c r="A31" s="186" t="s">
        <v>1163</v>
      </c>
    </row>
    <row r="32" ht="19.5" customHeight="1">
      <c r="A32" s="90" t="s">
        <v>1164</v>
      </c>
    </row>
    <row r="33" ht="19.5" customHeight="1">
      <c r="A33" s="189" t="s">
        <v>1165</v>
      </c>
    </row>
    <row r="34" ht="19.5" customHeight="1">
      <c r="A34" s="186" t="s">
        <v>1166</v>
      </c>
    </row>
    <row r="35" ht="19.5" customHeight="1">
      <c r="A35" s="186" t="s">
        <v>1167</v>
      </c>
    </row>
    <row r="36" ht="19.5" customHeight="1">
      <c r="A36" s="186" t="s">
        <v>1168</v>
      </c>
    </row>
    <row r="37" ht="19.5" customHeight="1">
      <c r="A37" s="183"/>
    </row>
    <row r="38" ht="30.0" customHeight="1">
      <c r="A38" s="190" t="s">
        <v>1169</v>
      </c>
    </row>
    <row r="39" ht="19.5" customHeight="1">
      <c r="A39" s="90" t="s">
        <v>1170</v>
      </c>
    </row>
    <row r="40" ht="19.5" customHeight="1">
      <c r="A40" s="186" t="s">
        <v>1171</v>
      </c>
    </row>
    <row r="41" ht="19.5" customHeight="1">
      <c r="A41" s="186" t="s">
        <v>1172</v>
      </c>
    </row>
    <row r="42" ht="19.5" customHeight="1">
      <c r="A42" s="186" t="s">
        <v>1173</v>
      </c>
    </row>
    <row r="43" ht="19.5" customHeight="1">
      <c r="A43" s="186" t="s">
        <v>1174</v>
      </c>
    </row>
    <row r="44" ht="19.5" customHeight="1">
      <c r="A44" s="183"/>
    </row>
    <row r="45" ht="30.0" customHeight="1">
      <c r="A45" s="184" t="s">
        <v>1175</v>
      </c>
    </row>
    <row r="46" ht="19.5" customHeight="1">
      <c r="A46" s="90" t="s">
        <v>1176</v>
      </c>
    </row>
    <row r="47" ht="19.5" customHeight="1">
      <c r="A47" s="95" t="s">
        <v>1177</v>
      </c>
    </row>
    <row r="48" ht="19.5" customHeight="1">
      <c r="A48" s="90" t="s">
        <v>1178</v>
      </c>
    </row>
    <row r="49" ht="19.5" customHeight="1">
      <c r="A49" s="95" t="s">
        <v>1179</v>
      </c>
    </row>
    <row r="50" ht="19.5" customHeight="1">
      <c r="A50" s="183"/>
    </row>
    <row r="51" ht="30.0" customHeight="1">
      <c r="A51" s="184" t="s">
        <v>1180</v>
      </c>
    </row>
    <row r="52" ht="19.5" customHeight="1">
      <c r="A52" s="90" t="s">
        <v>1181</v>
      </c>
    </row>
    <row r="53" ht="19.5" customHeight="1">
      <c r="A53" s="95" t="s">
        <v>1182</v>
      </c>
    </row>
    <row r="54" ht="19.5" customHeight="1">
      <c r="A54" s="90" t="s">
        <v>1183</v>
      </c>
    </row>
    <row r="55" ht="19.5" customHeight="1">
      <c r="A55" s="95" t="s">
        <v>1184</v>
      </c>
    </row>
    <row r="56" ht="19.5" customHeight="1">
      <c r="A56" s="90" t="s">
        <v>1185</v>
      </c>
    </row>
    <row r="57" ht="19.5" customHeight="1">
      <c r="A57" s="95" t="s">
        <v>1186</v>
      </c>
    </row>
    <row r="58" ht="19.5" customHeight="1">
      <c r="A58" s="90" t="s">
        <v>1187</v>
      </c>
    </row>
    <row r="59" ht="19.5" customHeight="1">
      <c r="A59" s="95" t="s">
        <v>1188</v>
      </c>
    </row>
    <row r="60" ht="19.5" customHeight="1">
      <c r="A60" s="90" t="s">
        <v>1189</v>
      </c>
    </row>
    <row r="61" ht="19.5" customHeight="1">
      <c r="A61" s="186" t="s">
        <v>1190</v>
      </c>
    </row>
    <row r="62" ht="19.5" customHeight="1">
      <c r="A62" s="95" t="s">
        <v>1191</v>
      </c>
    </row>
    <row r="63" ht="19.5" customHeight="1">
      <c r="A63" s="90" t="s">
        <v>1192</v>
      </c>
    </row>
    <row r="64" ht="19.5" customHeight="1">
      <c r="A64" s="95" t="s">
        <v>1193</v>
      </c>
    </row>
    <row r="65" ht="19.5" customHeight="1">
      <c r="A65" s="191" t="s">
        <v>1194</v>
      </c>
    </row>
    <row r="66" ht="19.5" customHeight="1">
      <c r="A66" s="95" t="s">
        <v>1195</v>
      </c>
    </row>
    <row r="67" ht="19.5" customHeight="1">
      <c r="A67" s="90" t="s">
        <v>1196</v>
      </c>
    </row>
    <row r="68" ht="19.5" customHeight="1">
      <c r="A68" s="95" t="s">
        <v>1197</v>
      </c>
    </row>
    <row r="69" ht="19.5" customHeight="1">
      <c r="A69" s="90" t="s">
        <v>1198</v>
      </c>
    </row>
    <row r="70" ht="19.5" customHeight="1">
      <c r="A70" s="95" t="s">
        <v>1199</v>
      </c>
    </row>
    <row r="71" ht="19.5" customHeight="1">
      <c r="A71" s="90" t="s">
        <v>1200</v>
      </c>
    </row>
    <row r="72" ht="15.75" customHeight="1">
      <c r="A72" s="8"/>
    </row>
    <row r="73" ht="15.75" customHeight="1">
      <c r="A73" s="8"/>
    </row>
    <row r="74" ht="15.75" customHeight="1">
      <c r="A74" s="8"/>
    </row>
    <row r="75" ht="15.75" customHeight="1">
      <c r="A75" s="8"/>
    </row>
    <row r="76" ht="15.75" customHeight="1">
      <c r="A76" s="8"/>
    </row>
    <row r="77" ht="15.75" customHeight="1">
      <c r="A77" s="8"/>
    </row>
    <row r="78" ht="15.75" customHeight="1">
      <c r="A78" s="8"/>
    </row>
    <row r="79" ht="15.75" customHeight="1">
      <c r="A79" s="8"/>
    </row>
    <row r="80" ht="15.75" customHeight="1">
      <c r="A80" s="8"/>
    </row>
    <row r="81" ht="15.75" customHeight="1">
      <c r="A81" s="8"/>
    </row>
    <row r="82" ht="15.75" customHeight="1">
      <c r="A82" s="8"/>
    </row>
    <row r="83" ht="15.75" customHeight="1">
      <c r="A83" s="8"/>
    </row>
    <row r="84" ht="15.75" customHeight="1">
      <c r="A84" s="8"/>
    </row>
    <row r="85" ht="15.75" customHeight="1">
      <c r="A85" s="8"/>
    </row>
    <row r="86" ht="15.75" customHeight="1">
      <c r="A86" s="8"/>
    </row>
    <row r="87" ht="15.75" customHeight="1">
      <c r="A87" s="8"/>
    </row>
    <row r="88" ht="15.75" customHeight="1">
      <c r="A88" s="8"/>
    </row>
    <row r="89" ht="15.75" customHeight="1">
      <c r="A89" s="8"/>
    </row>
    <row r="90" ht="15.75" customHeight="1">
      <c r="A90" s="8"/>
    </row>
    <row r="91" ht="15.75" customHeight="1">
      <c r="A91" s="8"/>
    </row>
    <row r="92" ht="15.75" customHeight="1">
      <c r="A92" s="8"/>
    </row>
    <row r="93" ht="15.75" customHeight="1">
      <c r="A93" s="8"/>
    </row>
    <row r="94" ht="15.75" customHeight="1">
      <c r="A94" s="8"/>
    </row>
    <row r="95" ht="15.75" customHeight="1">
      <c r="A95" s="8"/>
    </row>
    <row r="96" ht="15.75" customHeight="1">
      <c r="A96" s="8"/>
    </row>
    <row r="97" ht="15.75" customHeight="1">
      <c r="A97" s="8"/>
    </row>
    <row r="98" ht="15.75" customHeight="1">
      <c r="A98" s="8"/>
    </row>
    <row r="99" ht="15.75" customHeight="1">
      <c r="A99" s="8"/>
    </row>
    <row r="100" ht="15.75" customHeight="1">
      <c r="A100" s="8"/>
    </row>
    <row r="101" ht="15.75" customHeight="1">
      <c r="A101" s="8"/>
    </row>
    <row r="102" ht="15.75" customHeight="1">
      <c r="A102" s="8"/>
    </row>
    <row r="103" ht="15.75" customHeight="1">
      <c r="A103" s="8"/>
    </row>
    <row r="104" ht="15.75" customHeight="1">
      <c r="A104" s="8"/>
    </row>
    <row r="105" ht="15.75" customHeight="1">
      <c r="A105" s="8"/>
    </row>
    <row r="106" ht="15.75" customHeight="1">
      <c r="A106" s="8"/>
    </row>
    <row r="107" ht="15.75" customHeight="1">
      <c r="A107" s="8"/>
    </row>
    <row r="108" ht="15.75" customHeight="1">
      <c r="A108" s="8"/>
    </row>
    <row r="109" ht="15.75" customHeight="1">
      <c r="A109" s="8"/>
    </row>
    <row r="110" ht="15.75" customHeight="1">
      <c r="A110" s="8"/>
    </row>
    <row r="111" ht="15.75" customHeight="1">
      <c r="A111" s="8"/>
    </row>
    <row r="112" ht="15.75" customHeight="1">
      <c r="A112" s="8"/>
    </row>
    <row r="113" ht="15.75" customHeight="1">
      <c r="A113" s="8"/>
    </row>
    <row r="114" ht="15.75" customHeight="1">
      <c r="A114" s="8"/>
    </row>
    <row r="115" ht="15.75" customHeight="1">
      <c r="A115" s="8"/>
    </row>
    <row r="116" ht="15.75" customHeight="1">
      <c r="A116" s="8"/>
    </row>
    <row r="117" ht="15.75" customHeight="1">
      <c r="A117" s="8"/>
    </row>
    <row r="118" ht="15.75" customHeight="1">
      <c r="A118" s="8"/>
    </row>
    <row r="119" ht="15.75" customHeight="1">
      <c r="A119" s="8"/>
    </row>
    <row r="120" ht="15.75" customHeight="1">
      <c r="A120" s="8"/>
    </row>
    <row r="121" ht="15.75" customHeight="1">
      <c r="A121" s="8"/>
    </row>
    <row r="122" ht="15.75" customHeight="1">
      <c r="A122" s="8"/>
    </row>
    <row r="123" ht="15.75" customHeight="1">
      <c r="A123" s="8"/>
    </row>
    <row r="124" ht="15.75" customHeight="1">
      <c r="A124" s="8"/>
    </row>
    <row r="125" ht="15.75" customHeight="1">
      <c r="A125" s="8"/>
    </row>
    <row r="126" ht="15.75" customHeight="1">
      <c r="A126" s="8"/>
    </row>
    <row r="127" ht="15.75" customHeight="1">
      <c r="A127" s="8"/>
    </row>
    <row r="128" ht="15.75" customHeight="1">
      <c r="A128" s="8"/>
    </row>
    <row r="129" ht="15.75" customHeight="1">
      <c r="A129" s="8"/>
    </row>
    <row r="130" ht="15.75" customHeight="1">
      <c r="A130" s="8"/>
    </row>
    <row r="131" ht="15.75" customHeight="1">
      <c r="A131" s="8"/>
    </row>
    <row r="132" ht="15.75" customHeight="1">
      <c r="A132" s="8"/>
    </row>
    <row r="133" ht="15.75" customHeight="1">
      <c r="A133" s="8"/>
    </row>
    <row r="134" ht="15.75" customHeight="1">
      <c r="A134" s="8"/>
    </row>
    <row r="135" ht="15.75" customHeight="1">
      <c r="A135" s="8"/>
    </row>
    <row r="136" ht="15.75" customHeight="1">
      <c r="A136" s="8"/>
    </row>
    <row r="137" ht="15.75" customHeight="1">
      <c r="A137" s="8"/>
    </row>
    <row r="138" ht="15.75" customHeight="1">
      <c r="A138" s="8"/>
    </row>
    <row r="139" ht="15.75" customHeight="1">
      <c r="A139" s="8"/>
    </row>
    <row r="140" ht="15.75" customHeight="1">
      <c r="A140" s="8"/>
    </row>
    <row r="141" ht="15.75" customHeight="1">
      <c r="A141" s="8"/>
    </row>
    <row r="142" ht="15.75" customHeight="1">
      <c r="A142" s="8"/>
    </row>
    <row r="143" ht="15.75" customHeight="1">
      <c r="A143" s="8"/>
    </row>
    <row r="144" ht="15.75" customHeight="1">
      <c r="A144" s="8"/>
    </row>
    <row r="145" ht="15.75" customHeight="1">
      <c r="A145" s="8"/>
    </row>
    <row r="146" ht="15.75" customHeight="1">
      <c r="A146" s="8"/>
    </row>
    <row r="147" ht="15.75" customHeight="1">
      <c r="A147" s="8"/>
    </row>
    <row r="148" ht="15.75" customHeight="1">
      <c r="A148" s="8"/>
    </row>
    <row r="149" ht="15.75" customHeight="1">
      <c r="A149" s="8"/>
    </row>
    <row r="150" ht="15.75" customHeight="1">
      <c r="A150" s="8"/>
    </row>
    <row r="151" ht="15.75" customHeight="1">
      <c r="A151" s="8"/>
    </row>
    <row r="152" ht="15.75" customHeight="1">
      <c r="A152" s="8"/>
    </row>
    <row r="153" ht="15.75" customHeight="1">
      <c r="A153" s="8"/>
    </row>
    <row r="154" ht="15.75" customHeight="1">
      <c r="A154" s="8"/>
    </row>
    <row r="155" ht="15.75" customHeight="1">
      <c r="A155" s="8"/>
    </row>
    <row r="156" ht="15.75" customHeight="1">
      <c r="A156" s="8"/>
    </row>
    <row r="157" ht="15.75" customHeight="1">
      <c r="A157" s="8"/>
    </row>
    <row r="158" ht="15.75" customHeight="1">
      <c r="A158" s="8"/>
    </row>
    <row r="159" ht="15.75" customHeight="1">
      <c r="A159" s="8"/>
    </row>
    <row r="160" ht="15.75" customHeight="1">
      <c r="A160" s="8"/>
    </row>
    <row r="161" ht="15.75" customHeight="1">
      <c r="A161" s="8"/>
    </row>
    <row r="162" ht="15.75" customHeight="1">
      <c r="A162" s="8"/>
    </row>
    <row r="163" ht="15.75" customHeight="1">
      <c r="A163" s="8"/>
    </row>
    <row r="164" ht="15.75" customHeight="1">
      <c r="A164" s="8"/>
    </row>
    <row r="165" ht="15.75" customHeight="1">
      <c r="A165" s="8"/>
    </row>
    <row r="166" ht="15.75" customHeight="1">
      <c r="A166" s="8"/>
    </row>
    <row r="167" ht="15.75" customHeight="1">
      <c r="A167" s="8"/>
    </row>
    <row r="168" ht="15.75" customHeight="1">
      <c r="A168" s="8"/>
    </row>
    <row r="169" ht="15.75" customHeight="1">
      <c r="A169" s="8"/>
    </row>
    <row r="170" ht="15.75" customHeight="1">
      <c r="A170" s="8"/>
    </row>
    <row r="171" ht="15.75" customHeight="1">
      <c r="A171" s="8"/>
    </row>
    <row r="172" ht="15.75" customHeight="1">
      <c r="A172" s="8"/>
    </row>
    <row r="173" ht="15.75" customHeight="1">
      <c r="A173" s="8"/>
    </row>
    <row r="174" ht="15.75" customHeight="1">
      <c r="A174" s="8"/>
    </row>
    <row r="175" ht="15.75" customHeight="1">
      <c r="A175" s="8"/>
    </row>
    <row r="176" ht="15.75" customHeight="1">
      <c r="A176" s="8"/>
    </row>
    <row r="177" ht="15.75" customHeight="1">
      <c r="A177" s="8"/>
    </row>
    <row r="178" ht="15.75" customHeight="1">
      <c r="A178" s="8"/>
    </row>
    <row r="179" ht="15.75" customHeight="1">
      <c r="A179" s="8"/>
    </row>
    <row r="180" ht="15.75" customHeight="1">
      <c r="A180" s="8"/>
    </row>
    <row r="181" ht="15.75" customHeight="1">
      <c r="A181" s="8"/>
    </row>
    <row r="182" ht="15.75" customHeight="1">
      <c r="A182" s="8"/>
    </row>
    <row r="183" ht="15.75" customHeight="1">
      <c r="A183" s="8"/>
    </row>
    <row r="184" ht="15.75" customHeight="1">
      <c r="A184" s="8"/>
    </row>
    <row r="185" ht="15.75" customHeight="1">
      <c r="A185" s="8"/>
    </row>
    <row r="186" ht="15.75" customHeight="1">
      <c r="A186" s="8"/>
    </row>
    <row r="187" ht="15.75" customHeight="1">
      <c r="A187" s="8"/>
    </row>
    <row r="188" ht="15.75" customHeight="1">
      <c r="A188" s="8"/>
    </row>
    <row r="189" ht="15.75" customHeight="1">
      <c r="A189" s="8"/>
    </row>
    <row r="190" ht="15.75" customHeight="1">
      <c r="A190" s="8"/>
    </row>
    <row r="191" ht="15.75" customHeight="1">
      <c r="A191" s="8"/>
    </row>
    <row r="192" ht="15.75" customHeight="1">
      <c r="A192" s="8"/>
    </row>
    <row r="193" ht="15.75" customHeight="1">
      <c r="A193" s="8"/>
    </row>
    <row r="194" ht="15.75" customHeight="1">
      <c r="A194" s="8"/>
    </row>
    <row r="195" ht="15.75" customHeight="1">
      <c r="A195" s="8"/>
    </row>
    <row r="196" ht="15.75" customHeight="1">
      <c r="A196" s="8"/>
    </row>
    <row r="197" ht="15.75" customHeight="1">
      <c r="A197" s="8"/>
    </row>
    <row r="198" ht="15.75" customHeight="1">
      <c r="A198" s="8"/>
    </row>
    <row r="199" ht="15.75" customHeight="1">
      <c r="A199" s="8"/>
    </row>
    <row r="200" ht="15.75" customHeight="1">
      <c r="A200" s="8"/>
    </row>
    <row r="201" ht="15.75" customHeight="1">
      <c r="A201" s="8"/>
    </row>
    <row r="202" ht="15.75" customHeight="1">
      <c r="A202" s="8"/>
    </row>
    <row r="203" ht="15.75" customHeight="1">
      <c r="A203" s="8"/>
    </row>
    <row r="204" ht="15.75" customHeight="1">
      <c r="A204" s="8"/>
    </row>
    <row r="205" ht="15.75" customHeight="1">
      <c r="A205" s="8"/>
    </row>
    <row r="206" ht="15.75" customHeight="1">
      <c r="A206" s="8"/>
    </row>
    <row r="207" ht="15.75" customHeight="1">
      <c r="A207" s="8"/>
    </row>
    <row r="208" ht="15.75" customHeight="1">
      <c r="A208" s="8"/>
    </row>
    <row r="209" ht="15.75" customHeight="1">
      <c r="A209" s="8"/>
    </row>
    <row r="210" ht="15.75" customHeight="1">
      <c r="A210" s="8"/>
    </row>
    <row r="211" ht="15.75" customHeight="1">
      <c r="A211" s="8"/>
    </row>
    <row r="212" ht="15.75" customHeight="1">
      <c r="A212" s="8"/>
    </row>
    <row r="213" ht="15.75" customHeight="1">
      <c r="A213" s="8"/>
    </row>
    <row r="214" ht="15.75" customHeight="1">
      <c r="A214" s="8"/>
    </row>
    <row r="215" ht="15.75" customHeight="1">
      <c r="A215" s="8"/>
    </row>
    <row r="216" ht="15.75" customHeight="1">
      <c r="A216" s="8"/>
    </row>
    <row r="217" ht="15.75" customHeight="1">
      <c r="A217" s="8"/>
    </row>
    <row r="218" ht="15.75" customHeight="1">
      <c r="A218" s="8"/>
    </row>
    <row r="219" ht="15.75" customHeight="1">
      <c r="A219" s="8"/>
    </row>
    <row r="220" ht="15.75" customHeight="1">
      <c r="A220" s="8"/>
    </row>
    <row r="221" ht="15.75" customHeight="1">
      <c r="A221" s="8"/>
    </row>
    <row r="222" ht="15.75" customHeight="1">
      <c r="A222" s="8"/>
    </row>
    <row r="223" ht="15.75" customHeight="1">
      <c r="A223" s="8"/>
    </row>
    <row r="224" ht="15.75" customHeight="1">
      <c r="A224" s="8"/>
    </row>
    <row r="225" ht="15.75" customHeight="1">
      <c r="A225" s="8"/>
    </row>
    <row r="226" ht="15.75" customHeight="1">
      <c r="A226" s="8"/>
    </row>
    <row r="227" ht="15.75" customHeight="1">
      <c r="A227" s="8"/>
    </row>
    <row r="228" ht="15.75" customHeight="1">
      <c r="A228" s="8"/>
    </row>
    <row r="229" ht="15.75" customHeight="1">
      <c r="A229" s="8"/>
    </row>
    <row r="230" ht="15.75" customHeight="1">
      <c r="A230" s="8"/>
    </row>
    <row r="231" ht="15.75" customHeight="1">
      <c r="A231" s="8"/>
    </row>
    <row r="232" ht="15.75" customHeight="1">
      <c r="A232" s="8"/>
    </row>
    <row r="233" ht="15.75" customHeight="1">
      <c r="A233" s="8"/>
    </row>
    <row r="234" ht="15.75" customHeight="1">
      <c r="A234" s="8"/>
    </row>
    <row r="235" ht="15.75" customHeight="1">
      <c r="A235" s="8"/>
    </row>
    <row r="236" ht="15.75" customHeight="1">
      <c r="A236" s="8"/>
    </row>
    <row r="237" ht="15.75" customHeight="1">
      <c r="A237" s="8"/>
    </row>
    <row r="238" ht="15.75" customHeight="1">
      <c r="A238" s="8"/>
    </row>
    <row r="239" ht="15.75" customHeight="1">
      <c r="A239" s="8"/>
    </row>
    <row r="240" ht="15.75" customHeight="1">
      <c r="A240" s="8"/>
    </row>
    <row r="241" ht="15.75" customHeight="1">
      <c r="A241" s="8"/>
    </row>
    <row r="242" ht="15.75" customHeight="1">
      <c r="A242" s="8"/>
    </row>
    <row r="243" ht="15.75" customHeight="1">
      <c r="A243" s="8"/>
    </row>
    <row r="244" ht="15.75" customHeight="1">
      <c r="A244" s="8"/>
    </row>
    <row r="245" ht="15.75" customHeight="1">
      <c r="A245" s="8"/>
    </row>
    <row r="246" ht="15.75" customHeight="1">
      <c r="A246" s="8"/>
    </row>
    <row r="247" ht="15.75" customHeight="1">
      <c r="A247" s="8"/>
    </row>
    <row r="248" ht="15.75" customHeight="1">
      <c r="A248" s="8"/>
    </row>
    <row r="249" ht="15.75" customHeight="1">
      <c r="A249" s="8"/>
    </row>
    <row r="250" ht="15.75" customHeight="1">
      <c r="A250" s="8"/>
    </row>
    <row r="251" ht="15.75" customHeight="1">
      <c r="A251" s="8"/>
    </row>
    <row r="252" ht="15.75" customHeight="1">
      <c r="A252" s="8"/>
    </row>
    <row r="253" ht="15.75" customHeight="1">
      <c r="A253" s="8"/>
    </row>
    <row r="254" ht="15.75" customHeight="1">
      <c r="A254" s="8"/>
    </row>
    <row r="255" ht="15.75" customHeight="1">
      <c r="A255" s="8"/>
    </row>
    <row r="256" ht="15.75" customHeight="1">
      <c r="A256" s="8"/>
    </row>
    <row r="257" ht="15.75" customHeight="1">
      <c r="A257" s="8"/>
    </row>
    <row r="258" ht="15.75" customHeight="1">
      <c r="A258" s="8"/>
    </row>
    <row r="259" ht="15.75" customHeight="1">
      <c r="A259" s="8"/>
    </row>
    <row r="260" ht="15.75" customHeight="1">
      <c r="A260" s="8"/>
    </row>
    <row r="261" ht="15.75" customHeight="1">
      <c r="A261" s="8"/>
    </row>
    <row r="262" ht="15.75" customHeight="1">
      <c r="A262" s="8"/>
    </row>
    <row r="263" ht="15.75" customHeight="1">
      <c r="A263" s="8"/>
    </row>
    <row r="264" ht="15.75" customHeight="1">
      <c r="A264" s="8"/>
    </row>
    <row r="265" ht="15.75" customHeight="1">
      <c r="A265" s="8"/>
    </row>
    <row r="266" ht="15.75" customHeight="1">
      <c r="A266" s="8"/>
    </row>
    <row r="267" ht="15.75" customHeight="1">
      <c r="A267" s="8"/>
    </row>
    <row r="268" ht="15.75" customHeight="1">
      <c r="A268" s="8"/>
    </row>
    <row r="269" ht="15.75" customHeight="1">
      <c r="A269" s="8"/>
    </row>
    <row r="270" ht="15.75" customHeight="1">
      <c r="A270" s="8"/>
    </row>
    <row r="271" ht="15.75" customHeight="1">
      <c r="A271" s="8"/>
    </row>
    <row r="272" ht="15.75" customHeight="1">
      <c r="A272" s="8"/>
    </row>
    <row r="273" ht="15.75" customHeight="1">
      <c r="A273" s="8"/>
    </row>
    <row r="274" ht="15.75" customHeight="1">
      <c r="A274" s="8"/>
    </row>
    <row r="275" ht="15.75" customHeight="1">
      <c r="A275" s="8"/>
    </row>
    <row r="276" ht="15.75" customHeight="1">
      <c r="A276" s="8"/>
    </row>
    <row r="277" ht="15.75" customHeight="1">
      <c r="A277" s="8"/>
    </row>
    <row r="278" ht="15.75" customHeight="1">
      <c r="A278" s="8"/>
    </row>
    <row r="279" ht="15.75" customHeight="1">
      <c r="A279" s="8"/>
    </row>
    <row r="280" ht="15.75" customHeight="1">
      <c r="A280" s="8"/>
    </row>
    <row r="281" ht="15.75" customHeight="1">
      <c r="A281" s="8"/>
    </row>
    <row r="282" ht="15.75" customHeight="1">
      <c r="A282" s="8"/>
    </row>
    <row r="283" ht="15.75" customHeight="1">
      <c r="A283" s="8"/>
    </row>
    <row r="284" ht="15.75" customHeight="1">
      <c r="A284" s="8"/>
    </row>
    <row r="285" ht="15.75" customHeight="1">
      <c r="A285" s="8"/>
    </row>
    <row r="286" ht="15.75" customHeight="1">
      <c r="A286" s="8"/>
    </row>
    <row r="287" ht="15.75" customHeight="1">
      <c r="A287" s="8"/>
    </row>
    <row r="288" ht="15.75" customHeight="1">
      <c r="A288" s="8"/>
    </row>
    <row r="289" ht="15.75" customHeight="1">
      <c r="A289" s="8"/>
    </row>
    <row r="290" ht="15.75" customHeight="1">
      <c r="A290" s="8"/>
    </row>
    <row r="291" ht="15.75" customHeight="1">
      <c r="A291" s="8"/>
    </row>
    <row r="292" ht="15.75" customHeight="1">
      <c r="A292" s="8"/>
    </row>
    <row r="293" ht="15.75" customHeight="1">
      <c r="A293" s="8"/>
    </row>
    <row r="294" ht="15.75" customHeight="1">
      <c r="A294" s="8"/>
    </row>
    <row r="295" ht="15.75" customHeight="1">
      <c r="A295" s="8"/>
    </row>
    <row r="296" ht="15.75" customHeight="1">
      <c r="A296" s="8"/>
    </row>
    <row r="297" ht="15.75" customHeight="1">
      <c r="A297" s="8"/>
    </row>
    <row r="298" ht="15.75" customHeight="1">
      <c r="A298" s="8"/>
    </row>
    <row r="299" ht="15.75" customHeight="1">
      <c r="A299" s="8"/>
    </row>
    <row r="300" ht="15.75" customHeight="1">
      <c r="A300" s="8"/>
    </row>
    <row r="301" ht="15.75" customHeight="1">
      <c r="A301" s="8"/>
    </row>
    <row r="302" ht="15.75" customHeight="1">
      <c r="A302" s="8"/>
    </row>
    <row r="303" ht="15.75" customHeight="1">
      <c r="A303" s="8"/>
    </row>
    <row r="304" ht="15.75" customHeight="1">
      <c r="A304" s="8"/>
    </row>
    <row r="305" ht="15.75" customHeight="1">
      <c r="A305" s="8"/>
    </row>
    <row r="306" ht="15.75" customHeight="1">
      <c r="A306" s="8"/>
    </row>
    <row r="307" ht="15.75" customHeight="1">
      <c r="A307" s="8"/>
    </row>
    <row r="308" ht="15.75" customHeight="1">
      <c r="A308" s="8"/>
    </row>
    <row r="309" ht="15.75" customHeight="1">
      <c r="A309" s="8"/>
    </row>
    <row r="310" ht="15.75" customHeight="1">
      <c r="A310" s="8"/>
    </row>
    <row r="311" ht="15.75" customHeight="1">
      <c r="A311" s="8"/>
    </row>
    <row r="312" ht="15.75" customHeight="1">
      <c r="A312" s="8"/>
    </row>
    <row r="313" ht="15.75" customHeight="1">
      <c r="A313" s="8"/>
    </row>
    <row r="314" ht="15.75" customHeight="1">
      <c r="A314" s="8"/>
    </row>
    <row r="315" ht="15.75" customHeight="1">
      <c r="A315" s="8"/>
    </row>
    <row r="316" ht="15.75" customHeight="1">
      <c r="A316" s="8"/>
    </row>
    <row r="317" ht="15.75" customHeight="1">
      <c r="A317" s="8"/>
    </row>
    <row r="318" ht="15.75" customHeight="1">
      <c r="A318" s="8"/>
    </row>
    <row r="319" ht="15.75" customHeight="1">
      <c r="A319" s="8"/>
    </row>
    <row r="320" ht="15.75" customHeight="1">
      <c r="A320" s="8"/>
    </row>
    <row r="321" ht="15.75" customHeight="1">
      <c r="A321" s="8"/>
    </row>
    <row r="322" ht="15.75" customHeight="1">
      <c r="A322" s="8"/>
    </row>
    <row r="323" ht="15.75" customHeight="1">
      <c r="A323" s="8"/>
    </row>
    <row r="324" ht="15.75" customHeight="1">
      <c r="A324" s="8"/>
    </row>
    <row r="325" ht="15.75" customHeight="1">
      <c r="A325" s="8"/>
    </row>
    <row r="326" ht="15.75" customHeight="1">
      <c r="A326" s="8"/>
    </row>
    <row r="327" ht="15.75" customHeight="1">
      <c r="A327" s="8"/>
    </row>
    <row r="328" ht="15.75" customHeight="1">
      <c r="A328" s="8"/>
    </row>
    <row r="329" ht="15.75" customHeight="1">
      <c r="A329" s="8"/>
    </row>
    <row r="330" ht="15.75" customHeight="1">
      <c r="A330" s="8"/>
    </row>
    <row r="331" ht="15.75" customHeight="1">
      <c r="A331" s="8"/>
    </row>
    <row r="332" ht="15.75" customHeight="1">
      <c r="A332" s="8"/>
    </row>
    <row r="333" ht="15.75" customHeight="1">
      <c r="A333" s="8"/>
    </row>
    <row r="334" ht="15.75" customHeight="1">
      <c r="A334" s="8"/>
    </row>
    <row r="335" ht="15.75" customHeight="1">
      <c r="A335" s="8"/>
    </row>
    <row r="336" ht="15.75" customHeight="1">
      <c r="A336" s="8"/>
    </row>
    <row r="337" ht="15.75" customHeight="1">
      <c r="A337" s="8"/>
    </row>
    <row r="338" ht="15.75" customHeight="1">
      <c r="A338" s="8"/>
    </row>
    <row r="339" ht="15.75" customHeight="1">
      <c r="A339" s="8"/>
    </row>
    <row r="340" ht="15.75" customHeight="1">
      <c r="A340" s="8"/>
    </row>
    <row r="341" ht="15.75" customHeight="1">
      <c r="A341" s="8"/>
    </row>
    <row r="342" ht="15.75" customHeight="1">
      <c r="A342" s="8"/>
    </row>
    <row r="343" ht="15.75" customHeight="1">
      <c r="A343" s="8"/>
    </row>
    <row r="344" ht="15.75" customHeight="1">
      <c r="A344" s="8"/>
    </row>
    <row r="345" ht="15.75" customHeight="1">
      <c r="A345" s="8"/>
    </row>
    <row r="346" ht="15.75" customHeight="1">
      <c r="A346" s="8"/>
    </row>
    <row r="347" ht="15.75" customHeight="1">
      <c r="A347" s="8"/>
    </row>
    <row r="348" ht="15.75" customHeight="1">
      <c r="A348" s="8"/>
    </row>
    <row r="349" ht="15.75" customHeight="1">
      <c r="A349" s="8"/>
    </row>
    <row r="350" ht="15.75" customHeight="1">
      <c r="A350" s="8"/>
    </row>
    <row r="351" ht="15.75" customHeight="1">
      <c r="A351" s="8"/>
    </row>
    <row r="352" ht="15.75" customHeight="1">
      <c r="A352" s="8"/>
    </row>
    <row r="353" ht="15.75" customHeight="1">
      <c r="A353" s="8"/>
    </row>
    <row r="354" ht="15.75" customHeight="1">
      <c r="A354" s="8"/>
    </row>
    <row r="355" ht="15.75" customHeight="1">
      <c r="A355" s="8"/>
    </row>
    <row r="356" ht="15.75" customHeight="1">
      <c r="A356" s="8"/>
    </row>
    <row r="357" ht="15.75" customHeight="1">
      <c r="A357" s="8"/>
    </row>
    <row r="358" ht="15.75" customHeight="1">
      <c r="A358" s="8"/>
    </row>
    <row r="359" ht="15.75" customHeight="1">
      <c r="A359" s="8"/>
    </row>
    <row r="360" ht="15.75" customHeight="1">
      <c r="A360" s="8"/>
    </row>
    <row r="361" ht="15.75" customHeight="1">
      <c r="A361" s="8"/>
    </row>
    <row r="362" ht="15.75" customHeight="1">
      <c r="A362" s="8"/>
    </row>
    <row r="363" ht="15.75" customHeight="1">
      <c r="A363" s="8"/>
    </row>
    <row r="364" ht="15.75" customHeight="1">
      <c r="A364" s="8"/>
    </row>
    <row r="365" ht="15.75" customHeight="1">
      <c r="A365" s="8"/>
    </row>
    <row r="366" ht="15.75" customHeight="1">
      <c r="A366" s="8"/>
    </row>
    <row r="367" ht="15.75" customHeight="1">
      <c r="A367" s="8"/>
    </row>
    <row r="368" ht="15.75" customHeight="1">
      <c r="A368" s="8"/>
    </row>
    <row r="369" ht="15.75" customHeight="1">
      <c r="A369" s="8"/>
    </row>
    <row r="370" ht="15.75" customHeight="1">
      <c r="A370" s="8"/>
    </row>
    <row r="371" ht="15.75" customHeight="1">
      <c r="A371" s="8"/>
    </row>
    <row r="372" ht="15.75" customHeight="1">
      <c r="A372" s="8"/>
    </row>
    <row r="373" ht="15.75" customHeight="1">
      <c r="A373" s="8"/>
    </row>
    <row r="374" ht="15.75" customHeight="1">
      <c r="A374" s="8"/>
    </row>
    <row r="375" ht="15.75" customHeight="1">
      <c r="A375" s="8"/>
    </row>
    <row r="376" ht="15.75" customHeight="1">
      <c r="A376" s="8"/>
    </row>
    <row r="377" ht="15.75" customHeight="1">
      <c r="A377" s="8"/>
    </row>
    <row r="378" ht="15.75" customHeight="1">
      <c r="A378" s="8"/>
    </row>
    <row r="379" ht="15.75" customHeight="1">
      <c r="A379" s="8"/>
    </row>
    <row r="380" ht="15.75" customHeight="1">
      <c r="A380" s="8"/>
    </row>
    <row r="381" ht="15.75" customHeight="1">
      <c r="A381" s="8"/>
    </row>
    <row r="382" ht="15.75" customHeight="1">
      <c r="A382" s="8"/>
    </row>
    <row r="383" ht="15.75" customHeight="1">
      <c r="A383" s="8"/>
    </row>
    <row r="384" ht="15.75" customHeight="1">
      <c r="A384" s="8"/>
    </row>
    <row r="385" ht="15.75" customHeight="1">
      <c r="A385" s="8"/>
    </row>
    <row r="386" ht="15.75" customHeight="1">
      <c r="A386" s="8"/>
    </row>
    <row r="387" ht="15.75" customHeight="1">
      <c r="A387" s="8"/>
    </row>
    <row r="388" ht="15.75" customHeight="1">
      <c r="A388" s="8"/>
    </row>
    <row r="389" ht="15.75" customHeight="1">
      <c r="A389" s="8"/>
    </row>
    <row r="390" ht="15.75" customHeight="1">
      <c r="A390" s="8"/>
    </row>
    <row r="391" ht="15.75" customHeight="1">
      <c r="A391" s="8"/>
    </row>
    <row r="392" ht="15.75" customHeight="1">
      <c r="A392" s="8"/>
    </row>
    <row r="393" ht="15.75" customHeight="1">
      <c r="A393" s="8"/>
    </row>
    <row r="394" ht="15.75" customHeight="1">
      <c r="A394" s="8"/>
    </row>
    <row r="395" ht="15.75" customHeight="1">
      <c r="A395" s="8"/>
    </row>
    <row r="396" ht="15.75" customHeight="1">
      <c r="A396" s="8"/>
    </row>
    <row r="397" ht="15.75" customHeight="1">
      <c r="A397" s="8"/>
    </row>
    <row r="398" ht="15.75" customHeight="1">
      <c r="A398" s="8"/>
    </row>
    <row r="399" ht="15.75" customHeight="1">
      <c r="A399" s="8"/>
    </row>
    <row r="400" ht="15.75" customHeight="1">
      <c r="A400" s="8"/>
    </row>
    <row r="401" ht="15.75" customHeight="1">
      <c r="A401" s="8"/>
    </row>
    <row r="402" ht="15.75" customHeight="1">
      <c r="A402" s="8"/>
    </row>
    <row r="403" ht="15.75" customHeight="1">
      <c r="A403" s="8"/>
    </row>
    <row r="404" ht="15.75" customHeight="1">
      <c r="A404" s="8"/>
    </row>
    <row r="405" ht="15.75" customHeight="1">
      <c r="A405" s="8"/>
    </row>
    <row r="406" ht="15.75" customHeight="1">
      <c r="A406" s="8"/>
    </row>
    <row r="407" ht="15.75" customHeight="1">
      <c r="A407" s="8"/>
    </row>
    <row r="408" ht="15.75" customHeight="1">
      <c r="A408" s="8"/>
    </row>
    <row r="409" ht="15.75" customHeight="1">
      <c r="A409" s="8"/>
    </row>
    <row r="410" ht="15.75" customHeight="1">
      <c r="A410" s="8"/>
    </row>
    <row r="411" ht="15.75" customHeight="1">
      <c r="A411" s="8"/>
    </row>
    <row r="412" ht="15.75" customHeight="1">
      <c r="A412" s="8"/>
    </row>
    <row r="413" ht="15.75" customHeight="1">
      <c r="A413" s="8"/>
    </row>
    <row r="414" ht="15.75" customHeight="1">
      <c r="A414" s="8"/>
    </row>
    <row r="415" ht="15.75" customHeight="1">
      <c r="A415" s="8"/>
    </row>
    <row r="416" ht="15.75" customHeight="1">
      <c r="A416" s="8"/>
    </row>
    <row r="417" ht="15.75" customHeight="1">
      <c r="A417" s="8"/>
    </row>
    <row r="418" ht="15.75" customHeight="1">
      <c r="A418" s="8"/>
    </row>
    <row r="419" ht="15.75" customHeight="1">
      <c r="A419" s="8"/>
    </row>
    <row r="420" ht="15.75" customHeight="1">
      <c r="A420" s="8"/>
    </row>
    <row r="421" ht="15.75" customHeight="1">
      <c r="A421" s="8"/>
    </row>
    <row r="422" ht="15.75" customHeight="1">
      <c r="A422" s="8"/>
    </row>
    <row r="423" ht="15.75" customHeight="1">
      <c r="A423" s="8"/>
    </row>
    <row r="424" ht="15.75" customHeight="1">
      <c r="A424" s="8"/>
    </row>
    <row r="425" ht="15.75" customHeight="1">
      <c r="A425" s="8"/>
    </row>
    <row r="426" ht="15.75" customHeight="1">
      <c r="A426" s="8"/>
    </row>
    <row r="427" ht="15.75" customHeight="1">
      <c r="A427" s="8"/>
    </row>
    <row r="428" ht="15.75" customHeight="1">
      <c r="A428" s="8"/>
    </row>
    <row r="429" ht="15.75" customHeight="1">
      <c r="A429" s="8"/>
    </row>
    <row r="430" ht="15.75" customHeight="1">
      <c r="A430" s="8"/>
    </row>
    <row r="431" ht="15.75" customHeight="1">
      <c r="A431" s="8"/>
    </row>
    <row r="432" ht="15.75" customHeight="1">
      <c r="A432" s="8"/>
    </row>
    <row r="433" ht="15.75" customHeight="1">
      <c r="A433" s="8"/>
    </row>
    <row r="434" ht="15.75" customHeight="1">
      <c r="A434" s="8"/>
    </row>
    <row r="435" ht="15.75" customHeight="1">
      <c r="A435" s="8"/>
    </row>
    <row r="436" ht="15.75" customHeight="1">
      <c r="A436" s="8"/>
    </row>
    <row r="437" ht="15.75" customHeight="1">
      <c r="A437" s="8"/>
    </row>
    <row r="438" ht="15.75" customHeight="1">
      <c r="A438" s="8"/>
    </row>
    <row r="439" ht="15.75" customHeight="1">
      <c r="A439" s="8"/>
    </row>
    <row r="440" ht="15.75" customHeight="1">
      <c r="A440" s="8"/>
    </row>
    <row r="441" ht="15.75" customHeight="1">
      <c r="A441" s="8"/>
    </row>
    <row r="442" ht="15.75" customHeight="1">
      <c r="A442" s="8"/>
    </row>
    <row r="443" ht="15.75" customHeight="1">
      <c r="A443" s="8"/>
    </row>
    <row r="444" ht="15.75" customHeight="1">
      <c r="A444" s="8"/>
    </row>
    <row r="445" ht="15.75" customHeight="1">
      <c r="A445" s="8"/>
    </row>
    <row r="446" ht="15.75" customHeight="1">
      <c r="A446" s="8"/>
    </row>
    <row r="447" ht="15.75" customHeight="1">
      <c r="A447" s="8"/>
    </row>
    <row r="448" ht="15.75" customHeight="1">
      <c r="A448" s="8"/>
    </row>
    <row r="449" ht="15.75" customHeight="1">
      <c r="A449" s="8"/>
    </row>
    <row r="450" ht="15.75" customHeight="1">
      <c r="A450" s="8"/>
    </row>
    <row r="451" ht="15.75" customHeight="1">
      <c r="A451" s="8"/>
    </row>
    <row r="452" ht="15.75" customHeight="1">
      <c r="A452" s="8"/>
    </row>
    <row r="453" ht="15.75" customHeight="1">
      <c r="A453" s="8"/>
    </row>
    <row r="454" ht="15.75" customHeight="1">
      <c r="A454" s="8"/>
    </row>
    <row r="455" ht="15.75" customHeight="1">
      <c r="A455" s="8"/>
    </row>
    <row r="456" ht="15.75" customHeight="1">
      <c r="A456" s="8"/>
    </row>
    <row r="457" ht="15.75" customHeight="1">
      <c r="A457" s="8"/>
    </row>
    <row r="458" ht="15.75" customHeight="1">
      <c r="A458" s="8"/>
    </row>
    <row r="459" ht="15.75" customHeight="1">
      <c r="A459" s="8"/>
    </row>
    <row r="460" ht="15.75" customHeight="1">
      <c r="A460" s="8"/>
    </row>
    <row r="461" ht="15.75" customHeight="1">
      <c r="A461" s="8"/>
    </row>
    <row r="462" ht="15.75" customHeight="1">
      <c r="A462" s="8"/>
    </row>
    <row r="463" ht="15.75" customHeight="1">
      <c r="A463" s="8"/>
    </row>
    <row r="464" ht="15.75" customHeight="1">
      <c r="A464" s="8"/>
    </row>
    <row r="465" ht="15.75" customHeight="1">
      <c r="A465" s="8"/>
    </row>
    <row r="466" ht="15.75" customHeight="1">
      <c r="A466" s="8"/>
    </row>
    <row r="467" ht="15.75" customHeight="1">
      <c r="A467" s="8"/>
    </row>
    <row r="468" ht="15.75" customHeight="1">
      <c r="A468" s="8"/>
    </row>
    <row r="469" ht="15.75" customHeight="1">
      <c r="A469" s="8"/>
    </row>
    <row r="470" ht="15.75" customHeight="1">
      <c r="A470" s="8"/>
    </row>
    <row r="471" ht="15.75" customHeight="1">
      <c r="A471" s="8"/>
    </row>
    <row r="472" ht="15.75" customHeight="1">
      <c r="A472" s="8"/>
    </row>
    <row r="473" ht="15.75" customHeight="1">
      <c r="A473" s="8"/>
    </row>
    <row r="474" ht="15.75" customHeight="1">
      <c r="A474" s="8"/>
    </row>
    <row r="475" ht="15.75" customHeight="1">
      <c r="A475" s="8"/>
    </row>
    <row r="476" ht="15.75" customHeight="1">
      <c r="A476" s="8"/>
    </row>
    <row r="477" ht="15.75" customHeight="1">
      <c r="A477" s="8"/>
    </row>
    <row r="478" ht="15.75" customHeight="1">
      <c r="A478" s="8"/>
    </row>
    <row r="479" ht="15.75" customHeight="1">
      <c r="A479" s="8"/>
    </row>
    <row r="480" ht="15.75" customHeight="1">
      <c r="A480" s="8"/>
    </row>
    <row r="481" ht="15.75" customHeight="1">
      <c r="A481" s="8"/>
    </row>
    <row r="482" ht="15.75" customHeight="1">
      <c r="A482" s="8"/>
    </row>
    <row r="483" ht="15.75" customHeight="1">
      <c r="A483" s="8"/>
    </row>
    <row r="484" ht="15.75" customHeight="1">
      <c r="A484" s="8"/>
    </row>
    <row r="485" ht="15.75" customHeight="1">
      <c r="A485" s="8"/>
    </row>
    <row r="486" ht="15.75" customHeight="1">
      <c r="A486" s="8"/>
    </row>
    <row r="487" ht="15.75" customHeight="1">
      <c r="A487" s="8"/>
    </row>
    <row r="488" ht="15.75" customHeight="1">
      <c r="A488" s="8"/>
    </row>
    <row r="489" ht="15.75" customHeight="1">
      <c r="A489" s="8"/>
    </row>
    <row r="490" ht="15.75" customHeight="1">
      <c r="A490" s="8"/>
    </row>
    <row r="491" ht="15.75" customHeight="1">
      <c r="A491" s="8"/>
    </row>
    <row r="492" ht="15.75" customHeight="1">
      <c r="A492" s="8"/>
    </row>
    <row r="493" ht="15.75" customHeight="1">
      <c r="A493" s="8"/>
    </row>
    <row r="494" ht="15.75" customHeight="1">
      <c r="A494" s="8"/>
    </row>
    <row r="495" ht="15.75" customHeight="1">
      <c r="A495" s="8"/>
    </row>
    <row r="496" ht="15.75" customHeight="1">
      <c r="A496" s="8"/>
    </row>
    <row r="497" ht="15.75" customHeight="1">
      <c r="A497" s="8"/>
    </row>
    <row r="498" ht="15.75" customHeight="1">
      <c r="A498" s="8"/>
    </row>
    <row r="499" ht="15.75" customHeight="1">
      <c r="A499" s="8"/>
    </row>
    <row r="500" ht="15.75" customHeight="1">
      <c r="A500" s="8"/>
    </row>
    <row r="501" ht="15.75" customHeight="1">
      <c r="A501" s="8"/>
    </row>
    <row r="502" ht="15.75" customHeight="1">
      <c r="A502" s="8"/>
    </row>
    <row r="503" ht="15.75" customHeight="1">
      <c r="A503" s="8"/>
    </row>
    <row r="504" ht="15.75" customHeight="1">
      <c r="A504" s="8"/>
    </row>
    <row r="505" ht="15.75" customHeight="1">
      <c r="A505" s="8"/>
    </row>
    <row r="506" ht="15.75" customHeight="1">
      <c r="A506" s="8"/>
    </row>
    <row r="507" ht="15.75" customHeight="1">
      <c r="A507" s="8"/>
    </row>
    <row r="508" ht="15.75" customHeight="1">
      <c r="A508" s="8"/>
    </row>
    <row r="509" ht="15.75" customHeight="1">
      <c r="A509" s="8"/>
    </row>
    <row r="510" ht="15.75" customHeight="1">
      <c r="A510" s="8"/>
    </row>
    <row r="511" ht="15.75" customHeight="1">
      <c r="A511" s="8"/>
    </row>
    <row r="512" ht="15.75" customHeight="1">
      <c r="A512" s="8"/>
    </row>
    <row r="513" ht="15.75" customHeight="1">
      <c r="A513" s="8"/>
    </row>
    <row r="514" ht="15.75" customHeight="1">
      <c r="A514" s="8"/>
    </row>
    <row r="515" ht="15.75" customHeight="1">
      <c r="A515" s="8"/>
    </row>
    <row r="516" ht="15.75" customHeight="1">
      <c r="A516" s="8"/>
    </row>
    <row r="517" ht="15.75" customHeight="1">
      <c r="A517" s="8"/>
    </row>
    <row r="518" ht="15.75" customHeight="1">
      <c r="A518" s="8"/>
    </row>
    <row r="519" ht="15.75" customHeight="1">
      <c r="A519" s="8"/>
    </row>
    <row r="520" ht="15.75" customHeight="1">
      <c r="A520" s="8"/>
    </row>
    <row r="521" ht="15.75" customHeight="1">
      <c r="A521" s="8"/>
    </row>
    <row r="522" ht="15.75" customHeight="1">
      <c r="A522" s="8"/>
    </row>
    <row r="523" ht="15.75" customHeight="1">
      <c r="A523" s="8"/>
    </row>
    <row r="524" ht="15.75" customHeight="1">
      <c r="A524" s="8"/>
    </row>
    <row r="525" ht="15.75" customHeight="1">
      <c r="A525" s="8"/>
    </row>
    <row r="526" ht="15.75" customHeight="1">
      <c r="A526" s="8"/>
    </row>
    <row r="527" ht="15.75" customHeight="1">
      <c r="A527" s="8"/>
    </row>
    <row r="528" ht="15.75" customHeight="1">
      <c r="A528" s="8"/>
    </row>
    <row r="529" ht="15.75" customHeight="1">
      <c r="A529" s="8"/>
    </row>
    <row r="530" ht="15.75" customHeight="1">
      <c r="A530" s="8"/>
    </row>
    <row r="531" ht="15.75" customHeight="1">
      <c r="A531" s="8"/>
    </row>
    <row r="532" ht="15.75" customHeight="1">
      <c r="A532" s="8"/>
    </row>
    <row r="533" ht="15.75" customHeight="1">
      <c r="A533" s="8"/>
    </row>
    <row r="534" ht="15.75" customHeight="1">
      <c r="A534" s="8"/>
    </row>
    <row r="535" ht="15.75" customHeight="1">
      <c r="A535" s="8"/>
    </row>
    <row r="536" ht="15.75" customHeight="1">
      <c r="A536" s="8"/>
    </row>
    <row r="537" ht="15.75" customHeight="1">
      <c r="A537" s="8"/>
    </row>
    <row r="538" ht="15.75" customHeight="1">
      <c r="A538" s="8"/>
    </row>
    <row r="539" ht="15.75" customHeight="1">
      <c r="A539" s="8"/>
    </row>
    <row r="540" ht="15.75" customHeight="1">
      <c r="A540" s="8"/>
    </row>
    <row r="541" ht="15.75" customHeight="1">
      <c r="A541" s="8"/>
    </row>
    <row r="542" ht="15.75" customHeight="1">
      <c r="A542" s="8"/>
    </row>
    <row r="543" ht="15.75" customHeight="1">
      <c r="A543" s="8"/>
    </row>
    <row r="544" ht="15.75" customHeight="1">
      <c r="A544" s="8"/>
    </row>
    <row r="545" ht="15.75" customHeight="1">
      <c r="A545" s="8"/>
    </row>
    <row r="546" ht="15.75" customHeight="1">
      <c r="A546" s="8"/>
    </row>
    <row r="547" ht="15.75" customHeight="1">
      <c r="A547" s="8"/>
    </row>
    <row r="548" ht="15.75" customHeight="1">
      <c r="A548" s="8"/>
    </row>
    <row r="549" ht="15.75" customHeight="1">
      <c r="A549" s="8"/>
    </row>
    <row r="550" ht="15.75" customHeight="1">
      <c r="A550" s="8"/>
    </row>
    <row r="551" ht="15.75" customHeight="1">
      <c r="A551" s="8"/>
    </row>
    <row r="552" ht="15.75" customHeight="1">
      <c r="A552" s="8"/>
    </row>
    <row r="553" ht="15.75" customHeight="1">
      <c r="A553" s="8"/>
    </row>
    <row r="554" ht="15.75" customHeight="1">
      <c r="A554" s="8"/>
    </row>
    <row r="555" ht="15.75" customHeight="1">
      <c r="A555" s="8"/>
    </row>
    <row r="556" ht="15.75" customHeight="1">
      <c r="A556" s="8"/>
    </row>
    <row r="557" ht="15.75" customHeight="1">
      <c r="A557" s="8"/>
    </row>
    <row r="558" ht="15.75" customHeight="1">
      <c r="A558" s="8"/>
    </row>
    <row r="559" ht="15.75" customHeight="1">
      <c r="A559" s="8"/>
    </row>
    <row r="560" ht="15.75" customHeight="1">
      <c r="A560" s="8"/>
    </row>
    <row r="561" ht="15.75" customHeight="1">
      <c r="A561" s="8"/>
    </row>
    <row r="562" ht="15.75" customHeight="1">
      <c r="A562" s="8"/>
    </row>
    <row r="563" ht="15.75" customHeight="1">
      <c r="A563" s="8"/>
    </row>
    <row r="564" ht="15.75" customHeight="1">
      <c r="A564" s="8"/>
    </row>
    <row r="565" ht="15.75" customHeight="1">
      <c r="A565" s="8"/>
    </row>
    <row r="566" ht="15.75" customHeight="1">
      <c r="A566" s="8"/>
    </row>
    <row r="567" ht="15.75" customHeight="1">
      <c r="A567" s="8"/>
    </row>
    <row r="568" ht="15.75" customHeight="1">
      <c r="A568" s="8"/>
    </row>
    <row r="569" ht="15.75" customHeight="1">
      <c r="A569" s="8"/>
    </row>
    <row r="570" ht="15.75" customHeight="1">
      <c r="A570" s="8"/>
    </row>
    <row r="571" ht="15.75" customHeight="1">
      <c r="A571" s="8"/>
    </row>
    <row r="572" ht="15.75" customHeight="1">
      <c r="A572" s="8"/>
    </row>
    <row r="573" ht="15.75" customHeight="1">
      <c r="A573" s="8"/>
    </row>
    <row r="574" ht="15.75" customHeight="1">
      <c r="A574" s="8"/>
    </row>
    <row r="575" ht="15.75" customHeight="1">
      <c r="A575" s="8"/>
    </row>
    <row r="576" ht="15.75" customHeight="1">
      <c r="A576" s="8"/>
    </row>
    <row r="577" ht="15.75" customHeight="1">
      <c r="A577" s="8"/>
    </row>
    <row r="578" ht="15.75" customHeight="1">
      <c r="A578" s="8"/>
    </row>
    <row r="579" ht="15.75" customHeight="1">
      <c r="A579" s="8"/>
    </row>
    <row r="580" ht="15.75" customHeight="1">
      <c r="A580" s="8"/>
    </row>
    <row r="581" ht="15.75" customHeight="1">
      <c r="A581" s="8"/>
    </row>
    <row r="582" ht="15.75" customHeight="1">
      <c r="A582" s="8"/>
    </row>
    <row r="583" ht="15.75" customHeight="1">
      <c r="A583" s="8"/>
    </row>
    <row r="584" ht="15.75" customHeight="1">
      <c r="A584" s="8"/>
    </row>
    <row r="585" ht="15.75" customHeight="1">
      <c r="A585" s="8"/>
    </row>
    <row r="586" ht="15.75" customHeight="1">
      <c r="A586" s="8"/>
    </row>
    <row r="587" ht="15.75" customHeight="1">
      <c r="A587" s="8"/>
    </row>
    <row r="588" ht="15.75" customHeight="1">
      <c r="A588" s="8"/>
    </row>
    <row r="589" ht="15.75" customHeight="1">
      <c r="A589" s="8"/>
    </row>
    <row r="590" ht="15.75" customHeight="1">
      <c r="A590" s="8"/>
    </row>
    <row r="591" ht="15.75" customHeight="1">
      <c r="A591" s="8"/>
    </row>
    <row r="592" ht="15.75" customHeight="1">
      <c r="A592" s="8"/>
    </row>
    <row r="593" ht="15.75" customHeight="1">
      <c r="A593" s="8"/>
    </row>
    <row r="594" ht="15.75" customHeight="1">
      <c r="A594" s="8"/>
    </row>
    <row r="595" ht="15.75" customHeight="1">
      <c r="A595" s="8"/>
    </row>
    <row r="596" ht="15.75" customHeight="1">
      <c r="A596" s="8"/>
    </row>
    <row r="597" ht="15.75" customHeight="1">
      <c r="A597" s="8"/>
    </row>
    <row r="598" ht="15.75" customHeight="1">
      <c r="A598" s="8"/>
    </row>
    <row r="599" ht="15.75" customHeight="1">
      <c r="A599" s="8"/>
    </row>
    <row r="600" ht="15.75" customHeight="1">
      <c r="A600" s="8"/>
    </row>
    <row r="601" ht="15.75" customHeight="1">
      <c r="A601" s="8"/>
    </row>
    <row r="602" ht="15.75" customHeight="1">
      <c r="A602" s="8"/>
    </row>
    <row r="603" ht="15.75" customHeight="1">
      <c r="A603" s="8"/>
    </row>
    <row r="604" ht="15.75" customHeight="1">
      <c r="A604" s="8"/>
    </row>
    <row r="605" ht="15.75" customHeight="1">
      <c r="A605" s="8"/>
    </row>
    <row r="606" ht="15.75" customHeight="1">
      <c r="A606" s="8"/>
    </row>
    <row r="607" ht="15.75" customHeight="1">
      <c r="A607" s="8"/>
    </row>
    <row r="608" ht="15.75" customHeight="1">
      <c r="A608" s="8"/>
    </row>
    <row r="609" ht="15.75" customHeight="1">
      <c r="A609" s="8"/>
    </row>
    <row r="610" ht="15.75" customHeight="1">
      <c r="A610" s="8"/>
    </row>
    <row r="611" ht="15.75" customHeight="1">
      <c r="A611" s="8"/>
    </row>
    <row r="612" ht="15.75" customHeight="1">
      <c r="A612" s="8"/>
    </row>
    <row r="613" ht="15.75" customHeight="1">
      <c r="A613" s="8"/>
    </row>
    <row r="614" ht="15.75" customHeight="1">
      <c r="A614" s="8"/>
    </row>
    <row r="615" ht="15.75" customHeight="1">
      <c r="A615" s="8"/>
    </row>
    <row r="616" ht="15.75" customHeight="1">
      <c r="A616" s="8"/>
    </row>
    <row r="617" ht="15.75" customHeight="1">
      <c r="A617" s="8"/>
    </row>
    <row r="618" ht="15.75" customHeight="1">
      <c r="A618" s="8"/>
    </row>
    <row r="619" ht="15.75" customHeight="1">
      <c r="A619" s="8"/>
    </row>
    <row r="620" ht="15.75" customHeight="1">
      <c r="A620" s="8"/>
    </row>
    <row r="621" ht="15.75" customHeight="1">
      <c r="A621" s="8"/>
    </row>
    <row r="622" ht="15.75" customHeight="1">
      <c r="A622" s="8"/>
    </row>
    <row r="623" ht="15.75" customHeight="1">
      <c r="A623" s="8"/>
    </row>
    <row r="624" ht="15.75" customHeight="1">
      <c r="A624" s="8"/>
    </row>
    <row r="625" ht="15.75" customHeight="1">
      <c r="A625" s="8"/>
    </row>
    <row r="626" ht="15.75" customHeight="1">
      <c r="A626" s="8"/>
    </row>
    <row r="627" ht="15.75" customHeight="1">
      <c r="A627" s="8"/>
    </row>
    <row r="628" ht="15.75" customHeight="1">
      <c r="A628" s="8"/>
    </row>
    <row r="629" ht="15.75" customHeight="1">
      <c r="A629" s="8"/>
    </row>
    <row r="630" ht="15.75" customHeight="1">
      <c r="A630" s="8"/>
    </row>
    <row r="631" ht="15.75" customHeight="1">
      <c r="A631" s="8"/>
    </row>
    <row r="632" ht="15.75" customHeight="1">
      <c r="A632" s="8"/>
    </row>
    <row r="633" ht="15.75" customHeight="1">
      <c r="A633" s="8"/>
    </row>
    <row r="634" ht="15.75" customHeight="1">
      <c r="A634" s="8"/>
    </row>
    <row r="635" ht="15.75" customHeight="1">
      <c r="A635" s="8"/>
    </row>
    <row r="636" ht="15.75" customHeight="1">
      <c r="A636" s="8"/>
    </row>
    <row r="637" ht="15.75" customHeight="1">
      <c r="A637" s="8"/>
    </row>
    <row r="638" ht="15.75" customHeight="1">
      <c r="A638" s="8"/>
    </row>
    <row r="639" ht="15.75" customHeight="1">
      <c r="A639" s="8"/>
    </row>
    <row r="640" ht="15.75" customHeight="1">
      <c r="A640" s="8"/>
    </row>
    <row r="641" ht="15.75" customHeight="1">
      <c r="A641" s="8"/>
    </row>
    <row r="642" ht="15.75" customHeight="1">
      <c r="A642" s="8"/>
    </row>
    <row r="643" ht="15.75" customHeight="1">
      <c r="A643" s="8"/>
    </row>
    <row r="644" ht="15.75" customHeight="1">
      <c r="A644" s="8"/>
    </row>
    <row r="645" ht="15.75" customHeight="1">
      <c r="A645" s="8"/>
    </row>
    <row r="646" ht="15.75" customHeight="1">
      <c r="A646" s="8"/>
    </row>
    <row r="647" ht="15.75" customHeight="1">
      <c r="A647" s="8"/>
    </row>
    <row r="648" ht="15.75" customHeight="1">
      <c r="A648" s="8"/>
    </row>
    <row r="649" ht="15.75" customHeight="1">
      <c r="A649" s="8"/>
    </row>
    <row r="650" ht="15.75" customHeight="1">
      <c r="A650" s="8"/>
    </row>
    <row r="651" ht="15.75" customHeight="1">
      <c r="A651" s="8"/>
    </row>
    <row r="652" ht="15.75" customHeight="1">
      <c r="A652" s="8"/>
    </row>
    <row r="653" ht="15.75" customHeight="1">
      <c r="A653" s="8"/>
    </row>
    <row r="654" ht="15.75" customHeight="1">
      <c r="A654" s="8"/>
    </row>
    <row r="655" ht="15.75" customHeight="1">
      <c r="A655" s="8"/>
    </row>
    <row r="656" ht="15.75" customHeight="1">
      <c r="A656" s="8"/>
    </row>
    <row r="657" ht="15.75" customHeight="1">
      <c r="A657" s="8"/>
    </row>
    <row r="658" ht="15.75" customHeight="1">
      <c r="A658" s="8"/>
    </row>
    <row r="659" ht="15.75" customHeight="1">
      <c r="A659" s="8"/>
    </row>
    <row r="660" ht="15.75" customHeight="1">
      <c r="A660" s="8"/>
    </row>
    <row r="661" ht="15.75" customHeight="1">
      <c r="A661" s="8"/>
    </row>
    <row r="662" ht="15.75" customHeight="1">
      <c r="A662" s="8"/>
    </row>
    <row r="663" ht="15.75" customHeight="1">
      <c r="A663" s="8"/>
    </row>
    <row r="664" ht="15.75" customHeight="1">
      <c r="A664" s="8"/>
    </row>
    <row r="665" ht="15.75" customHeight="1">
      <c r="A665" s="8"/>
    </row>
    <row r="666" ht="15.75" customHeight="1">
      <c r="A666" s="8"/>
    </row>
    <row r="667" ht="15.75" customHeight="1">
      <c r="A667" s="8"/>
    </row>
    <row r="668" ht="15.75" customHeight="1">
      <c r="A668" s="8"/>
    </row>
    <row r="669" ht="15.75" customHeight="1">
      <c r="A669" s="8"/>
    </row>
    <row r="670" ht="15.75" customHeight="1">
      <c r="A670" s="8"/>
    </row>
    <row r="671" ht="15.75" customHeight="1">
      <c r="A671" s="8"/>
    </row>
    <row r="672" ht="15.75" customHeight="1">
      <c r="A672" s="8"/>
    </row>
    <row r="673" ht="15.75" customHeight="1">
      <c r="A673" s="8"/>
    </row>
    <row r="674" ht="15.75" customHeight="1">
      <c r="A674" s="8"/>
    </row>
    <row r="675" ht="15.75" customHeight="1">
      <c r="A675" s="8"/>
    </row>
    <row r="676" ht="15.75" customHeight="1">
      <c r="A676" s="8"/>
    </row>
    <row r="677" ht="15.75" customHeight="1">
      <c r="A677" s="8"/>
    </row>
    <row r="678" ht="15.75" customHeight="1">
      <c r="A678" s="8"/>
    </row>
    <row r="679" ht="15.75" customHeight="1">
      <c r="A679" s="8"/>
    </row>
    <row r="680" ht="15.75" customHeight="1">
      <c r="A680" s="8"/>
    </row>
    <row r="681" ht="15.75" customHeight="1">
      <c r="A681" s="8"/>
    </row>
    <row r="682" ht="15.75" customHeight="1">
      <c r="A682" s="8"/>
    </row>
    <row r="683" ht="15.75" customHeight="1">
      <c r="A683" s="8"/>
    </row>
    <row r="684" ht="15.75" customHeight="1">
      <c r="A684" s="8"/>
    </row>
    <row r="685" ht="15.75" customHeight="1">
      <c r="A685" s="8"/>
    </row>
    <row r="686" ht="15.75" customHeight="1">
      <c r="A686" s="8"/>
    </row>
    <row r="687" ht="15.75" customHeight="1">
      <c r="A687" s="8"/>
    </row>
    <row r="688" ht="15.75" customHeight="1">
      <c r="A688" s="8"/>
    </row>
    <row r="689" ht="15.75" customHeight="1">
      <c r="A689" s="8"/>
    </row>
    <row r="690" ht="15.75" customHeight="1">
      <c r="A690" s="8"/>
    </row>
    <row r="691" ht="15.75" customHeight="1">
      <c r="A691" s="8"/>
    </row>
    <row r="692" ht="15.75" customHeight="1">
      <c r="A692" s="8"/>
    </row>
    <row r="693" ht="15.75" customHeight="1">
      <c r="A693" s="8"/>
    </row>
    <row r="694" ht="15.75" customHeight="1">
      <c r="A694" s="8"/>
    </row>
    <row r="695" ht="15.75" customHeight="1">
      <c r="A695" s="8"/>
    </row>
    <row r="696" ht="15.75" customHeight="1">
      <c r="A696" s="8"/>
    </row>
    <row r="697" ht="15.75" customHeight="1">
      <c r="A697" s="8"/>
    </row>
    <row r="698" ht="15.75" customHeight="1">
      <c r="A698" s="8"/>
    </row>
    <row r="699" ht="15.75" customHeight="1">
      <c r="A699" s="8"/>
    </row>
    <row r="700" ht="15.75" customHeight="1">
      <c r="A700" s="8"/>
    </row>
    <row r="701" ht="15.75" customHeight="1">
      <c r="A701" s="8"/>
    </row>
    <row r="702" ht="15.75" customHeight="1">
      <c r="A702" s="8"/>
    </row>
    <row r="703" ht="15.75" customHeight="1">
      <c r="A703" s="8"/>
    </row>
    <row r="704" ht="15.75" customHeight="1">
      <c r="A704" s="8"/>
    </row>
    <row r="705" ht="15.75" customHeight="1">
      <c r="A705" s="8"/>
    </row>
    <row r="706" ht="15.75" customHeight="1">
      <c r="A706" s="8"/>
    </row>
    <row r="707" ht="15.75" customHeight="1">
      <c r="A707" s="8"/>
    </row>
    <row r="708" ht="15.75" customHeight="1">
      <c r="A708" s="8"/>
    </row>
    <row r="709" ht="15.75" customHeight="1">
      <c r="A709" s="8"/>
    </row>
    <row r="710" ht="15.75" customHeight="1">
      <c r="A710" s="8"/>
    </row>
    <row r="711" ht="15.75" customHeight="1">
      <c r="A711" s="8"/>
    </row>
    <row r="712" ht="15.75" customHeight="1">
      <c r="A712" s="8"/>
    </row>
    <row r="713" ht="15.75" customHeight="1">
      <c r="A713" s="8"/>
    </row>
    <row r="714" ht="15.75" customHeight="1">
      <c r="A714" s="8"/>
    </row>
    <row r="715" ht="15.75" customHeight="1">
      <c r="A715" s="8"/>
    </row>
    <row r="716" ht="15.75" customHeight="1">
      <c r="A716" s="8"/>
    </row>
    <row r="717" ht="15.75" customHeight="1">
      <c r="A717" s="8"/>
    </row>
    <row r="718" ht="15.75" customHeight="1">
      <c r="A718" s="8"/>
    </row>
    <row r="719" ht="15.75" customHeight="1">
      <c r="A719" s="8"/>
    </row>
    <row r="720" ht="15.75" customHeight="1">
      <c r="A720" s="8"/>
    </row>
    <row r="721" ht="15.75" customHeight="1">
      <c r="A721" s="8"/>
    </row>
    <row r="722" ht="15.75" customHeight="1">
      <c r="A722" s="8"/>
    </row>
    <row r="723" ht="15.75" customHeight="1">
      <c r="A723" s="8"/>
    </row>
    <row r="724" ht="15.75" customHeight="1">
      <c r="A724" s="8"/>
    </row>
    <row r="725" ht="15.75" customHeight="1">
      <c r="A725" s="8"/>
    </row>
    <row r="726" ht="15.75" customHeight="1">
      <c r="A726" s="8"/>
    </row>
    <row r="727" ht="15.75" customHeight="1">
      <c r="A727" s="8"/>
    </row>
    <row r="728" ht="15.75" customHeight="1">
      <c r="A728" s="8"/>
    </row>
    <row r="729" ht="15.75" customHeight="1">
      <c r="A729" s="8"/>
    </row>
    <row r="730" ht="15.75" customHeight="1">
      <c r="A730" s="8"/>
    </row>
    <row r="731" ht="15.75" customHeight="1">
      <c r="A731" s="8"/>
    </row>
    <row r="732" ht="15.75" customHeight="1">
      <c r="A732" s="8"/>
    </row>
    <row r="733" ht="15.75" customHeight="1">
      <c r="A733" s="8"/>
    </row>
    <row r="734" ht="15.75" customHeight="1">
      <c r="A734" s="8"/>
    </row>
    <row r="735" ht="15.75" customHeight="1">
      <c r="A735" s="8"/>
    </row>
    <row r="736" ht="15.75" customHeight="1">
      <c r="A736" s="8"/>
    </row>
    <row r="737" ht="15.75" customHeight="1">
      <c r="A737" s="8"/>
    </row>
    <row r="738" ht="15.75" customHeight="1">
      <c r="A738" s="8"/>
    </row>
    <row r="739" ht="15.75" customHeight="1">
      <c r="A739" s="8"/>
    </row>
    <row r="740" ht="15.75" customHeight="1">
      <c r="A740" s="8"/>
    </row>
    <row r="741" ht="15.75" customHeight="1">
      <c r="A741" s="8"/>
    </row>
    <row r="742" ht="15.75" customHeight="1">
      <c r="A742" s="8"/>
    </row>
    <row r="743" ht="15.75" customHeight="1">
      <c r="A743" s="8"/>
    </row>
    <row r="744" ht="15.75" customHeight="1">
      <c r="A744" s="8"/>
    </row>
    <row r="745" ht="15.75" customHeight="1">
      <c r="A745" s="8"/>
    </row>
    <row r="746" ht="15.75" customHeight="1">
      <c r="A746" s="8"/>
    </row>
    <row r="747" ht="15.75" customHeight="1">
      <c r="A747" s="8"/>
    </row>
    <row r="748" ht="15.75" customHeight="1">
      <c r="A748" s="8"/>
    </row>
    <row r="749" ht="15.75" customHeight="1">
      <c r="A749" s="8"/>
    </row>
    <row r="750" ht="15.75" customHeight="1">
      <c r="A750" s="8"/>
    </row>
    <row r="751" ht="15.75" customHeight="1">
      <c r="A751" s="8"/>
    </row>
    <row r="752" ht="15.75" customHeight="1">
      <c r="A752" s="8"/>
    </row>
    <row r="753" ht="15.75" customHeight="1">
      <c r="A753" s="8"/>
    </row>
    <row r="754" ht="15.75" customHeight="1">
      <c r="A754" s="8"/>
    </row>
    <row r="755" ht="15.75" customHeight="1">
      <c r="A755" s="8"/>
    </row>
    <row r="756" ht="15.75" customHeight="1">
      <c r="A756" s="8"/>
    </row>
    <row r="757" ht="15.75" customHeight="1">
      <c r="A757" s="8"/>
    </row>
    <row r="758" ht="15.75" customHeight="1">
      <c r="A758" s="8"/>
    </row>
    <row r="759" ht="15.75" customHeight="1">
      <c r="A759" s="8"/>
    </row>
    <row r="760" ht="15.75" customHeight="1">
      <c r="A760" s="8"/>
    </row>
    <row r="761" ht="15.75" customHeight="1">
      <c r="A761" s="8"/>
    </row>
    <row r="762" ht="15.75" customHeight="1">
      <c r="A762" s="8"/>
    </row>
    <row r="763" ht="15.75" customHeight="1">
      <c r="A763" s="8"/>
    </row>
    <row r="764" ht="15.75" customHeight="1">
      <c r="A764" s="8"/>
    </row>
    <row r="765" ht="15.75" customHeight="1">
      <c r="A765" s="8"/>
    </row>
    <row r="766" ht="15.75" customHeight="1">
      <c r="A766" s="8"/>
    </row>
    <row r="767" ht="15.75" customHeight="1">
      <c r="A767" s="8"/>
    </row>
    <row r="768" ht="15.75" customHeight="1">
      <c r="A768" s="8"/>
    </row>
    <row r="769" ht="15.75" customHeight="1">
      <c r="A769" s="8"/>
    </row>
    <row r="770" ht="15.75" customHeight="1">
      <c r="A770" s="8"/>
    </row>
    <row r="771" ht="15.75" customHeight="1">
      <c r="A771" s="8"/>
    </row>
    <row r="772" ht="15.75" customHeight="1">
      <c r="A772" s="8"/>
    </row>
    <row r="773" ht="15.75" customHeight="1">
      <c r="A773" s="8"/>
    </row>
    <row r="774" ht="15.75" customHeight="1">
      <c r="A774" s="8"/>
    </row>
    <row r="775" ht="15.75" customHeight="1">
      <c r="A775" s="8"/>
    </row>
    <row r="776" ht="15.75" customHeight="1">
      <c r="A776" s="8"/>
    </row>
    <row r="777" ht="15.75" customHeight="1">
      <c r="A777" s="8"/>
    </row>
    <row r="778" ht="15.75" customHeight="1">
      <c r="A778" s="8"/>
    </row>
    <row r="779" ht="15.75" customHeight="1">
      <c r="A779" s="8"/>
    </row>
    <row r="780" ht="15.75" customHeight="1">
      <c r="A780" s="8"/>
    </row>
    <row r="781" ht="15.75" customHeight="1">
      <c r="A781" s="8"/>
    </row>
    <row r="782" ht="15.75" customHeight="1">
      <c r="A782" s="8"/>
    </row>
    <row r="783" ht="15.75" customHeight="1">
      <c r="A783" s="8"/>
    </row>
    <row r="784" ht="15.75" customHeight="1">
      <c r="A784" s="8"/>
    </row>
    <row r="785" ht="15.75" customHeight="1">
      <c r="A785" s="8"/>
    </row>
    <row r="786" ht="15.75" customHeight="1">
      <c r="A786" s="8"/>
    </row>
    <row r="787" ht="15.75" customHeight="1">
      <c r="A787" s="8"/>
    </row>
    <row r="788" ht="15.75" customHeight="1">
      <c r="A788" s="8"/>
    </row>
    <row r="789" ht="15.75" customHeight="1">
      <c r="A789" s="8"/>
    </row>
    <row r="790" ht="15.75" customHeight="1">
      <c r="A790" s="8"/>
    </row>
    <row r="791" ht="15.75" customHeight="1">
      <c r="A791" s="8"/>
    </row>
    <row r="792" ht="15.75" customHeight="1">
      <c r="A792" s="8"/>
    </row>
    <row r="793" ht="15.75" customHeight="1">
      <c r="A793" s="8"/>
    </row>
    <row r="794" ht="15.75" customHeight="1">
      <c r="A794" s="8"/>
    </row>
    <row r="795" ht="15.75" customHeight="1">
      <c r="A795" s="8"/>
    </row>
    <row r="796" ht="15.75" customHeight="1">
      <c r="A796" s="8"/>
    </row>
    <row r="797" ht="15.75" customHeight="1">
      <c r="A797" s="8"/>
    </row>
    <row r="798" ht="15.75" customHeight="1">
      <c r="A798" s="8"/>
    </row>
    <row r="799" ht="15.75" customHeight="1">
      <c r="A799" s="8"/>
    </row>
    <row r="800" ht="15.75" customHeight="1">
      <c r="A800" s="8"/>
    </row>
    <row r="801" ht="15.75" customHeight="1">
      <c r="A801" s="8"/>
    </row>
    <row r="802" ht="15.75" customHeight="1">
      <c r="A802" s="8"/>
    </row>
    <row r="803" ht="15.75" customHeight="1">
      <c r="A803" s="8"/>
    </row>
    <row r="804" ht="15.75" customHeight="1">
      <c r="A804" s="8"/>
    </row>
    <row r="805" ht="15.75" customHeight="1">
      <c r="A805" s="8"/>
    </row>
    <row r="806" ht="15.75" customHeight="1">
      <c r="A806" s="8"/>
    </row>
    <row r="807" ht="15.75" customHeight="1">
      <c r="A807" s="8"/>
    </row>
    <row r="808" ht="15.75" customHeight="1">
      <c r="A808" s="8"/>
    </row>
    <row r="809" ht="15.75" customHeight="1">
      <c r="A809" s="8"/>
    </row>
    <row r="810" ht="15.75" customHeight="1">
      <c r="A810" s="8"/>
    </row>
    <row r="811" ht="15.75" customHeight="1">
      <c r="A811" s="8"/>
    </row>
    <row r="812" ht="15.75" customHeight="1">
      <c r="A812" s="8"/>
    </row>
    <row r="813" ht="15.75" customHeight="1">
      <c r="A813" s="8"/>
    </row>
    <row r="814" ht="15.75" customHeight="1">
      <c r="A814" s="8"/>
    </row>
    <row r="815" ht="15.75" customHeight="1">
      <c r="A815" s="8"/>
    </row>
    <row r="816" ht="15.75" customHeight="1">
      <c r="A816" s="8"/>
    </row>
    <row r="817" ht="15.75" customHeight="1">
      <c r="A817" s="8"/>
    </row>
    <row r="818" ht="15.75" customHeight="1">
      <c r="A818" s="8"/>
    </row>
    <row r="819" ht="15.75" customHeight="1">
      <c r="A819" s="8"/>
    </row>
    <row r="820" ht="15.75" customHeight="1">
      <c r="A820" s="8"/>
    </row>
    <row r="821" ht="15.75" customHeight="1">
      <c r="A821" s="8"/>
    </row>
    <row r="822" ht="15.75" customHeight="1">
      <c r="A822" s="8"/>
    </row>
    <row r="823" ht="15.75" customHeight="1">
      <c r="A823" s="8"/>
    </row>
    <row r="824" ht="15.75" customHeight="1">
      <c r="A824" s="8"/>
    </row>
    <row r="825" ht="15.75" customHeight="1">
      <c r="A825" s="8"/>
    </row>
    <row r="826" ht="15.75" customHeight="1">
      <c r="A826" s="8"/>
    </row>
    <row r="827" ht="15.75" customHeight="1">
      <c r="A827" s="8"/>
    </row>
    <row r="828" ht="15.75" customHeight="1">
      <c r="A828" s="8"/>
    </row>
    <row r="829" ht="15.75" customHeight="1">
      <c r="A829" s="8"/>
    </row>
    <row r="830" ht="15.75" customHeight="1">
      <c r="A830" s="8"/>
    </row>
    <row r="831" ht="15.75" customHeight="1">
      <c r="A831" s="8"/>
    </row>
    <row r="832" ht="15.75" customHeight="1">
      <c r="A832" s="8"/>
    </row>
    <row r="833" ht="15.75" customHeight="1">
      <c r="A833" s="8"/>
    </row>
    <row r="834" ht="15.75" customHeight="1">
      <c r="A834" s="8"/>
    </row>
    <row r="835" ht="15.75" customHeight="1">
      <c r="A835" s="8"/>
    </row>
    <row r="836" ht="15.75" customHeight="1">
      <c r="A836" s="8"/>
    </row>
    <row r="837" ht="15.75" customHeight="1">
      <c r="A837" s="8"/>
    </row>
    <row r="838" ht="15.75" customHeight="1">
      <c r="A838" s="8"/>
    </row>
    <row r="839" ht="15.75" customHeight="1">
      <c r="A839" s="8"/>
    </row>
    <row r="840" ht="15.75" customHeight="1">
      <c r="A840" s="8"/>
    </row>
    <row r="841" ht="15.75" customHeight="1">
      <c r="A841" s="8"/>
    </row>
    <row r="842" ht="15.75" customHeight="1">
      <c r="A842" s="8"/>
    </row>
    <row r="843" ht="15.75" customHeight="1">
      <c r="A843" s="8"/>
    </row>
    <row r="844" ht="15.75" customHeight="1">
      <c r="A844" s="8"/>
    </row>
    <row r="845" ht="15.75" customHeight="1">
      <c r="A845" s="8"/>
    </row>
    <row r="846" ht="15.75" customHeight="1">
      <c r="A846" s="8"/>
    </row>
    <row r="847" ht="15.75" customHeight="1">
      <c r="A847" s="8"/>
    </row>
    <row r="848" ht="15.75" customHeight="1">
      <c r="A848" s="8"/>
    </row>
    <row r="849" ht="15.75" customHeight="1">
      <c r="A849" s="8"/>
    </row>
    <row r="850" ht="15.75" customHeight="1">
      <c r="A850" s="8"/>
    </row>
    <row r="851" ht="15.75" customHeight="1">
      <c r="A851" s="8"/>
    </row>
    <row r="852" ht="15.75" customHeight="1">
      <c r="A852" s="8"/>
    </row>
    <row r="853" ht="15.75" customHeight="1">
      <c r="A853" s="8"/>
    </row>
    <row r="854" ht="15.75" customHeight="1">
      <c r="A854" s="8"/>
    </row>
    <row r="855" ht="15.75" customHeight="1">
      <c r="A855" s="8"/>
    </row>
    <row r="856" ht="15.75" customHeight="1">
      <c r="A856" s="8"/>
    </row>
    <row r="857" ht="15.75" customHeight="1">
      <c r="A857" s="8"/>
    </row>
    <row r="858" ht="15.75" customHeight="1">
      <c r="A858" s="8"/>
    </row>
    <row r="859" ht="15.75" customHeight="1">
      <c r="A859" s="8"/>
    </row>
    <row r="860" ht="15.75" customHeight="1">
      <c r="A860" s="8"/>
    </row>
    <row r="861" ht="15.75" customHeight="1">
      <c r="A861" s="8"/>
    </row>
    <row r="862" ht="15.75" customHeight="1">
      <c r="A862" s="8"/>
    </row>
    <row r="863" ht="15.75" customHeight="1">
      <c r="A863" s="8"/>
    </row>
    <row r="864" ht="15.75" customHeight="1">
      <c r="A864" s="8"/>
    </row>
    <row r="865" ht="15.75" customHeight="1">
      <c r="A865" s="8"/>
    </row>
    <row r="866" ht="15.75" customHeight="1">
      <c r="A866" s="8"/>
    </row>
    <row r="867" ht="15.75" customHeight="1">
      <c r="A867" s="8"/>
    </row>
    <row r="868" ht="15.75" customHeight="1">
      <c r="A868" s="8"/>
    </row>
    <row r="869" ht="15.75" customHeight="1">
      <c r="A869" s="8"/>
    </row>
    <row r="870" ht="15.75" customHeight="1">
      <c r="A870" s="8"/>
    </row>
    <row r="871" ht="15.75" customHeight="1">
      <c r="A871" s="8"/>
    </row>
    <row r="872" ht="15.75" customHeight="1">
      <c r="A872" s="8"/>
    </row>
    <row r="873" ht="15.75" customHeight="1">
      <c r="A873" s="8"/>
    </row>
    <row r="874" ht="15.75" customHeight="1">
      <c r="A874" s="8"/>
    </row>
    <row r="875" ht="15.75" customHeight="1">
      <c r="A875" s="8"/>
    </row>
    <row r="876" ht="15.75" customHeight="1">
      <c r="A876" s="8"/>
    </row>
    <row r="877" ht="15.75" customHeight="1">
      <c r="A877" s="8"/>
    </row>
    <row r="878" ht="15.75" customHeight="1">
      <c r="A878" s="8"/>
    </row>
    <row r="879" ht="15.75" customHeight="1">
      <c r="A879" s="8"/>
    </row>
    <row r="880" ht="15.75" customHeight="1">
      <c r="A880" s="8"/>
    </row>
    <row r="881" ht="15.75" customHeight="1">
      <c r="A881" s="8"/>
    </row>
    <row r="882" ht="15.75" customHeight="1">
      <c r="A882" s="8"/>
    </row>
    <row r="883" ht="15.75" customHeight="1">
      <c r="A883" s="8"/>
    </row>
    <row r="884" ht="15.75" customHeight="1">
      <c r="A884" s="8"/>
    </row>
    <row r="885" ht="15.75" customHeight="1">
      <c r="A885" s="8"/>
    </row>
    <row r="886" ht="15.75" customHeight="1">
      <c r="A886" s="8"/>
    </row>
    <row r="887" ht="15.75" customHeight="1">
      <c r="A887" s="8"/>
    </row>
    <row r="888" ht="15.75" customHeight="1">
      <c r="A888" s="8"/>
    </row>
    <row r="889" ht="15.75" customHeight="1">
      <c r="A889" s="8"/>
    </row>
    <row r="890" ht="15.75" customHeight="1">
      <c r="A890" s="8"/>
    </row>
    <row r="891" ht="15.75" customHeight="1">
      <c r="A891" s="8"/>
    </row>
    <row r="892" ht="15.75" customHeight="1">
      <c r="A892" s="8"/>
    </row>
    <row r="893" ht="15.75" customHeight="1">
      <c r="A893" s="8"/>
    </row>
    <row r="894" ht="15.75" customHeight="1">
      <c r="A894" s="8"/>
    </row>
    <row r="895" ht="15.75" customHeight="1">
      <c r="A895" s="8"/>
    </row>
    <row r="896" ht="15.75" customHeight="1">
      <c r="A896" s="8"/>
    </row>
    <row r="897" ht="15.75" customHeight="1">
      <c r="A897" s="8"/>
    </row>
    <row r="898" ht="15.75" customHeight="1">
      <c r="A898" s="8"/>
    </row>
    <row r="899" ht="15.75" customHeight="1">
      <c r="A899" s="8"/>
    </row>
    <row r="900" ht="15.75" customHeight="1">
      <c r="A900" s="8"/>
    </row>
    <row r="901" ht="15.75" customHeight="1">
      <c r="A901" s="8"/>
    </row>
    <row r="902" ht="15.75" customHeight="1">
      <c r="A902" s="8"/>
    </row>
    <row r="903" ht="15.75" customHeight="1">
      <c r="A903" s="8"/>
    </row>
    <row r="904" ht="15.75" customHeight="1">
      <c r="A904" s="8"/>
    </row>
    <row r="905" ht="15.75" customHeight="1">
      <c r="A905" s="8"/>
    </row>
    <row r="906" ht="15.75" customHeight="1">
      <c r="A906" s="8"/>
    </row>
    <row r="907" ht="15.75" customHeight="1">
      <c r="A907" s="8"/>
    </row>
    <row r="908" ht="15.75" customHeight="1">
      <c r="A908" s="8"/>
    </row>
    <row r="909" ht="15.75" customHeight="1">
      <c r="A909" s="8"/>
    </row>
    <row r="910" ht="15.75" customHeight="1">
      <c r="A910" s="8"/>
    </row>
    <row r="911" ht="15.75" customHeight="1">
      <c r="A911" s="8"/>
    </row>
    <row r="912" ht="15.75" customHeight="1">
      <c r="A912" s="8"/>
    </row>
    <row r="913" ht="15.75" customHeight="1">
      <c r="A913" s="8"/>
    </row>
    <row r="914" ht="15.75" customHeight="1">
      <c r="A914" s="8"/>
    </row>
    <row r="915" ht="15.75" customHeight="1">
      <c r="A915" s="8"/>
    </row>
    <row r="916" ht="15.75" customHeight="1">
      <c r="A916" s="8"/>
    </row>
    <row r="917" ht="15.75" customHeight="1">
      <c r="A917" s="8"/>
    </row>
    <row r="918" ht="15.75" customHeight="1">
      <c r="A918" s="8"/>
    </row>
    <row r="919" ht="15.75" customHeight="1">
      <c r="A919" s="8"/>
    </row>
    <row r="920" ht="15.75" customHeight="1">
      <c r="A920" s="8"/>
    </row>
    <row r="921" ht="15.75" customHeight="1">
      <c r="A921" s="8"/>
    </row>
    <row r="922" ht="15.75" customHeight="1">
      <c r="A922" s="8"/>
    </row>
    <row r="923" ht="15.75" customHeight="1">
      <c r="A923" s="8"/>
    </row>
    <row r="924" ht="15.75" customHeight="1">
      <c r="A924" s="8"/>
    </row>
    <row r="925" ht="15.75" customHeight="1">
      <c r="A925" s="8"/>
    </row>
    <row r="926" ht="15.75" customHeight="1">
      <c r="A926" s="8"/>
    </row>
    <row r="927" ht="15.75" customHeight="1">
      <c r="A927" s="8"/>
    </row>
    <row r="928" ht="15.75" customHeight="1">
      <c r="A928" s="8"/>
    </row>
    <row r="929" ht="15.75" customHeight="1">
      <c r="A929" s="8"/>
    </row>
    <row r="930" ht="15.75" customHeight="1">
      <c r="A930" s="8"/>
    </row>
    <row r="931" ht="15.75" customHeight="1">
      <c r="A931" s="8"/>
    </row>
    <row r="932" ht="15.75" customHeight="1">
      <c r="A932" s="8"/>
    </row>
    <row r="933" ht="15.75" customHeight="1">
      <c r="A933" s="8"/>
    </row>
    <row r="934" ht="15.75" customHeight="1">
      <c r="A934" s="8"/>
    </row>
    <row r="935" ht="15.75" customHeight="1">
      <c r="A935" s="8"/>
    </row>
    <row r="936" ht="15.75" customHeight="1">
      <c r="A936" s="8"/>
    </row>
    <row r="937" ht="15.75" customHeight="1">
      <c r="A937" s="8"/>
    </row>
    <row r="938" ht="15.75" customHeight="1">
      <c r="A938" s="8"/>
    </row>
    <row r="939" ht="15.75" customHeight="1">
      <c r="A939" s="8"/>
    </row>
    <row r="940" ht="15.75" customHeight="1">
      <c r="A940" s="8"/>
    </row>
    <row r="941" ht="15.75" customHeight="1">
      <c r="A941" s="8"/>
    </row>
    <row r="942" ht="15.75" customHeight="1">
      <c r="A942" s="8"/>
    </row>
    <row r="943" ht="15.75" customHeight="1">
      <c r="A943" s="8"/>
    </row>
    <row r="944" ht="15.75" customHeight="1">
      <c r="A944" s="8"/>
    </row>
    <row r="945" ht="15.75" customHeight="1">
      <c r="A945" s="8"/>
    </row>
    <row r="946" ht="15.75" customHeight="1">
      <c r="A946" s="8"/>
    </row>
    <row r="947" ht="15.75" customHeight="1">
      <c r="A947" s="8"/>
    </row>
    <row r="948" ht="15.75" customHeight="1">
      <c r="A948" s="8"/>
    </row>
    <row r="949" ht="15.75" customHeight="1">
      <c r="A949" s="8"/>
    </row>
    <row r="950" ht="15.75" customHeight="1">
      <c r="A950" s="8"/>
    </row>
    <row r="951" ht="15.75" customHeight="1">
      <c r="A951" s="8"/>
    </row>
    <row r="952" ht="15.75" customHeight="1">
      <c r="A952" s="8"/>
    </row>
    <row r="953" ht="15.75" customHeight="1">
      <c r="A953" s="8"/>
    </row>
    <row r="954" ht="15.75" customHeight="1">
      <c r="A954" s="8"/>
    </row>
    <row r="955" ht="15.75" customHeight="1">
      <c r="A955" s="8"/>
    </row>
    <row r="956" ht="15.75" customHeight="1">
      <c r="A956" s="8"/>
    </row>
    <row r="957" ht="15.75" customHeight="1">
      <c r="A957" s="8"/>
    </row>
    <row r="958" ht="15.75" customHeight="1">
      <c r="A958" s="8"/>
    </row>
    <row r="959" ht="15.75" customHeight="1">
      <c r="A959" s="8"/>
    </row>
    <row r="960" ht="15.75" customHeight="1">
      <c r="A960" s="8"/>
    </row>
    <row r="961" ht="15.75" customHeight="1">
      <c r="A961" s="8"/>
    </row>
    <row r="962" ht="15.75" customHeight="1">
      <c r="A962" s="8"/>
    </row>
    <row r="963" ht="15.75" customHeight="1">
      <c r="A963" s="8"/>
    </row>
    <row r="964" ht="15.75" customHeight="1">
      <c r="A964" s="8"/>
    </row>
    <row r="965" ht="15.75" customHeight="1">
      <c r="A965" s="8"/>
    </row>
    <row r="966" ht="15.75" customHeight="1">
      <c r="A966" s="8"/>
    </row>
    <row r="967" ht="15.75" customHeight="1">
      <c r="A967" s="8"/>
    </row>
    <row r="968" ht="15.75" customHeight="1">
      <c r="A968" s="8"/>
    </row>
    <row r="969" ht="15.75" customHeight="1">
      <c r="A969" s="8"/>
    </row>
    <row r="970" ht="15.75" customHeight="1">
      <c r="A970" s="8"/>
    </row>
    <row r="971" ht="15.75" customHeight="1">
      <c r="A971" s="8"/>
    </row>
    <row r="972" ht="15.75" customHeight="1">
      <c r="A972" s="8"/>
    </row>
    <row r="973" ht="15.75" customHeight="1">
      <c r="A973" s="8"/>
    </row>
    <row r="974" ht="15.75" customHeight="1">
      <c r="A974" s="8"/>
    </row>
    <row r="975" ht="15.75" customHeight="1">
      <c r="A975" s="8"/>
    </row>
    <row r="976" ht="15.75" customHeight="1">
      <c r="A976" s="8"/>
    </row>
    <row r="977" ht="15.75" customHeight="1">
      <c r="A977" s="8"/>
    </row>
    <row r="978" ht="15.75" customHeight="1">
      <c r="A978" s="8"/>
    </row>
    <row r="979" ht="15.75" customHeight="1">
      <c r="A979" s="8"/>
    </row>
    <row r="980" ht="15.75" customHeight="1">
      <c r="A980" s="8"/>
    </row>
    <row r="981" ht="15.75" customHeight="1">
      <c r="A981" s="8"/>
    </row>
    <row r="982" ht="15.75" customHeight="1">
      <c r="A982" s="8"/>
    </row>
    <row r="983" ht="15.75" customHeight="1">
      <c r="A983" s="8"/>
    </row>
    <row r="984" ht="15.75" customHeight="1">
      <c r="A984" s="8"/>
    </row>
    <row r="985" ht="15.75" customHeight="1">
      <c r="A985" s="8"/>
    </row>
    <row r="986" ht="15.75" customHeight="1">
      <c r="A986" s="8"/>
    </row>
    <row r="987" ht="15.75" customHeight="1">
      <c r="A987" s="8"/>
    </row>
    <row r="988" ht="15.75" customHeight="1">
      <c r="A988" s="8"/>
    </row>
    <row r="989" ht="15.75" customHeight="1">
      <c r="A989" s="8"/>
    </row>
    <row r="990" ht="15.75" customHeight="1">
      <c r="A990" s="8"/>
    </row>
    <row r="991" ht="15.75" customHeight="1">
      <c r="A991" s="8"/>
    </row>
    <row r="992" ht="15.75" customHeight="1">
      <c r="A992" s="8"/>
    </row>
    <row r="993" ht="15.75" customHeight="1">
      <c r="A993" s="8"/>
    </row>
    <row r="994" ht="15.75" customHeight="1">
      <c r="A994" s="8"/>
    </row>
    <row r="995" ht="15.75" customHeight="1">
      <c r="A995" s="8"/>
    </row>
    <row r="996" ht="15.75" customHeight="1">
      <c r="A996" s="8"/>
    </row>
    <row r="997" ht="15.75" customHeight="1">
      <c r="A997" s="8"/>
    </row>
    <row r="998" ht="15.75" customHeight="1">
      <c r="A998" s="8"/>
    </row>
    <row r="999" ht="15.75" customHeight="1">
      <c r="A999" s="8"/>
    </row>
    <row r="1000" ht="15.75" customHeight="1">
      <c r="A1000" s="8"/>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2026-06-26T05:56:40Z</dcterms:created>
  <dc:creator>openpyxl</dc:creator>
</cp:coreProperties>
</file>

<file path=docProps/custom.xml><?xml version="1.0" encoding="utf-8"?>
<Properties xmlns="http://schemas.openxmlformats.org/officeDocument/2006/custom-properties" xmlns:vt="http://schemas.openxmlformats.org/officeDocument/2006/docPropsVTypes"/>
</file>